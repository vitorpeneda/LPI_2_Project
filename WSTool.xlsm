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35" windowWidth="28515" windowHeight="12810" activeTab="2"/>
  </bookViews>
  <sheets>
    <sheet name="Raw_WS_data" sheetId="1" r:id="rId1"/>
    <sheet name="WS_data" sheetId="3" r:id="rId2"/>
    <sheet name="Charts" sheetId="6" r:id="rId3"/>
    <sheet name="Config" sheetId="4" r:id="rId4"/>
    <sheet name="dataExtraction" sheetId="7" r:id="rId5"/>
    <sheet name="dataConfiguration" sheetId="8" r:id="rId6"/>
    <sheet name="backupTable" sheetId="9" r:id="rId7"/>
  </sheets>
  <functionGroups/>
  <definedNames>
    <definedName name="_xlnm._FilterDatabase" localSheetId="6" hidden="1">backupTable!$A$1:$L$364</definedName>
    <definedName name="_xlnm._FilterDatabase" localSheetId="0" hidden="1">Raw_WS_data!$A$1:$L$325</definedName>
    <definedName name="_xlnm._FilterDatabase" localSheetId="1" hidden="1">WS_data!$A$1:$L$1</definedName>
    <definedName name="myAngle">Charts!$U$4</definedName>
    <definedName name="myLogData">Config!$A$2</definedName>
    <definedName name="myUserID">Config!$B$2</definedName>
    <definedName name="rngHumidity">WS_data!$G$1</definedName>
    <definedName name="rngHumidityColumn">OFFSET(rngHumidity,1,0,COUNTA(WS_data!$A:$A)-1,1)</definedName>
    <definedName name="rngHumidityEOF">OFFSET(rngHumidity,COUNTA(WS_data!$A:$A)-1,0,1,1)</definedName>
    <definedName name="rngPressure">WS_data!$I$1</definedName>
    <definedName name="rngPressureColumn">OFFSET(rngPressure,1,0,COUNTA(WS_data!$A:$A)-1,1)</definedName>
    <definedName name="rngPressureEOF">OFFSET(rngPressure,COUNTA(WS_data!$A:$A)-1,0,1,1)</definedName>
    <definedName name="rngRainFall">WS_data!$F$1</definedName>
    <definedName name="rngRainFallColumn">OFFSET(rngRainFall,1,0,COUNTA(WS_data!$A:$A)-1,1)</definedName>
    <definedName name="rngRainFallEOF">OFFSET(rngRainFall,COUNTA(WS_data!$A:$A)-1,0,1,1)</definedName>
    <definedName name="rngTemperature">WS_data!$H$1</definedName>
    <definedName name="rngTemperatureColumn">OFFSET(rngTemperature,1,0,COUNTA(WS_data!$A:$A)-1,1)</definedName>
    <definedName name="rngTemperatureEOF">OFFSET(rngTemperature,COUNTA(WS_data!$A:$A)-1,0,1,1)</definedName>
    <definedName name="rngTime">WS_data!$A$1</definedName>
    <definedName name="rngTimeColumn">OFFSET(rngTime,1,0,COUNTA(WS_data!$A:$A)-1,1)</definedName>
    <definedName name="rngTimeEOF">OFFSET(rngTime,COUNTA(WS_data!$A:$A)-1,0,1,1)</definedName>
    <definedName name="rngWindAngle">WS_data!$E$1</definedName>
    <definedName name="rngWindAngleColumn">OFFSET(rngWindAngle,1,0,COUNTA(WS_data!$A:$A)-1,1)</definedName>
    <definedName name="rngWindAngleEOF">OFFSET(rngWindAngle,COUNTA(WS_data!$A:$A)-1,0,1,1)</definedName>
    <definedName name="rngWindDirection">WS_data!$D$1</definedName>
    <definedName name="rngWindDirectionColumn">OFFSET(rngWindDirection,1,0,COUNTA(WS_data!$A:$A)-1,1)</definedName>
    <definedName name="rngWindDirectionEOF">OFFSET(rngWindDirection,COUNTA(WS_data!$A:$A)-1,0,1,1)</definedName>
    <definedName name="rngWindSpeed">WS_data!$C$1</definedName>
    <definedName name="rngWindSpeedColumn">OFFSET(rngWindSpeed,1,0,COUNTA(WS_data!$A:$A)-1,1)</definedName>
    <definedName name="rngWindSpeedEOF">OFFSET(rngWindSpeed,COUNTA(WS_data!$A:$A)-1,0,1,1)</definedName>
  </definedNames>
  <calcPr calcId="125725"/>
</workbook>
</file>

<file path=xl/calcChain.xml><?xml version="1.0" encoding="utf-8"?>
<calcChain xmlns="http://schemas.openxmlformats.org/spreadsheetml/2006/main">
  <c r="U4" i="6"/>
  <c r="D3862" i="7"/>
  <c r="D3863"/>
  <c r="D3864"/>
  <c r="D3865"/>
  <c r="D3866"/>
  <c r="D3867"/>
  <c r="D3868"/>
  <c r="D3869"/>
  <c r="D3870"/>
  <c r="D3871"/>
  <c r="D3873"/>
  <c r="D3874"/>
  <c r="D3875"/>
  <c r="D3876"/>
  <c r="D3877"/>
  <c r="D3878"/>
  <c r="D3879"/>
  <c r="D3880"/>
  <c r="D3881"/>
  <c r="D3882"/>
  <c r="D3884"/>
  <c r="D3885"/>
  <c r="D3886"/>
  <c r="D3887"/>
  <c r="D3888"/>
  <c r="D3889"/>
  <c r="D3890"/>
  <c r="D3891"/>
  <c r="D3892"/>
  <c r="D3893"/>
  <c r="D3895"/>
  <c r="D3896"/>
  <c r="D3897"/>
  <c r="D3898"/>
  <c r="D3899"/>
  <c r="D3900"/>
  <c r="D3901"/>
  <c r="D3902"/>
  <c r="D3903"/>
  <c r="D3904"/>
  <c r="D3906"/>
  <c r="D3907"/>
  <c r="D3908"/>
  <c r="D3909"/>
  <c r="D3910"/>
  <c r="D3911"/>
  <c r="D3912"/>
  <c r="D3913"/>
  <c r="D3914"/>
  <c r="D3915"/>
  <c r="D3917"/>
  <c r="D3918"/>
  <c r="D3919"/>
  <c r="D3920"/>
  <c r="D3921"/>
  <c r="D3922"/>
  <c r="D3923"/>
  <c r="D3924"/>
  <c r="D3925"/>
  <c r="D3926"/>
  <c r="D3928"/>
  <c r="D3929"/>
  <c r="D3930"/>
  <c r="D3931"/>
  <c r="D3932"/>
  <c r="D3933"/>
  <c r="D3934"/>
  <c r="D3935"/>
  <c r="D3936"/>
  <c r="D3937"/>
  <c r="D3939"/>
  <c r="D3940"/>
  <c r="D3941"/>
  <c r="D3942"/>
  <c r="D3943"/>
  <c r="D3944"/>
  <c r="D3945"/>
  <c r="D3946"/>
  <c r="D3947"/>
  <c r="D3948"/>
  <c r="D3950"/>
  <c r="D3951"/>
  <c r="D3952"/>
  <c r="D3953"/>
  <c r="D3954"/>
  <c r="D3955"/>
  <c r="D3956"/>
  <c r="D3957"/>
  <c r="D3958"/>
  <c r="D3959"/>
  <c r="D3961"/>
  <c r="D3962"/>
  <c r="D3963"/>
  <c r="D3964"/>
  <c r="D3965"/>
  <c r="D3966"/>
  <c r="D3967"/>
  <c r="D3968"/>
  <c r="D3969"/>
  <c r="D3970"/>
  <c r="D3972"/>
  <c r="D3973"/>
  <c r="D3974"/>
  <c r="D3975"/>
  <c r="D3976"/>
  <c r="D3977"/>
  <c r="D3978"/>
  <c r="D3979"/>
  <c r="D3980"/>
  <c r="D3981"/>
  <c r="D3983"/>
  <c r="D3984"/>
  <c r="D3985"/>
  <c r="D3986"/>
  <c r="D3987"/>
  <c r="D3988"/>
  <c r="D3989"/>
  <c r="D3990"/>
  <c r="D3991"/>
  <c r="D3992"/>
  <c r="D3994"/>
  <c r="D3995"/>
  <c r="D3996"/>
  <c r="D3997"/>
  <c r="D3998"/>
  <c r="D3999"/>
  <c r="D4000"/>
  <c r="D4001"/>
  <c r="D4002"/>
  <c r="D4003"/>
  <c r="D3860"/>
  <c r="D3859"/>
  <c r="D3858"/>
  <c r="D3857"/>
  <c r="D3856"/>
  <c r="D3855"/>
  <c r="D3854"/>
  <c r="D3853"/>
  <c r="D3852"/>
  <c r="D3851"/>
  <c r="D12"/>
  <c r="D13"/>
  <c r="D14"/>
  <c r="D15"/>
  <c r="D16"/>
  <c r="D17"/>
  <c r="D18"/>
  <c r="D19"/>
  <c r="D20"/>
  <c r="D21"/>
  <c r="D23"/>
  <c r="D24"/>
  <c r="D25"/>
  <c r="D26"/>
  <c r="D27"/>
  <c r="D28"/>
  <c r="D29"/>
  <c r="D30"/>
  <c r="D31"/>
  <c r="D32"/>
  <c r="D34"/>
  <c r="D35"/>
  <c r="D36"/>
  <c r="D37"/>
  <c r="D38"/>
  <c r="D39"/>
  <c r="D40"/>
  <c r="D41"/>
  <c r="D42"/>
  <c r="D43"/>
  <c r="D45"/>
  <c r="D46"/>
  <c r="D47"/>
  <c r="D48"/>
  <c r="D49"/>
  <c r="D50"/>
  <c r="D51"/>
  <c r="D52"/>
  <c r="D53"/>
  <c r="D54"/>
  <c r="D56"/>
  <c r="D57"/>
  <c r="D58"/>
  <c r="D59"/>
  <c r="D60"/>
  <c r="D61"/>
  <c r="D62"/>
  <c r="D63"/>
  <c r="D64"/>
  <c r="D65"/>
  <c r="D67"/>
  <c r="D68"/>
  <c r="D69"/>
  <c r="D70"/>
  <c r="D71"/>
  <c r="D72"/>
  <c r="D73"/>
  <c r="D74"/>
  <c r="D75"/>
  <c r="D76"/>
  <c r="D78"/>
  <c r="D79"/>
  <c r="D80"/>
  <c r="D81"/>
  <c r="D82"/>
  <c r="D83"/>
  <c r="D84"/>
  <c r="D85"/>
  <c r="D86"/>
  <c r="D87"/>
  <c r="D89"/>
  <c r="D90"/>
  <c r="D91"/>
  <c r="D92"/>
  <c r="D93"/>
  <c r="D94"/>
  <c r="D95"/>
  <c r="D96"/>
  <c r="D97"/>
  <c r="D98"/>
  <c r="D100"/>
  <c r="D101"/>
  <c r="D102"/>
  <c r="D103"/>
  <c r="D104"/>
  <c r="D105"/>
  <c r="D106"/>
  <c r="D107"/>
  <c r="D108"/>
  <c r="D109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129"/>
  <c r="D130"/>
  <c r="D131"/>
  <c r="D133"/>
  <c r="D134"/>
  <c r="D135"/>
  <c r="D136"/>
  <c r="D137"/>
  <c r="D138"/>
  <c r="D139"/>
  <c r="D140"/>
  <c r="D141"/>
  <c r="D142"/>
  <c r="D144"/>
  <c r="D145"/>
  <c r="D146"/>
  <c r="D147"/>
  <c r="D148"/>
  <c r="D149"/>
  <c r="D150"/>
  <c r="D151"/>
  <c r="D152"/>
  <c r="D153"/>
  <c r="D155"/>
  <c r="D156"/>
  <c r="D157"/>
  <c r="D158"/>
  <c r="D159"/>
  <c r="D160"/>
  <c r="D161"/>
  <c r="D162"/>
  <c r="D163"/>
  <c r="D164"/>
  <c r="D166"/>
  <c r="D167"/>
  <c r="D168"/>
  <c r="D169"/>
  <c r="D170"/>
  <c r="D171"/>
  <c r="D172"/>
  <c r="D173"/>
  <c r="D174"/>
  <c r="D175"/>
  <c r="D177"/>
  <c r="D178"/>
  <c r="D179"/>
  <c r="D180"/>
  <c r="D181"/>
  <c r="D182"/>
  <c r="D183"/>
  <c r="D184"/>
  <c r="D185"/>
  <c r="D186"/>
  <c r="D188"/>
  <c r="D189"/>
  <c r="D190"/>
  <c r="D191"/>
  <c r="D192"/>
  <c r="D193"/>
  <c r="D194"/>
  <c r="D195"/>
  <c r="D196"/>
  <c r="D197"/>
  <c r="D199"/>
  <c r="D200"/>
  <c r="D201"/>
  <c r="D202"/>
  <c r="D203"/>
  <c r="D204"/>
  <c r="D205"/>
  <c r="D206"/>
  <c r="D207"/>
  <c r="D208"/>
  <c r="D210"/>
  <c r="D211"/>
  <c r="D212"/>
  <c r="D213"/>
  <c r="D214"/>
  <c r="D215"/>
  <c r="D216"/>
  <c r="D217"/>
  <c r="D218"/>
  <c r="D219"/>
  <c r="D221"/>
  <c r="D222"/>
  <c r="D223"/>
  <c r="D224"/>
  <c r="D225"/>
  <c r="D226"/>
  <c r="D227"/>
  <c r="D228"/>
  <c r="D229"/>
  <c r="D230"/>
  <c r="D232"/>
  <c r="D233"/>
  <c r="D234"/>
  <c r="D235"/>
  <c r="D236"/>
  <c r="D237"/>
  <c r="D238"/>
  <c r="D239"/>
  <c r="D240"/>
  <c r="D241"/>
  <c r="D243"/>
  <c r="D244"/>
  <c r="D245"/>
  <c r="D246"/>
  <c r="D247"/>
  <c r="D248"/>
  <c r="D249"/>
  <c r="D250"/>
  <c r="D251"/>
  <c r="D252"/>
  <c r="D254"/>
  <c r="D255"/>
  <c r="D256"/>
  <c r="D257"/>
  <c r="D258"/>
  <c r="D259"/>
  <c r="D260"/>
  <c r="D261"/>
  <c r="D262"/>
  <c r="D263"/>
  <c r="D265"/>
  <c r="D266"/>
  <c r="D267"/>
  <c r="D268"/>
  <c r="D269"/>
  <c r="D270"/>
  <c r="D271"/>
  <c r="D272"/>
  <c r="D273"/>
  <c r="D274"/>
  <c r="D276"/>
  <c r="D277"/>
  <c r="D278"/>
  <c r="D279"/>
  <c r="D280"/>
  <c r="D281"/>
  <c r="D282"/>
  <c r="D283"/>
  <c r="D284"/>
  <c r="D285"/>
  <c r="D287"/>
  <c r="D288"/>
  <c r="D289"/>
  <c r="D290"/>
  <c r="D291"/>
  <c r="D292"/>
  <c r="D293"/>
  <c r="D294"/>
  <c r="D295"/>
  <c r="D296"/>
  <c r="D298"/>
  <c r="D299"/>
  <c r="D300"/>
  <c r="D301"/>
  <c r="D302"/>
  <c r="D303"/>
  <c r="D304"/>
  <c r="D305"/>
  <c r="D306"/>
  <c r="D307"/>
  <c r="D309"/>
  <c r="D310"/>
  <c r="D311"/>
  <c r="D312"/>
  <c r="D313"/>
  <c r="D314"/>
  <c r="D315"/>
  <c r="D316"/>
  <c r="D317"/>
  <c r="D318"/>
  <c r="D320"/>
  <c r="D321"/>
  <c r="D322"/>
  <c r="D323"/>
  <c r="D324"/>
  <c r="D325"/>
  <c r="D326"/>
  <c r="D327"/>
  <c r="D328"/>
  <c r="D329"/>
  <c r="D331"/>
  <c r="D332"/>
  <c r="D333"/>
  <c r="D334"/>
  <c r="D335"/>
  <c r="D336"/>
  <c r="D337"/>
  <c r="D338"/>
  <c r="D339"/>
  <c r="D340"/>
  <c r="D342"/>
  <c r="D343"/>
  <c r="D344"/>
  <c r="D345"/>
  <c r="D346"/>
  <c r="D347"/>
  <c r="D348"/>
  <c r="D349"/>
  <c r="D350"/>
  <c r="D351"/>
  <c r="D353"/>
  <c r="D354"/>
  <c r="D355"/>
  <c r="D356"/>
  <c r="D357"/>
  <c r="D358"/>
  <c r="D359"/>
  <c r="D360"/>
  <c r="D361"/>
  <c r="D362"/>
  <c r="D364"/>
  <c r="D365"/>
  <c r="D366"/>
  <c r="D367"/>
  <c r="D368"/>
  <c r="D369"/>
  <c r="D370"/>
  <c r="D371"/>
  <c r="D372"/>
  <c r="D373"/>
  <c r="D375"/>
  <c r="D376"/>
  <c r="D377"/>
  <c r="D378"/>
  <c r="D379"/>
  <c r="D380"/>
  <c r="D381"/>
  <c r="D382"/>
  <c r="D383"/>
  <c r="D384"/>
  <c r="D386"/>
  <c r="D387"/>
  <c r="D388"/>
  <c r="D389"/>
  <c r="D390"/>
  <c r="D391"/>
  <c r="D392"/>
  <c r="D393"/>
  <c r="D394"/>
  <c r="D395"/>
  <c r="D397"/>
  <c r="D398"/>
  <c r="D399"/>
  <c r="D400"/>
  <c r="D401"/>
  <c r="D402"/>
  <c r="D403"/>
  <c r="D404"/>
  <c r="D405"/>
  <c r="D406"/>
  <c r="D408"/>
  <c r="D409"/>
  <c r="D410"/>
  <c r="D411"/>
  <c r="D412"/>
  <c r="D413"/>
  <c r="D414"/>
  <c r="D415"/>
  <c r="D416"/>
  <c r="D417"/>
  <c r="D419"/>
  <c r="D420"/>
  <c r="D421"/>
  <c r="D422"/>
  <c r="D423"/>
  <c r="D424"/>
  <c r="D425"/>
  <c r="D426"/>
  <c r="D427"/>
  <c r="D428"/>
  <c r="D430"/>
  <c r="D431"/>
  <c r="D432"/>
  <c r="D433"/>
  <c r="D434"/>
  <c r="D435"/>
  <c r="D436"/>
  <c r="D437"/>
  <c r="D438"/>
  <c r="D439"/>
  <c r="D441"/>
  <c r="D442"/>
  <c r="D443"/>
  <c r="D444"/>
  <c r="D445"/>
  <c r="D446"/>
  <c r="D447"/>
  <c r="D448"/>
  <c r="D449"/>
  <c r="D450"/>
  <c r="D452"/>
  <c r="D453"/>
  <c r="D454"/>
  <c r="D455"/>
  <c r="D456"/>
  <c r="D457"/>
  <c r="D458"/>
  <c r="D459"/>
  <c r="D460"/>
  <c r="D461"/>
  <c r="D463"/>
  <c r="D464"/>
  <c r="D465"/>
  <c r="D466"/>
  <c r="D467"/>
  <c r="D468"/>
  <c r="D469"/>
  <c r="D470"/>
  <c r="D471"/>
  <c r="D472"/>
  <c r="D474"/>
  <c r="D475"/>
  <c r="D476"/>
  <c r="D477"/>
  <c r="D478"/>
  <c r="D479"/>
  <c r="D480"/>
  <c r="D481"/>
  <c r="D482"/>
  <c r="D483"/>
  <c r="D485"/>
  <c r="D486"/>
  <c r="D487"/>
  <c r="D488"/>
  <c r="D489"/>
  <c r="D490"/>
  <c r="D491"/>
  <c r="D492"/>
  <c r="D493"/>
  <c r="D494"/>
  <c r="D496"/>
  <c r="D497"/>
  <c r="D498"/>
  <c r="D499"/>
  <c r="D500"/>
  <c r="D501"/>
  <c r="D502"/>
  <c r="D503"/>
  <c r="D504"/>
  <c r="D505"/>
  <c r="D507"/>
  <c r="D508"/>
  <c r="D509"/>
  <c r="D510"/>
  <c r="D511"/>
  <c r="D512"/>
  <c r="D513"/>
  <c r="D514"/>
  <c r="D515"/>
  <c r="D516"/>
  <c r="D518"/>
  <c r="D519"/>
  <c r="D520"/>
  <c r="D521"/>
  <c r="D522"/>
  <c r="D523"/>
  <c r="D524"/>
  <c r="D525"/>
  <c r="D526"/>
  <c r="D527"/>
  <c r="D529"/>
  <c r="D530"/>
  <c r="D531"/>
  <c r="D532"/>
  <c r="D533"/>
  <c r="D534"/>
  <c r="D535"/>
  <c r="D536"/>
  <c r="D537"/>
  <c r="D538"/>
  <c r="D540"/>
  <c r="D541"/>
  <c r="D542"/>
  <c r="D543"/>
  <c r="D544"/>
  <c r="D545"/>
  <c r="D546"/>
  <c r="D547"/>
  <c r="D548"/>
  <c r="D549"/>
  <c r="D551"/>
  <c r="D552"/>
  <c r="D553"/>
  <c r="D554"/>
  <c r="D555"/>
  <c r="D556"/>
  <c r="D557"/>
  <c r="D558"/>
  <c r="D559"/>
  <c r="D560"/>
  <c r="D562"/>
  <c r="D563"/>
  <c r="D564"/>
  <c r="D565"/>
  <c r="D566"/>
  <c r="D567"/>
  <c r="D568"/>
  <c r="D569"/>
  <c r="D570"/>
  <c r="D571"/>
  <c r="D573"/>
  <c r="D574"/>
  <c r="D575"/>
  <c r="D576"/>
  <c r="D577"/>
  <c r="D578"/>
  <c r="D579"/>
  <c r="D580"/>
  <c r="D581"/>
  <c r="D582"/>
  <c r="D584"/>
  <c r="D585"/>
  <c r="D586"/>
  <c r="D587"/>
  <c r="D588"/>
  <c r="D589"/>
  <c r="D590"/>
  <c r="D591"/>
  <c r="D592"/>
  <c r="D593"/>
  <c r="D595"/>
  <c r="D596"/>
  <c r="D597"/>
  <c r="D598"/>
  <c r="D599"/>
  <c r="D600"/>
  <c r="D601"/>
  <c r="D602"/>
  <c r="D603"/>
  <c r="D604"/>
  <c r="D606"/>
  <c r="D607"/>
  <c r="D608"/>
  <c r="D609"/>
  <c r="D610"/>
  <c r="D611"/>
  <c r="D612"/>
  <c r="D613"/>
  <c r="D614"/>
  <c r="D615"/>
  <c r="D617"/>
  <c r="D618"/>
  <c r="D619"/>
  <c r="D620"/>
  <c r="D621"/>
  <c r="D622"/>
  <c r="D623"/>
  <c r="D624"/>
  <c r="D625"/>
  <c r="D626"/>
  <c r="D628"/>
  <c r="D629"/>
  <c r="D630"/>
  <c r="D631"/>
  <c r="D632"/>
  <c r="D633"/>
  <c r="D634"/>
  <c r="D635"/>
  <c r="D636"/>
  <c r="D637"/>
  <c r="D639"/>
  <c r="D640"/>
  <c r="D641"/>
  <c r="D642"/>
  <c r="D643"/>
  <c r="D644"/>
  <c r="D645"/>
  <c r="D646"/>
  <c r="D647"/>
  <c r="D648"/>
  <c r="D650"/>
  <c r="D651"/>
  <c r="D652"/>
  <c r="D653"/>
  <c r="D654"/>
  <c r="D655"/>
  <c r="D656"/>
  <c r="D657"/>
  <c r="D658"/>
  <c r="D659"/>
  <c r="D661"/>
  <c r="D662"/>
  <c r="D663"/>
  <c r="D664"/>
  <c r="D665"/>
  <c r="D666"/>
  <c r="D667"/>
  <c r="D668"/>
  <c r="D669"/>
  <c r="D670"/>
  <c r="D672"/>
  <c r="D673"/>
  <c r="D674"/>
  <c r="D675"/>
  <c r="D676"/>
  <c r="D677"/>
  <c r="D678"/>
  <c r="D679"/>
  <c r="D680"/>
  <c r="D681"/>
  <c r="D683"/>
  <c r="D684"/>
  <c r="D685"/>
  <c r="D686"/>
  <c r="D687"/>
  <c r="D688"/>
  <c r="D689"/>
  <c r="D690"/>
  <c r="D691"/>
  <c r="D692"/>
  <c r="D694"/>
  <c r="D695"/>
  <c r="D696"/>
  <c r="D697"/>
  <c r="D698"/>
  <c r="D699"/>
  <c r="D700"/>
  <c r="D701"/>
  <c r="D702"/>
  <c r="D703"/>
  <c r="D705"/>
  <c r="D706"/>
  <c r="D707"/>
  <c r="D708"/>
  <c r="D709"/>
  <c r="D710"/>
  <c r="D711"/>
  <c r="D712"/>
  <c r="D713"/>
  <c r="D714"/>
  <c r="D716"/>
  <c r="D717"/>
  <c r="D718"/>
  <c r="D719"/>
  <c r="D720"/>
  <c r="D721"/>
  <c r="D722"/>
  <c r="D723"/>
  <c r="D724"/>
  <c r="D725"/>
  <c r="D727"/>
  <c r="D728"/>
  <c r="D729"/>
  <c r="D730"/>
  <c r="D731"/>
  <c r="D732"/>
  <c r="D733"/>
  <c r="D734"/>
  <c r="D735"/>
  <c r="D736"/>
  <c r="D738"/>
  <c r="D739"/>
  <c r="D740"/>
  <c r="D741"/>
  <c r="D742"/>
  <c r="D743"/>
  <c r="D744"/>
  <c r="D745"/>
  <c r="D746"/>
  <c r="D747"/>
  <c r="D749"/>
  <c r="D750"/>
  <c r="D751"/>
  <c r="D752"/>
  <c r="D753"/>
  <c r="D754"/>
  <c r="D755"/>
  <c r="D756"/>
  <c r="D757"/>
  <c r="D758"/>
  <c r="D760"/>
  <c r="D761"/>
  <c r="D762"/>
  <c r="D763"/>
  <c r="D764"/>
  <c r="D765"/>
  <c r="D766"/>
  <c r="D767"/>
  <c r="D768"/>
  <c r="D769"/>
  <c r="D771"/>
  <c r="D772"/>
  <c r="D773"/>
  <c r="D774"/>
  <c r="D775"/>
  <c r="D776"/>
  <c r="D777"/>
  <c r="D778"/>
  <c r="D779"/>
  <c r="D780"/>
  <c r="D782"/>
  <c r="D783"/>
  <c r="D784"/>
  <c r="D785"/>
  <c r="D786"/>
  <c r="D787"/>
  <c r="D788"/>
  <c r="D789"/>
  <c r="D790"/>
  <c r="D791"/>
  <c r="D793"/>
  <c r="D794"/>
  <c r="D795"/>
  <c r="D796"/>
  <c r="D797"/>
  <c r="D798"/>
  <c r="D799"/>
  <c r="D800"/>
  <c r="D801"/>
  <c r="D802"/>
  <c r="D804"/>
  <c r="D805"/>
  <c r="D806"/>
  <c r="D807"/>
  <c r="D808"/>
  <c r="D809"/>
  <c r="D810"/>
  <c r="D811"/>
  <c r="D812"/>
  <c r="D813"/>
  <c r="D815"/>
  <c r="D816"/>
  <c r="D817"/>
  <c r="D818"/>
  <c r="D819"/>
  <c r="D820"/>
  <c r="D821"/>
  <c r="D822"/>
  <c r="D823"/>
  <c r="D824"/>
  <c r="D826"/>
  <c r="D827"/>
  <c r="D828"/>
  <c r="D829"/>
  <c r="D830"/>
  <c r="D831"/>
  <c r="D832"/>
  <c r="D833"/>
  <c r="D834"/>
  <c r="D835"/>
  <c r="D837"/>
  <c r="D838"/>
  <c r="D839"/>
  <c r="D840"/>
  <c r="D841"/>
  <c r="D842"/>
  <c r="D843"/>
  <c r="D844"/>
  <c r="D845"/>
  <c r="D846"/>
  <c r="D848"/>
  <c r="D849"/>
  <c r="D850"/>
  <c r="D851"/>
  <c r="D852"/>
  <c r="D853"/>
  <c r="D854"/>
  <c r="D855"/>
  <c r="D856"/>
  <c r="D857"/>
  <c r="D859"/>
  <c r="D860"/>
  <c r="D861"/>
  <c r="D862"/>
  <c r="D863"/>
  <c r="D864"/>
  <c r="D865"/>
  <c r="D866"/>
  <c r="D867"/>
  <c r="D868"/>
  <c r="D870"/>
  <c r="D871"/>
  <c r="D872"/>
  <c r="D873"/>
  <c r="D874"/>
  <c r="D875"/>
  <c r="D876"/>
  <c r="D877"/>
  <c r="D878"/>
  <c r="D879"/>
  <c r="D881"/>
  <c r="D882"/>
  <c r="D883"/>
  <c r="D884"/>
  <c r="D885"/>
  <c r="D886"/>
  <c r="D887"/>
  <c r="D888"/>
  <c r="D889"/>
  <c r="D890"/>
  <c r="D892"/>
  <c r="D893"/>
  <c r="D894"/>
  <c r="D895"/>
  <c r="D896"/>
  <c r="D897"/>
  <c r="D898"/>
  <c r="D899"/>
  <c r="D900"/>
  <c r="D901"/>
  <c r="D903"/>
  <c r="D904"/>
  <c r="D905"/>
  <c r="D906"/>
  <c r="D907"/>
  <c r="D908"/>
  <c r="D909"/>
  <c r="D910"/>
  <c r="D911"/>
  <c r="D912"/>
  <c r="D914"/>
  <c r="D915"/>
  <c r="D916"/>
  <c r="D917"/>
  <c r="D918"/>
  <c r="D919"/>
  <c r="D920"/>
  <c r="D921"/>
  <c r="D922"/>
  <c r="D923"/>
  <c r="D925"/>
  <c r="D926"/>
  <c r="D927"/>
  <c r="D928"/>
  <c r="D929"/>
  <c r="D930"/>
  <c r="D931"/>
  <c r="D932"/>
  <c r="D933"/>
  <c r="D934"/>
  <c r="D936"/>
  <c r="D937"/>
  <c r="D938"/>
  <c r="D939"/>
  <c r="D940"/>
  <c r="D941"/>
  <c r="D942"/>
  <c r="D943"/>
  <c r="D944"/>
  <c r="D945"/>
  <c r="D947"/>
  <c r="D948"/>
  <c r="D949"/>
  <c r="D950"/>
  <c r="D951"/>
  <c r="D952"/>
  <c r="D953"/>
  <c r="D954"/>
  <c r="D955"/>
  <c r="D956"/>
  <c r="D958"/>
  <c r="D959"/>
  <c r="D960"/>
  <c r="D961"/>
  <c r="D962"/>
  <c r="D963"/>
  <c r="D964"/>
  <c r="D965"/>
  <c r="D966"/>
  <c r="D967"/>
  <c r="D969"/>
  <c r="D970"/>
  <c r="D971"/>
  <c r="D972"/>
  <c r="D973"/>
  <c r="D974"/>
  <c r="D975"/>
  <c r="D976"/>
  <c r="D977"/>
  <c r="D978"/>
  <c r="D980"/>
  <c r="D981"/>
  <c r="D982"/>
  <c r="D983"/>
  <c r="D984"/>
  <c r="D985"/>
  <c r="D986"/>
  <c r="D987"/>
  <c r="D988"/>
  <c r="D989"/>
  <c r="D991"/>
  <c r="D992"/>
  <c r="D993"/>
  <c r="D994"/>
  <c r="D995"/>
  <c r="D996"/>
  <c r="D997"/>
  <c r="D998"/>
  <c r="D999"/>
  <c r="D1000"/>
  <c r="D1002"/>
  <c r="D1003"/>
  <c r="D1004"/>
  <c r="D1005"/>
  <c r="D1006"/>
  <c r="D1007"/>
  <c r="D1008"/>
  <c r="D1009"/>
  <c r="D1010"/>
  <c r="D1011"/>
  <c r="D1013"/>
  <c r="D1014"/>
  <c r="D1015"/>
  <c r="D1016"/>
  <c r="D1017"/>
  <c r="D1018"/>
  <c r="D1019"/>
  <c r="D1020"/>
  <c r="D1021"/>
  <c r="D1022"/>
  <c r="D1024"/>
  <c r="D1025"/>
  <c r="D1026"/>
  <c r="D1027"/>
  <c r="D1028"/>
  <c r="D1029"/>
  <c r="D1030"/>
  <c r="D1031"/>
  <c r="D1032"/>
  <c r="D1033"/>
  <c r="D1035"/>
  <c r="D1036"/>
  <c r="D1037"/>
  <c r="D1038"/>
  <c r="D1039"/>
  <c r="D1040"/>
  <c r="D1041"/>
  <c r="D1042"/>
  <c r="D1043"/>
  <c r="D1044"/>
  <c r="D1046"/>
  <c r="D1047"/>
  <c r="D1048"/>
  <c r="D1049"/>
  <c r="D1050"/>
  <c r="D1051"/>
  <c r="D1052"/>
  <c r="D1053"/>
  <c r="D1054"/>
  <c r="D1055"/>
  <c r="D1057"/>
  <c r="D1058"/>
  <c r="D1059"/>
  <c r="D1060"/>
  <c r="D1061"/>
  <c r="D1062"/>
  <c r="D1063"/>
  <c r="D1064"/>
  <c r="D1065"/>
  <c r="D1066"/>
  <c r="D1068"/>
  <c r="D1069"/>
  <c r="D1070"/>
  <c r="D1071"/>
  <c r="D1072"/>
  <c r="D1073"/>
  <c r="D1074"/>
  <c r="D1075"/>
  <c r="D1076"/>
  <c r="D1077"/>
  <c r="D1079"/>
  <c r="D1080"/>
  <c r="D1081"/>
  <c r="D1082"/>
  <c r="D1083"/>
  <c r="D1084"/>
  <c r="D1085"/>
  <c r="D1086"/>
  <c r="D1087"/>
  <c r="D1088"/>
  <c r="D1090"/>
  <c r="D1091"/>
  <c r="D1092"/>
  <c r="D1093"/>
  <c r="D1094"/>
  <c r="D1095"/>
  <c r="D1096"/>
  <c r="D1097"/>
  <c r="D1098"/>
  <c r="D1099"/>
  <c r="D1101"/>
  <c r="D1102"/>
  <c r="D1103"/>
  <c r="D1104"/>
  <c r="D1105"/>
  <c r="D1106"/>
  <c r="D1107"/>
  <c r="D1108"/>
  <c r="D1109"/>
  <c r="D1110"/>
  <c r="D1112"/>
  <c r="D1113"/>
  <c r="D1114"/>
  <c r="D1115"/>
  <c r="D1116"/>
  <c r="D1117"/>
  <c r="D1118"/>
  <c r="D1119"/>
  <c r="D1120"/>
  <c r="D1121"/>
  <c r="D1123"/>
  <c r="D1124"/>
  <c r="D1125"/>
  <c r="D1126"/>
  <c r="D1127"/>
  <c r="D1128"/>
  <c r="D1129"/>
  <c r="D1130"/>
  <c r="D1131"/>
  <c r="D1132"/>
  <c r="D1134"/>
  <c r="D1135"/>
  <c r="D1136"/>
  <c r="D1137"/>
  <c r="D1138"/>
  <c r="D1139"/>
  <c r="D1140"/>
  <c r="D1141"/>
  <c r="D1142"/>
  <c r="D1143"/>
  <c r="D1145"/>
  <c r="D1146"/>
  <c r="D1147"/>
  <c r="D1148"/>
  <c r="D1149"/>
  <c r="D1150"/>
  <c r="D1151"/>
  <c r="D1152"/>
  <c r="D1153"/>
  <c r="D1154"/>
  <c r="D1156"/>
  <c r="D1157"/>
  <c r="D1158"/>
  <c r="D1159"/>
  <c r="D1160"/>
  <c r="D1161"/>
  <c r="D1162"/>
  <c r="D1163"/>
  <c r="D1164"/>
  <c r="D1165"/>
  <c r="D1167"/>
  <c r="D1168"/>
  <c r="D1169"/>
  <c r="D1170"/>
  <c r="D1171"/>
  <c r="D1172"/>
  <c r="D1173"/>
  <c r="D1174"/>
  <c r="D1175"/>
  <c r="D1176"/>
  <c r="D1178"/>
  <c r="D1179"/>
  <c r="D1180"/>
  <c r="D1181"/>
  <c r="D1182"/>
  <c r="D1183"/>
  <c r="D1184"/>
  <c r="D1185"/>
  <c r="D1186"/>
  <c r="D1187"/>
  <c r="D1189"/>
  <c r="D1190"/>
  <c r="D1191"/>
  <c r="D1192"/>
  <c r="D1193"/>
  <c r="D1194"/>
  <c r="D1195"/>
  <c r="D1196"/>
  <c r="D1197"/>
  <c r="D1198"/>
  <c r="D10"/>
  <c r="D9"/>
  <c r="D8"/>
  <c r="D7"/>
  <c r="D6"/>
  <c r="D5"/>
  <c r="D4"/>
  <c r="D3"/>
  <c r="D2"/>
  <c r="D1"/>
  <c r="D1517"/>
  <c r="D1516"/>
  <c r="D1515"/>
  <c r="D1514"/>
  <c r="D1513"/>
  <c r="D1512"/>
  <c r="D1511"/>
  <c r="D1510"/>
  <c r="D1509"/>
  <c r="D1508"/>
  <c r="D1506"/>
  <c r="D1505"/>
  <c r="D1504"/>
  <c r="D1503"/>
  <c r="D1502"/>
  <c r="D1501"/>
  <c r="D1500"/>
  <c r="D1499"/>
  <c r="D1498"/>
  <c r="D1497"/>
  <c r="D1495"/>
  <c r="D1494"/>
  <c r="D1493"/>
  <c r="D1492"/>
  <c r="D1491"/>
  <c r="D1490"/>
  <c r="D1489"/>
  <c r="D1488"/>
  <c r="D1487"/>
  <c r="D1486"/>
  <c r="D1484"/>
  <c r="D1483"/>
  <c r="D1482"/>
  <c r="D1481"/>
  <c r="D1480"/>
  <c r="D1479"/>
  <c r="D1478"/>
  <c r="D1477"/>
  <c r="D1476"/>
  <c r="D1475"/>
  <c r="D1473"/>
  <c r="D1472"/>
  <c r="D1471"/>
  <c r="D1470"/>
  <c r="D1469"/>
  <c r="D1468"/>
  <c r="D1467"/>
  <c r="D1466"/>
  <c r="D1465"/>
  <c r="D1464"/>
  <c r="D1462"/>
  <c r="D1461"/>
  <c r="D1460"/>
  <c r="D1459"/>
  <c r="D1458"/>
  <c r="D1457"/>
  <c r="D1456"/>
  <c r="D1455"/>
  <c r="D1454"/>
  <c r="D1453"/>
  <c r="D1451"/>
  <c r="D1450"/>
  <c r="D1449"/>
  <c r="D1448"/>
  <c r="D1447"/>
  <c r="D1446"/>
  <c r="D1445"/>
  <c r="D1444"/>
  <c r="D1443"/>
  <c r="D1442"/>
  <c r="D1440"/>
  <c r="D1439"/>
  <c r="D1438"/>
  <c r="D1437"/>
  <c r="D1436"/>
  <c r="D1435"/>
  <c r="D1434"/>
  <c r="D1433"/>
  <c r="D1432"/>
  <c r="D1431"/>
  <c r="D1429"/>
  <c r="D1428"/>
  <c r="D1427"/>
  <c r="D1426"/>
  <c r="D1425"/>
  <c r="D1424"/>
  <c r="D1423"/>
  <c r="D1422"/>
  <c r="D1421"/>
  <c r="D1420"/>
  <c r="D1418"/>
  <c r="D1417"/>
  <c r="D1416"/>
  <c r="D1415"/>
  <c r="D1414"/>
  <c r="D1413"/>
  <c r="D1412"/>
  <c r="D1411"/>
  <c r="D1410"/>
  <c r="D1409"/>
  <c r="D1407"/>
  <c r="D1406"/>
  <c r="D1405"/>
  <c r="D1404"/>
  <c r="D1403"/>
  <c r="D1402"/>
  <c r="D1401"/>
  <c r="D1400"/>
  <c r="D1399"/>
  <c r="D1398"/>
  <c r="D1396"/>
  <c r="D1395"/>
  <c r="D1394"/>
  <c r="D1393"/>
  <c r="D1392"/>
  <c r="D1391"/>
  <c r="D1390"/>
  <c r="D1389"/>
  <c r="D1388"/>
  <c r="D1387"/>
  <c r="D1385"/>
  <c r="D1384"/>
  <c r="D1383"/>
  <c r="D1382"/>
  <c r="D1381"/>
  <c r="D1380"/>
  <c r="D1379"/>
  <c r="D1378"/>
  <c r="D1377"/>
  <c r="D1376"/>
  <c r="D1374"/>
  <c r="D1373"/>
  <c r="D1372"/>
  <c r="D1371"/>
  <c r="D1370"/>
  <c r="D1369"/>
  <c r="D1368"/>
  <c r="D1367"/>
  <c r="D1366"/>
  <c r="D1365"/>
  <c r="D1363"/>
  <c r="D1362"/>
  <c r="D1361"/>
  <c r="D1360"/>
  <c r="D1359"/>
  <c r="D1358"/>
  <c r="D1357"/>
  <c r="D1356"/>
  <c r="D1355"/>
  <c r="D1354"/>
  <c r="D1352"/>
  <c r="D1351"/>
  <c r="D1350"/>
  <c r="D1349"/>
  <c r="D1348"/>
  <c r="D1347"/>
  <c r="D1346"/>
  <c r="D1345"/>
  <c r="D1344"/>
  <c r="D1343"/>
  <c r="D1341"/>
  <c r="D1340"/>
  <c r="D1339"/>
  <c r="D1338"/>
  <c r="D1337"/>
  <c r="D1336"/>
  <c r="D1335"/>
  <c r="D1334"/>
  <c r="D1333"/>
  <c r="D1332"/>
  <c r="D1330"/>
  <c r="D1329"/>
  <c r="D1328"/>
  <c r="D1327"/>
  <c r="D1326"/>
  <c r="D1325"/>
  <c r="D1324"/>
  <c r="D1323"/>
  <c r="D1322"/>
  <c r="D1321"/>
  <c r="D1319"/>
  <c r="D1318"/>
  <c r="D1317"/>
  <c r="D1316"/>
  <c r="D1315"/>
  <c r="D1314"/>
  <c r="D1313"/>
  <c r="D1312"/>
  <c r="D1311"/>
  <c r="D1310"/>
  <c r="D1308"/>
  <c r="D1307"/>
  <c r="D1306"/>
  <c r="D1305"/>
  <c r="D1304"/>
  <c r="D1303"/>
  <c r="D1302"/>
  <c r="D1301"/>
  <c r="D1300"/>
  <c r="D1299"/>
  <c r="D1297"/>
  <c r="D1296"/>
  <c r="D1295"/>
  <c r="D1294"/>
  <c r="D1293"/>
  <c r="D1292"/>
  <c r="D1291"/>
  <c r="D1290"/>
  <c r="D1289"/>
  <c r="D1288"/>
  <c r="D1286"/>
  <c r="D1285"/>
  <c r="D1284"/>
  <c r="D1283"/>
  <c r="D1282"/>
  <c r="D1281"/>
  <c r="D1280"/>
  <c r="D1279"/>
  <c r="D1278"/>
  <c r="D1277"/>
  <c r="D1275"/>
  <c r="D1274"/>
  <c r="D1273"/>
  <c r="D1272"/>
  <c r="D1271"/>
  <c r="D1270"/>
  <c r="D1269"/>
  <c r="D1268"/>
  <c r="D1267"/>
  <c r="D1266"/>
  <c r="D1264"/>
  <c r="D1263"/>
  <c r="D1262"/>
  <c r="D1261"/>
  <c r="D1260"/>
  <c r="D1259"/>
  <c r="D1258"/>
  <c r="D1257"/>
  <c r="D1256"/>
  <c r="D1255"/>
  <c r="D1253"/>
  <c r="D1252"/>
  <c r="D1251"/>
  <c r="D1250"/>
  <c r="D1249"/>
  <c r="D1248"/>
  <c r="D1247"/>
  <c r="D1246"/>
  <c r="D1245"/>
  <c r="D1244"/>
  <c r="D1242"/>
  <c r="D1241"/>
  <c r="D1240"/>
  <c r="D1239"/>
  <c r="D1238"/>
  <c r="D1237"/>
  <c r="D1236"/>
  <c r="D1235"/>
  <c r="D1234"/>
  <c r="D1233"/>
  <c r="D1231"/>
  <c r="D1230"/>
  <c r="D1229"/>
  <c r="D1228"/>
  <c r="D1227"/>
  <c r="D1226"/>
  <c r="D1225"/>
  <c r="D1224"/>
  <c r="D1223"/>
  <c r="D1222"/>
  <c r="D1220"/>
  <c r="D1219"/>
  <c r="D1218"/>
  <c r="D1217"/>
  <c r="D1216"/>
  <c r="D1215"/>
  <c r="D1214"/>
  <c r="D1213"/>
  <c r="D1212"/>
  <c r="D1211"/>
  <c r="D1209"/>
  <c r="D1208"/>
  <c r="D1207"/>
  <c r="D1206"/>
  <c r="D1205"/>
  <c r="D1204"/>
  <c r="D1203"/>
  <c r="D1202"/>
  <c r="D1201"/>
  <c r="D1200"/>
  <c r="D1858"/>
  <c r="D1857"/>
  <c r="D1856"/>
  <c r="D1855"/>
  <c r="D1854"/>
  <c r="D1853"/>
  <c r="D1852"/>
  <c r="D1851"/>
  <c r="D1850"/>
  <c r="D1849"/>
  <c r="D1847"/>
  <c r="D1846"/>
  <c r="D1845"/>
  <c r="D1844"/>
  <c r="D1843"/>
  <c r="D1842"/>
  <c r="D1841"/>
  <c r="D1840"/>
  <c r="D1839"/>
  <c r="D1838"/>
  <c r="D1836"/>
  <c r="D1835"/>
  <c r="D1834"/>
  <c r="D1833"/>
  <c r="D1832"/>
  <c r="D1831"/>
  <c r="D1830"/>
  <c r="D1829"/>
  <c r="D1828"/>
  <c r="D1827"/>
  <c r="D1825"/>
  <c r="D1824"/>
  <c r="D1823"/>
  <c r="D1822"/>
  <c r="D1821"/>
  <c r="D1820"/>
  <c r="D1819"/>
  <c r="D1818"/>
  <c r="D1817"/>
  <c r="D1816"/>
  <c r="D1814"/>
  <c r="D1813"/>
  <c r="D1812"/>
  <c r="D1811"/>
  <c r="D1810"/>
  <c r="D1809"/>
  <c r="D1808"/>
  <c r="D1807"/>
  <c r="D1806"/>
  <c r="D1805"/>
  <c r="D1803"/>
  <c r="D1802"/>
  <c r="D1801"/>
  <c r="D1800"/>
  <c r="D1799"/>
  <c r="D1798"/>
  <c r="D1797"/>
  <c r="D1796"/>
  <c r="D1795"/>
  <c r="D1794"/>
  <c r="D1792"/>
  <c r="D1791"/>
  <c r="D1790"/>
  <c r="D1789"/>
  <c r="D1788"/>
  <c r="D1787"/>
  <c r="D1786"/>
  <c r="D1785"/>
  <c r="D1784"/>
  <c r="D1783"/>
  <c r="D1781"/>
  <c r="D1780"/>
  <c r="D1779"/>
  <c r="D1778"/>
  <c r="D1777"/>
  <c r="D1776"/>
  <c r="D1775"/>
  <c r="D1774"/>
  <c r="D1773"/>
  <c r="D1772"/>
  <c r="D1770"/>
  <c r="D1769"/>
  <c r="D1768"/>
  <c r="D1767"/>
  <c r="D1766"/>
  <c r="D1765"/>
  <c r="D1764"/>
  <c r="D1763"/>
  <c r="D1762"/>
  <c r="D1761"/>
  <c r="D1759"/>
  <c r="D1758"/>
  <c r="D1757"/>
  <c r="D1756"/>
  <c r="D1755"/>
  <c r="D1754"/>
  <c r="D1753"/>
  <c r="D1752"/>
  <c r="D1751"/>
  <c r="D1750"/>
  <c r="D1748"/>
  <c r="D1747"/>
  <c r="D1746"/>
  <c r="D1745"/>
  <c r="D1744"/>
  <c r="D1743"/>
  <c r="D1742"/>
  <c r="D1741"/>
  <c r="D1740"/>
  <c r="D1739"/>
  <c r="D1737"/>
  <c r="D1736"/>
  <c r="D1735"/>
  <c r="D1734"/>
  <c r="D1733"/>
  <c r="D1732"/>
  <c r="D1731"/>
  <c r="D1730"/>
  <c r="D1729"/>
  <c r="D1728"/>
  <c r="D1726"/>
  <c r="D1725"/>
  <c r="D1724"/>
  <c r="D1723"/>
  <c r="D1722"/>
  <c r="D1721"/>
  <c r="D1720"/>
  <c r="D1719"/>
  <c r="D1718"/>
  <c r="D1717"/>
  <c r="D1715"/>
  <c r="D1714"/>
  <c r="D1713"/>
  <c r="D1712"/>
  <c r="D1711"/>
  <c r="D1710"/>
  <c r="D1709"/>
  <c r="D1708"/>
  <c r="D1707"/>
  <c r="D1706"/>
  <c r="D1704"/>
  <c r="D1703"/>
  <c r="D1702"/>
  <c r="D1701"/>
  <c r="D1700"/>
  <c r="D1699"/>
  <c r="D1698"/>
  <c r="D1697"/>
  <c r="D1696"/>
  <c r="D1695"/>
  <c r="D1693"/>
  <c r="D1692"/>
  <c r="D1691"/>
  <c r="D1690"/>
  <c r="D1689"/>
  <c r="D1688"/>
  <c r="D1687"/>
  <c r="D1686"/>
  <c r="D1685"/>
  <c r="D1684"/>
  <c r="D1682"/>
  <c r="D1681"/>
  <c r="D1680"/>
  <c r="D1679"/>
  <c r="D1678"/>
  <c r="D1677"/>
  <c r="D1676"/>
  <c r="D1675"/>
  <c r="D1674"/>
  <c r="D1673"/>
  <c r="D1671"/>
  <c r="D1670"/>
  <c r="D1669"/>
  <c r="D1668"/>
  <c r="D1667"/>
  <c r="D1666"/>
  <c r="D1665"/>
  <c r="D1664"/>
  <c r="D1663"/>
  <c r="D1662"/>
  <c r="D1660"/>
  <c r="D1659"/>
  <c r="D1658"/>
  <c r="D1657"/>
  <c r="D1656"/>
  <c r="D1655"/>
  <c r="D1654"/>
  <c r="D1653"/>
  <c r="D1652"/>
  <c r="D1651"/>
  <c r="D1649"/>
  <c r="D1648"/>
  <c r="D1647"/>
  <c r="D1646"/>
  <c r="D1645"/>
  <c r="D1644"/>
  <c r="D1643"/>
  <c r="D1642"/>
  <c r="D1641"/>
  <c r="D1640"/>
  <c r="D1638"/>
  <c r="D1637"/>
  <c r="D1636"/>
  <c r="D1635"/>
  <c r="D1634"/>
  <c r="D1633"/>
  <c r="D1632"/>
  <c r="D1631"/>
  <c r="D1630"/>
  <c r="D1629"/>
  <c r="D1627"/>
  <c r="D1626"/>
  <c r="D1625"/>
  <c r="D1624"/>
  <c r="D1623"/>
  <c r="D1622"/>
  <c r="D1621"/>
  <c r="D1620"/>
  <c r="D1619"/>
  <c r="D1618"/>
  <c r="D1616"/>
  <c r="D1615"/>
  <c r="D1614"/>
  <c r="D1613"/>
  <c r="D1612"/>
  <c r="D1611"/>
  <c r="D1610"/>
  <c r="D1609"/>
  <c r="D1608"/>
  <c r="D1607"/>
  <c r="D1605"/>
  <c r="D1604"/>
  <c r="D1603"/>
  <c r="D1602"/>
  <c r="D1601"/>
  <c r="D1600"/>
  <c r="D1599"/>
  <c r="D1598"/>
  <c r="D1597"/>
  <c r="D1596"/>
  <c r="D1594"/>
  <c r="D1593"/>
  <c r="D1592"/>
  <c r="D1591"/>
  <c r="D1590"/>
  <c r="D1589"/>
  <c r="D1588"/>
  <c r="D1587"/>
  <c r="D1586"/>
  <c r="D1585"/>
  <c r="D1583"/>
  <c r="D1582"/>
  <c r="D1581"/>
  <c r="D1580"/>
  <c r="D1579"/>
  <c r="D1578"/>
  <c r="D1577"/>
  <c r="D1576"/>
  <c r="D1575"/>
  <c r="D1574"/>
  <c r="D1572"/>
  <c r="D1571"/>
  <c r="D1570"/>
  <c r="D1569"/>
  <c r="D1568"/>
  <c r="D1567"/>
  <c r="D1566"/>
  <c r="D1565"/>
  <c r="D1564"/>
  <c r="D1563"/>
  <c r="D1561"/>
  <c r="D1560"/>
  <c r="D1559"/>
  <c r="D1558"/>
  <c r="D1557"/>
  <c r="D1556"/>
  <c r="D1555"/>
  <c r="D1554"/>
  <c r="D1553"/>
  <c r="D1552"/>
  <c r="D1550"/>
  <c r="D1549"/>
  <c r="D1548"/>
  <c r="D1547"/>
  <c r="D1546"/>
  <c r="D1545"/>
  <c r="D1544"/>
  <c r="D1543"/>
  <c r="D1542"/>
  <c r="D1541"/>
  <c r="D1539"/>
  <c r="D1538"/>
  <c r="D1537"/>
  <c r="D1536"/>
  <c r="D1535"/>
  <c r="D1534"/>
  <c r="D1533"/>
  <c r="D1532"/>
  <c r="D1531"/>
  <c r="D1530"/>
  <c r="D1528"/>
  <c r="D1527"/>
  <c r="D1526"/>
  <c r="D1525"/>
  <c r="D1524"/>
  <c r="D1523"/>
  <c r="D1522"/>
  <c r="D1521"/>
  <c r="D1520"/>
  <c r="D1519"/>
  <c r="D2199"/>
  <c r="D2198"/>
  <c r="D2197"/>
  <c r="D2196"/>
  <c r="D2195"/>
  <c r="D2194"/>
  <c r="D2193"/>
  <c r="D2192"/>
  <c r="D2191"/>
  <c r="D2190"/>
  <c r="D2188"/>
  <c r="D2187"/>
  <c r="D2186"/>
  <c r="D2185"/>
  <c r="D2184"/>
  <c r="D2183"/>
  <c r="D2182"/>
  <c r="D2181"/>
  <c r="D2180"/>
  <c r="D2179"/>
  <c r="D2177"/>
  <c r="D2176"/>
  <c r="D2175"/>
  <c r="D2174"/>
  <c r="D2173"/>
  <c r="D2172"/>
  <c r="D2171"/>
  <c r="D2170"/>
  <c r="D2169"/>
  <c r="D2168"/>
  <c r="D2166"/>
  <c r="D2165"/>
  <c r="D2164"/>
  <c r="D2163"/>
  <c r="D2162"/>
  <c r="D2161"/>
  <c r="D2160"/>
  <c r="D2159"/>
  <c r="D2158"/>
  <c r="D2157"/>
  <c r="D2155"/>
  <c r="D2154"/>
  <c r="D2153"/>
  <c r="D2152"/>
  <c r="D2151"/>
  <c r="D2150"/>
  <c r="D2149"/>
  <c r="D2148"/>
  <c r="D2147"/>
  <c r="D2146"/>
  <c r="D2144"/>
  <c r="D2143"/>
  <c r="D2142"/>
  <c r="D2141"/>
  <c r="D2140"/>
  <c r="D2139"/>
  <c r="D2138"/>
  <c r="D2137"/>
  <c r="D2136"/>
  <c r="D2135"/>
  <c r="D2133"/>
  <c r="D2132"/>
  <c r="D2131"/>
  <c r="D2130"/>
  <c r="D2129"/>
  <c r="D2128"/>
  <c r="D2127"/>
  <c r="D2126"/>
  <c r="D2125"/>
  <c r="D2124"/>
  <c r="D2122"/>
  <c r="D2121"/>
  <c r="D2120"/>
  <c r="D2119"/>
  <c r="D2118"/>
  <c r="D2117"/>
  <c r="D2116"/>
  <c r="D2115"/>
  <c r="D2114"/>
  <c r="D2113"/>
  <c r="D2111"/>
  <c r="D2110"/>
  <c r="D2109"/>
  <c r="D2108"/>
  <c r="D2107"/>
  <c r="D2106"/>
  <c r="D2105"/>
  <c r="D2104"/>
  <c r="D2103"/>
  <c r="D2102"/>
  <c r="D2100"/>
  <c r="D2099"/>
  <c r="D2098"/>
  <c r="D2097"/>
  <c r="D2096"/>
  <c r="D2095"/>
  <c r="D2094"/>
  <c r="D2093"/>
  <c r="D2092"/>
  <c r="D2091"/>
  <c r="D2089"/>
  <c r="D2088"/>
  <c r="D2087"/>
  <c r="D2086"/>
  <c r="D2085"/>
  <c r="D2084"/>
  <c r="D2083"/>
  <c r="D2082"/>
  <c r="D2081"/>
  <c r="D2080"/>
  <c r="D2078"/>
  <c r="D2077"/>
  <c r="D2076"/>
  <c r="D2075"/>
  <c r="D2074"/>
  <c r="D2073"/>
  <c r="D2072"/>
  <c r="D2071"/>
  <c r="D2070"/>
  <c r="D2069"/>
  <c r="D2067"/>
  <c r="D2066"/>
  <c r="D2065"/>
  <c r="D2064"/>
  <c r="D2063"/>
  <c r="D2062"/>
  <c r="D2061"/>
  <c r="D2060"/>
  <c r="D2059"/>
  <c r="D2058"/>
  <c r="D2056"/>
  <c r="D2055"/>
  <c r="D2054"/>
  <c r="D2053"/>
  <c r="D2052"/>
  <c r="D2051"/>
  <c r="D2050"/>
  <c r="D2049"/>
  <c r="D2048"/>
  <c r="D2047"/>
  <c r="D2045"/>
  <c r="D2044"/>
  <c r="D2043"/>
  <c r="D2042"/>
  <c r="D2041"/>
  <c r="D2040"/>
  <c r="D2039"/>
  <c r="D2038"/>
  <c r="D2037"/>
  <c r="D2036"/>
  <c r="D2034"/>
  <c r="D2033"/>
  <c r="D2032"/>
  <c r="D2031"/>
  <c r="D2030"/>
  <c r="D2029"/>
  <c r="D2028"/>
  <c r="D2027"/>
  <c r="D2026"/>
  <c r="D2025"/>
  <c r="D2023"/>
  <c r="D2022"/>
  <c r="D2021"/>
  <c r="D2020"/>
  <c r="D2019"/>
  <c r="D2018"/>
  <c r="D2017"/>
  <c r="D2016"/>
  <c r="D2015"/>
  <c r="D2014"/>
  <c r="D2012"/>
  <c r="D2011"/>
  <c r="D2010"/>
  <c r="D2009"/>
  <c r="D2008"/>
  <c r="D2007"/>
  <c r="D2006"/>
  <c r="D2005"/>
  <c r="D2004"/>
  <c r="D2003"/>
  <c r="D2001"/>
  <c r="D2000"/>
  <c r="D1999"/>
  <c r="D1998"/>
  <c r="D1997"/>
  <c r="D1996"/>
  <c r="D1995"/>
  <c r="D1994"/>
  <c r="D1993"/>
  <c r="D1992"/>
  <c r="D1990"/>
  <c r="D1989"/>
  <c r="D1988"/>
  <c r="D1987"/>
  <c r="D1986"/>
  <c r="D1985"/>
  <c r="D1984"/>
  <c r="D1983"/>
  <c r="D1982"/>
  <c r="D1981"/>
  <c r="D1979"/>
  <c r="D1978"/>
  <c r="D1977"/>
  <c r="D1976"/>
  <c r="D1975"/>
  <c r="D1974"/>
  <c r="D1973"/>
  <c r="D1972"/>
  <c r="D1971"/>
  <c r="D1970"/>
  <c r="D1968"/>
  <c r="D1967"/>
  <c r="D1966"/>
  <c r="D1965"/>
  <c r="D1964"/>
  <c r="D1963"/>
  <c r="D1962"/>
  <c r="D1961"/>
  <c r="D1960"/>
  <c r="D1959"/>
  <c r="D1957"/>
  <c r="D1956"/>
  <c r="D1955"/>
  <c r="D1954"/>
  <c r="D1953"/>
  <c r="D1952"/>
  <c r="D1951"/>
  <c r="D1950"/>
  <c r="D1949"/>
  <c r="D1948"/>
  <c r="D1946"/>
  <c r="D1945"/>
  <c r="D1944"/>
  <c r="D1943"/>
  <c r="D1942"/>
  <c r="D1941"/>
  <c r="D1940"/>
  <c r="D1939"/>
  <c r="D1938"/>
  <c r="D1937"/>
  <c r="D1935"/>
  <c r="D1934"/>
  <c r="D1933"/>
  <c r="D1932"/>
  <c r="D1931"/>
  <c r="D1930"/>
  <c r="D1929"/>
  <c r="D1928"/>
  <c r="D1927"/>
  <c r="D1926"/>
  <c r="D1924"/>
  <c r="D1923"/>
  <c r="D1922"/>
  <c r="D1921"/>
  <c r="D1920"/>
  <c r="D1919"/>
  <c r="D1918"/>
  <c r="D1917"/>
  <c r="D1916"/>
  <c r="D1915"/>
  <c r="D1913"/>
  <c r="D1912"/>
  <c r="D1911"/>
  <c r="D1910"/>
  <c r="D1909"/>
  <c r="D1908"/>
  <c r="D1907"/>
  <c r="D1906"/>
  <c r="D1905"/>
  <c r="D1904"/>
  <c r="D1902"/>
  <c r="D1901"/>
  <c r="D1900"/>
  <c r="D1899"/>
  <c r="D1898"/>
  <c r="D1897"/>
  <c r="D1896"/>
  <c r="D1895"/>
  <c r="D1894"/>
  <c r="D1893"/>
  <c r="D1891"/>
  <c r="D1890"/>
  <c r="D1889"/>
  <c r="D1888"/>
  <c r="D1887"/>
  <c r="D1886"/>
  <c r="D1885"/>
  <c r="D1884"/>
  <c r="D1883"/>
  <c r="D1882"/>
  <c r="D1880"/>
  <c r="D1879"/>
  <c r="D1878"/>
  <c r="D1877"/>
  <c r="D1876"/>
  <c r="D1875"/>
  <c r="D1874"/>
  <c r="D1873"/>
  <c r="D1872"/>
  <c r="D1871"/>
  <c r="D1869"/>
  <c r="D1868"/>
  <c r="D1867"/>
  <c r="D1866"/>
  <c r="D1865"/>
  <c r="D1864"/>
  <c r="D1863"/>
  <c r="D1862"/>
  <c r="D1861"/>
  <c r="D1860"/>
  <c r="D2507"/>
  <c r="D2506"/>
  <c r="D2505"/>
  <c r="D2504"/>
  <c r="D2503"/>
  <c r="D2502"/>
  <c r="D2501"/>
  <c r="D2500"/>
  <c r="D2499"/>
  <c r="D2498"/>
  <c r="D2496"/>
  <c r="D2495"/>
  <c r="D2494"/>
  <c r="D2493"/>
  <c r="D2492"/>
  <c r="D2491"/>
  <c r="D2490"/>
  <c r="D2489"/>
  <c r="D2488"/>
  <c r="D2487"/>
  <c r="D2485"/>
  <c r="D2484"/>
  <c r="D2483"/>
  <c r="D2482"/>
  <c r="D2481"/>
  <c r="D2480"/>
  <c r="D2479"/>
  <c r="D2478"/>
  <c r="D2477"/>
  <c r="D2476"/>
  <c r="D2474"/>
  <c r="D2473"/>
  <c r="D2472"/>
  <c r="D2471"/>
  <c r="D2470"/>
  <c r="D2469"/>
  <c r="D2468"/>
  <c r="D2467"/>
  <c r="D2466"/>
  <c r="D2465"/>
  <c r="D2463"/>
  <c r="D2462"/>
  <c r="D2461"/>
  <c r="D2460"/>
  <c r="D2459"/>
  <c r="D2458"/>
  <c r="D2457"/>
  <c r="D2456"/>
  <c r="D2455"/>
  <c r="D2454"/>
  <c r="D2452"/>
  <c r="D2451"/>
  <c r="D2450"/>
  <c r="D2449"/>
  <c r="D2448"/>
  <c r="D2447"/>
  <c r="D2446"/>
  <c r="D2445"/>
  <c r="D2444"/>
  <c r="D2443"/>
  <c r="D2441"/>
  <c r="D2440"/>
  <c r="D2439"/>
  <c r="D2438"/>
  <c r="D2437"/>
  <c r="D2436"/>
  <c r="D2435"/>
  <c r="D2434"/>
  <c r="D2433"/>
  <c r="D2432"/>
  <c r="D2430"/>
  <c r="D2429"/>
  <c r="D2428"/>
  <c r="D2427"/>
  <c r="D2426"/>
  <c r="D2425"/>
  <c r="D2424"/>
  <c r="D2423"/>
  <c r="D2422"/>
  <c r="D2421"/>
  <c r="D2419"/>
  <c r="D2418"/>
  <c r="D2417"/>
  <c r="D2416"/>
  <c r="D2415"/>
  <c r="D2414"/>
  <c r="D2413"/>
  <c r="D2412"/>
  <c r="D2411"/>
  <c r="D2410"/>
  <c r="D2408"/>
  <c r="D2407"/>
  <c r="D2406"/>
  <c r="D2405"/>
  <c r="D2404"/>
  <c r="D2403"/>
  <c r="D2402"/>
  <c r="D2401"/>
  <c r="D2400"/>
  <c r="D2399"/>
  <c r="D2397"/>
  <c r="D2396"/>
  <c r="D2395"/>
  <c r="D2394"/>
  <c r="D2393"/>
  <c r="D2392"/>
  <c r="D2391"/>
  <c r="D2390"/>
  <c r="D2389"/>
  <c r="D2388"/>
  <c r="D2386"/>
  <c r="D2385"/>
  <c r="D2384"/>
  <c r="D2383"/>
  <c r="D2382"/>
  <c r="D2381"/>
  <c r="D2380"/>
  <c r="D2379"/>
  <c r="D2378"/>
  <c r="D2377"/>
  <c r="D2375"/>
  <c r="D2374"/>
  <c r="D2373"/>
  <c r="D2372"/>
  <c r="D2371"/>
  <c r="D2370"/>
  <c r="D2369"/>
  <c r="D2368"/>
  <c r="D2367"/>
  <c r="D2366"/>
  <c r="D2364"/>
  <c r="D2363"/>
  <c r="D2362"/>
  <c r="D2361"/>
  <c r="D2360"/>
  <c r="D2359"/>
  <c r="D2358"/>
  <c r="D2357"/>
  <c r="D2356"/>
  <c r="D2355"/>
  <c r="D2353"/>
  <c r="D2352"/>
  <c r="D2351"/>
  <c r="D2350"/>
  <c r="D2349"/>
  <c r="D2348"/>
  <c r="D2347"/>
  <c r="D2346"/>
  <c r="D2345"/>
  <c r="D2344"/>
  <c r="D2342"/>
  <c r="D2341"/>
  <c r="D2340"/>
  <c r="D2339"/>
  <c r="D2338"/>
  <c r="D2337"/>
  <c r="D2336"/>
  <c r="D2335"/>
  <c r="D2334"/>
  <c r="D2333"/>
  <c r="D2331"/>
  <c r="D2330"/>
  <c r="D2329"/>
  <c r="D2328"/>
  <c r="D2327"/>
  <c r="D2326"/>
  <c r="D2325"/>
  <c r="D2324"/>
  <c r="D2323"/>
  <c r="D2322"/>
  <c r="D2320"/>
  <c r="D2319"/>
  <c r="D2318"/>
  <c r="D2317"/>
  <c r="D2316"/>
  <c r="D2315"/>
  <c r="D2314"/>
  <c r="D2313"/>
  <c r="D2312"/>
  <c r="D2311"/>
  <c r="D2309"/>
  <c r="D2308"/>
  <c r="D2307"/>
  <c r="D2306"/>
  <c r="D2305"/>
  <c r="D2304"/>
  <c r="D2303"/>
  <c r="D2302"/>
  <c r="D2301"/>
  <c r="D2300"/>
  <c r="D2298"/>
  <c r="D2297"/>
  <c r="D2296"/>
  <c r="D2295"/>
  <c r="D2294"/>
  <c r="D2293"/>
  <c r="D2292"/>
  <c r="D2291"/>
  <c r="D2290"/>
  <c r="D2289"/>
  <c r="D2287"/>
  <c r="D2286"/>
  <c r="D2285"/>
  <c r="D2284"/>
  <c r="D2283"/>
  <c r="D2282"/>
  <c r="D2281"/>
  <c r="D2280"/>
  <c r="D2279"/>
  <c r="D2278"/>
  <c r="D2276"/>
  <c r="D2275"/>
  <c r="D2274"/>
  <c r="D2273"/>
  <c r="D2272"/>
  <c r="D2271"/>
  <c r="D2270"/>
  <c r="D2269"/>
  <c r="D2268"/>
  <c r="D2267"/>
  <c r="D2265"/>
  <c r="D2264"/>
  <c r="D2263"/>
  <c r="D2262"/>
  <c r="D2261"/>
  <c r="D2260"/>
  <c r="D2259"/>
  <c r="D2258"/>
  <c r="D2257"/>
  <c r="D2256"/>
  <c r="D2254"/>
  <c r="D2253"/>
  <c r="D2252"/>
  <c r="D2251"/>
  <c r="D2250"/>
  <c r="D2249"/>
  <c r="D2248"/>
  <c r="D2247"/>
  <c r="D2246"/>
  <c r="D2245"/>
  <c r="D2243"/>
  <c r="D2242"/>
  <c r="D2241"/>
  <c r="D2240"/>
  <c r="D2239"/>
  <c r="D2238"/>
  <c r="D2237"/>
  <c r="D2236"/>
  <c r="D2235"/>
  <c r="D2234"/>
  <c r="D2232"/>
  <c r="D2231"/>
  <c r="D2230"/>
  <c r="D2229"/>
  <c r="D2228"/>
  <c r="D2227"/>
  <c r="D2226"/>
  <c r="D2225"/>
  <c r="D2224"/>
  <c r="D2223"/>
  <c r="D2221"/>
  <c r="D2220"/>
  <c r="D2219"/>
  <c r="D2218"/>
  <c r="D2217"/>
  <c r="D2216"/>
  <c r="D2215"/>
  <c r="D2214"/>
  <c r="D2213"/>
  <c r="D2212"/>
  <c r="D2210"/>
  <c r="D2209"/>
  <c r="D2208"/>
  <c r="D2207"/>
  <c r="D2206"/>
  <c r="D2205"/>
  <c r="D2204"/>
  <c r="D2203"/>
  <c r="D2202"/>
  <c r="D2201"/>
  <c r="D3849"/>
  <c r="D3848"/>
  <c r="D3847"/>
  <c r="D3846"/>
  <c r="D3845"/>
  <c r="D3844"/>
  <c r="D3843"/>
  <c r="D3842"/>
  <c r="D3841"/>
  <c r="D3840"/>
  <c r="D3838"/>
  <c r="D3837"/>
  <c r="D3836"/>
  <c r="D3835"/>
  <c r="D3834"/>
  <c r="D3833"/>
  <c r="D3832"/>
  <c r="D3831"/>
  <c r="D3830"/>
  <c r="D3829"/>
  <c r="D3827"/>
  <c r="D3826"/>
  <c r="D3825"/>
  <c r="D3824"/>
  <c r="D3823"/>
  <c r="D3822"/>
  <c r="D3821"/>
  <c r="D3820"/>
  <c r="D3819"/>
  <c r="D3818"/>
  <c r="D3816"/>
  <c r="D3815"/>
  <c r="D3814"/>
  <c r="D3813"/>
  <c r="D3812"/>
  <c r="D3811"/>
  <c r="D3810"/>
  <c r="D3809"/>
  <c r="D3808"/>
  <c r="D3807"/>
  <c r="D3805"/>
  <c r="D3804"/>
  <c r="D3803"/>
  <c r="D3802"/>
  <c r="D3801"/>
  <c r="D3800"/>
  <c r="D3799"/>
  <c r="D3798"/>
  <c r="D3797"/>
  <c r="D3796"/>
  <c r="D3794"/>
  <c r="D3793"/>
  <c r="D3792"/>
  <c r="D3791"/>
  <c r="D3790"/>
  <c r="D3789"/>
  <c r="D3788"/>
  <c r="D3787"/>
  <c r="D3786"/>
  <c r="D3785"/>
  <c r="D3783"/>
  <c r="D3782"/>
  <c r="D3781"/>
  <c r="D3780"/>
  <c r="D3779"/>
  <c r="D3778"/>
  <c r="D3777"/>
  <c r="D3776"/>
  <c r="D3775"/>
  <c r="D3774"/>
  <c r="D3772"/>
  <c r="D3771"/>
  <c r="D3770"/>
  <c r="D3769"/>
  <c r="D3768"/>
  <c r="D3767"/>
  <c r="D3766"/>
  <c r="D3765"/>
  <c r="D3764"/>
  <c r="D3763"/>
  <c r="D3761"/>
  <c r="D3760"/>
  <c r="D3759"/>
  <c r="D3758"/>
  <c r="D3757"/>
  <c r="D3756"/>
  <c r="D3755"/>
  <c r="D3754"/>
  <c r="D3753"/>
  <c r="D3752"/>
  <c r="D3750"/>
  <c r="D3749"/>
  <c r="D3748"/>
  <c r="D3747"/>
  <c r="D3746"/>
  <c r="D3745"/>
  <c r="D3744"/>
  <c r="D3743"/>
  <c r="D3742"/>
  <c r="D3741"/>
  <c r="D3739"/>
  <c r="D3738"/>
  <c r="D3737"/>
  <c r="D3736"/>
  <c r="D3735"/>
  <c r="D3734"/>
  <c r="D3733"/>
  <c r="D3732"/>
  <c r="D3731"/>
  <c r="D3730"/>
  <c r="D3728"/>
  <c r="D3727"/>
  <c r="D3726"/>
  <c r="D3725"/>
  <c r="D3724"/>
  <c r="D3723"/>
  <c r="D3722"/>
  <c r="D3721"/>
  <c r="D3720"/>
  <c r="D3719"/>
  <c r="D3717"/>
  <c r="D3716"/>
  <c r="D3715"/>
  <c r="D3714"/>
  <c r="D3713"/>
  <c r="D3712"/>
  <c r="D3711"/>
  <c r="D3710"/>
  <c r="D3709"/>
  <c r="D3708"/>
  <c r="D3706"/>
  <c r="D3705"/>
  <c r="D3704"/>
  <c r="D3703"/>
  <c r="D3702"/>
  <c r="D3701"/>
  <c r="D3700"/>
  <c r="D3699"/>
  <c r="D3698"/>
  <c r="D3697"/>
  <c r="D3695"/>
  <c r="D3694"/>
  <c r="D3693"/>
  <c r="D3692"/>
  <c r="D3691"/>
  <c r="D3690"/>
  <c r="D3689"/>
  <c r="D3688"/>
  <c r="D3687"/>
  <c r="D3686"/>
  <c r="D3684"/>
  <c r="D3683"/>
  <c r="D3682"/>
  <c r="D3681"/>
  <c r="D3680"/>
  <c r="D3679"/>
  <c r="D3678"/>
  <c r="D3677"/>
  <c r="D3676"/>
  <c r="D3675"/>
  <c r="D3673"/>
  <c r="D3672"/>
  <c r="D3671"/>
  <c r="D3670"/>
  <c r="D3669"/>
  <c r="D3668"/>
  <c r="D3667"/>
  <c r="D3666"/>
  <c r="D3665"/>
  <c r="D3664"/>
  <c r="D3662"/>
  <c r="D3661"/>
  <c r="D3660"/>
  <c r="D3659"/>
  <c r="D3658"/>
  <c r="D3657"/>
  <c r="D3656"/>
  <c r="D3655"/>
  <c r="D3654"/>
  <c r="D3653"/>
  <c r="D3651"/>
  <c r="D3650"/>
  <c r="D3649"/>
  <c r="D3648"/>
  <c r="D3647"/>
  <c r="D3646"/>
  <c r="D3645"/>
  <c r="D3644"/>
  <c r="D3643"/>
  <c r="D3642"/>
  <c r="D3640"/>
  <c r="D3639"/>
  <c r="D3638"/>
  <c r="D3637"/>
  <c r="D3636"/>
  <c r="D3635"/>
  <c r="D3634"/>
  <c r="D3633"/>
  <c r="D3632"/>
  <c r="D3631"/>
  <c r="D3629"/>
  <c r="D3628"/>
  <c r="D3627"/>
  <c r="D3626"/>
  <c r="D3625"/>
  <c r="D3624"/>
  <c r="D3623"/>
  <c r="D3622"/>
  <c r="D3621"/>
  <c r="D3620"/>
  <c r="D3618"/>
  <c r="D3617"/>
  <c r="D3616"/>
  <c r="D3615"/>
  <c r="D3614"/>
  <c r="D3613"/>
  <c r="D3612"/>
  <c r="D3611"/>
  <c r="D3610"/>
  <c r="D3609"/>
  <c r="D3607"/>
  <c r="D3606"/>
  <c r="D3605"/>
  <c r="D3604"/>
  <c r="D3603"/>
  <c r="D3602"/>
  <c r="D3601"/>
  <c r="D3600"/>
  <c r="D3599"/>
  <c r="D3598"/>
  <c r="D3596"/>
  <c r="D3595"/>
  <c r="D3594"/>
  <c r="D3593"/>
  <c r="D3592"/>
  <c r="D3591"/>
  <c r="D3590"/>
  <c r="D3589"/>
  <c r="D3588"/>
  <c r="D3587"/>
  <c r="D3585"/>
  <c r="D3584"/>
  <c r="D3583"/>
  <c r="D3582"/>
  <c r="D3581"/>
  <c r="D3580"/>
  <c r="D3579"/>
  <c r="D3578"/>
  <c r="D3577"/>
  <c r="D3576"/>
  <c r="D3574"/>
  <c r="D3573"/>
  <c r="D3572"/>
  <c r="D3571"/>
  <c r="D3570"/>
  <c r="D3569"/>
  <c r="D3568"/>
  <c r="D3567"/>
  <c r="D3566"/>
  <c r="D3565"/>
  <c r="D3563"/>
  <c r="D3562"/>
  <c r="D3561"/>
  <c r="D3560"/>
  <c r="D3559"/>
  <c r="D3558"/>
  <c r="D3557"/>
  <c r="D3556"/>
  <c r="D3555"/>
  <c r="D3554"/>
  <c r="D3552"/>
  <c r="D3551"/>
  <c r="D3550"/>
  <c r="D3549"/>
  <c r="D3548"/>
  <c r="D3547"/>
  <c r="D3546"/>
  <c r="D3545"/>
  <c r="D3544"/>
  <c r="D3543"/>
  <c r="D3541"/>
  <c r="D3540"/>
  <c r="D3539"/>
  <c r="D3538"/>
  <c r="D3537"/>
  <c r="D3536"/>
  <c r="D3535"/>
  <c r="D3534"/>
  <c r="D3533"/>
  <c r="D3532"/>
  <c r="D3530"/>
  <c r="D3529"/>
  <c r="D3528"/>
  <c r="D3527"/>
  <c r="D3526"/>
  <c r="D3525"/>
  <c r="D3524"/>
  <c r="D3523"/>
  <c r="D3522"/>
  <c r="D3521"/>
  <c r="D3519"/>
  <c r="D3518"/>
  <c r="D3517"/>
  <c r="D3516"/>
  <c r="D3515"/>
  <c r="D3514"/>
  <c r="D3513"/>
  <c r="D3512"/>
  <c r="D3511"/>
  <c r="D3510"/>
  <c r="D3508"/>
  <c r="D3507"/>
  <c r="D3506"/>
  <c r="D3505"/>
  <c r="D3504"/>
  <c r="D3503"/>
  <c r="D3502"/>
  <c r="D3501"/>
  <c r="D3500"/>
  <c r="D3499"/>
  <c r="D3497"/>
  <c r="D3496"/>
  <c r="D3495"/>
  <c r="D3494"/>
  <c r="D3493"/>
  <c r="D3492"/>
  <c r="D3491"/>
  <c r="D3490"/>
  <c r="D3489"/>
  <c r="D3488"/>
  <c r="D3486"/>
  <c r="D3485"/>
  <c r="D3484"/>
  <c r="D3483"/>
  <c r="D3482"/>
  <c r="D3481"/>
  <c r="D3480"/>
  <c r="D3479"/>
  <c r="D3478"/>
  <c r="D3477"/>
  <c r="D3475"/>
  <c r="D3474"/>
  <c r="D3473"/>
  <c r="D3472"/>
  <c r="D3471"/>
  <c r="D3470"/>
  <c r="D3469"/>
  <c r="D3468"/>
  <c r="D3467"/>
  <c r="D3466"/>
  <c r="D3464"/>
  <c r="D3463"/>
  <c r="D3462"/>
  <c r="D3461"/>
  <c r="D3460"/>
  <c r="D3459"/>
  <c r="D3458"/>
  <c r="D3457"/>
  <c r="D3456"/>
  <c r="D3455"/>
  <c r="D3453"/>
  <c r="D3452"/>
  <c r="D3451"/>
  <c r="D3450"/>
  <c r="D3449"/>
  <c r="D3448"/>
  <c r="D3447"/>
  <c r="D3446"/>
  <c r="D3445"/>
  <c r="D3444"/>
  <c r="D3442"/>
  <c r="D3441"/>
  <c r="D3440"/>
  <c r="D3439"/>
  <c r="D3438"/>
  <c r="D3437"/>
  <c r="D3436"/>
  <c r="D3435"/>
  <c r="D3434"/>
  <c r="D3433"/>
  <c r="D3431"/>
  <c r="D3430"/>
  <c r="D3429"/>
  <c r="D3428"/>
  <c r="D3427"/>
  <c r="D3426"/>
  <c r="D3425"/>
  <c r="D3424"/>
  <c r="D3423"/>
  <c r="D3422"/>
  <c r="D3420"/>
  <c r="D3419"/>
  <c r="D3418"/>
  <c r="D3417"/>
  <c r="D3416"/>
  <c r="D3415"/>
  <c r="D3414"/>
  <c r="D3413"/>
  <c r="D3412"/>
  <c r="D3411"/>
  <c r="D3409"/>
  <c r="D3408"/>
  <c r="D3407"/>
  <c r="D3406"/>
  <c r="D3405"/>
  <c r="D3404"/>
  <c r="D3403"/>
  <c r="D3402"/>
  <c r="D3401"/>
  <c r="D3400"/>
  <c r="D3398"/>
  <c r="D3397"/>
  <c r="D3396"/>
  <c r="D3395"/>
  <c r="D3394"/>
  <c r="D3393"/>
  <c r="D3392"/>
  <c r="D3391"/>
  <c r="D3390"/>
  <c r="D3389"/>
  <c r="D3387"/>
  <c r="D3386"/>
  <c r="D3385"/>
  <c r="D3384"/>
  <c r="D3383"/>
  <c r="D3382"/>
  <c r="D3381"/>
  <c r="D3380"/>
  <c r="D3379"/>
  <c r="D3378"/>
  <c r="D3376"/>
  <c r="D3375"/>
  <c r="D3374"/>
  <c r="D3373"/>
  <c r="D3372"/>
  <c r="D3371"/>
  <c r="D3370"/>
  <c r="D3369"/>
  <c r="D3368"/>
  <c r="D3367"/>
  <c r="D3365"/>
  <c r="D3364"/>
  <c r="D3363"/>
  <c r="D3362"/>
  <c r="D3361"/>
  <c r="D3360"/>
  <c r="D3359"/>
  <c r="D3358"/>
  <c r="D3357"/>
  <c r="D3356"/>
  <c r="D3354"/>
  <c r="D3353"/>
  <c r="D3352"/>
  <c r="D3351"/>
  <c r="D3350"/>
  <c r="D3349"/>
  <c r="D3348"/>
  <c r="D3347"/>
  <c r="D3346"/>
  <c r="D3345"/>
  <c r="D3343"/>
  <c r="D3342"/>
  <c r="D3341"/>
  <c r="D3340"/>
  <c r="D3339"/>
  <c r="D3338"/>
  <c r="D3337"/>
  <c r="D3336"/>
  <c r="D3335"/>
  <c r="D3334"/>
  <c r="D3332"/>
  <c r="D3331"/>
  <c r="D3330"/>
  <c r="D3329"/>
  <c r="D3328"/>
  <c r="D3327"/>
  <c r="D3326"/>
  <c r="D3325"/>
  <c r="D3324"/>
  <c r="D3323"/>
  <c r="D3321"/>
  <c r="D3320"/>
  <c r="D3319"/>
  <c r="D3318"/>
  <c r="D3317"/>
  <c r="D3316"/>
  <c r="D3315"/>
  <c r="D3314"/>
  <c r="D3313"/>
  <c r="D3312"/>
  <c r="D3310"/>
  <c r="D3309"/>
  <c r="D3308"/>
  <c r="D3307"/>
  <c r="D3306"/>
  <c r="D3305"/>
  <c r="D3304"/>
  <c r="D3303"/>
  <c r="D3302"/>
  <c r="D3301"/>
  <c r="D3299"/>
  <c r="D3298"/>
  <c r="D3297"/>
  <c r="D3296"/>
  <c r="D3295"/>
  <c r="D3294"/>
  <c r="D3293"/>
  <c r="D3292"/>
  <c r="D3291"/>
  <c r="D3290"/>
  <c r="D3288"/>
  <c r="D3287"/>
  <c r="D3286"/>
  <c r="D3285"/>
  <c r="D3284"/>
  <c r="D3283"/>
  <c r="D3282"/>
  <c r="D3281"/>
  <c r="D3280"/>
  <c r="D3279"/>
  <c r="D3277"/>
  <c r="D3276"/>
  <c r="D3275"/>
  <c r="D3274"/>
  <c r="D3273"/>
  <c r="D3272"/>
  <c r="D3271"/>
  <c r="D3270"/>
  <c r="D3269"/>
  <c r="D3268"/>
  <c r="D3266"/>
  <c r="D3265"/>
  <c r="D3264"/>
  <c r="D3263"/>
  <c r="D3262"/>
  <c r="D3261"/>
  <c r="D3260"/>
  <c r="D3259"/>
  <c r="D3258"/>
  <c r="D3257"/>
  <c r="D3255"/>
  <c r="D3254"/>
  <c r="D3253"/>
  <c r="D3252"/>
  <c r="D3251"/>
  <c r="D3250"/>
  <c r="D3249"/>
  <c r="D3248"/>
  <c r="D3247"/>
  <c r="D3246"/>
  <c r="D3244"/>
  <c r="D3243"/>
  <c r="D3242"/>
  <c r="D3241"/>
  <c r="D3240"/>
  <c r="D3239"/>
  <c r="D3238"/>
  <c r="D3237"/>
  <c r="D3236"/>
  <c r="D3235"/>
  <c r="D3233"/>
  <c r="D3232"/>
  <c r="D3231"/>
  <c r="D3230"/>
  <c r="D3229"/>
  <c r="D3228"/>
  <c r="D3227"/>
  <c r="D3226"/>
  <c r="D3225"/>
  <c r="D3224"/>
  <c r="D3222"/>
  <c r="D3221"/>
  <c r="D3220"/>
  <c r="D3219"/>
  <c r="D3218"/>
  <c r="D3217"/>
  <c r="D3216"/>
  <c r="D3215"/>
  <c r="D3214"/>
  <c r="D3213"/>
  <c r="D3211"/>
  <c r="D3210"/>
  <c r="D3209"/>
  <c r="D3208"/>
  <c r="D3207"/>
  <c r="D3206"/>
  <c r="D3205"/>
  <c r="D3204"/>
  <c r="D3203"/>
  <c r="D3202"/>
  <c r="D3200"/>
  <c r="D3199"/>
  <c r="D3198"/>
  <c r="D3197"/>
  <c r="D3196"/>
  <c r="D3195"/>
  <c r="D3194"/>
  <c r="D3193"/>
  <c r="D3192"/>
  <c r="D3191"/>
  <c r="D3189"/>
  <c r="D3188"/>
  <c r="D3187"/>
  <c r="D3186"/>
  <c r="D3185"/>
  <c r="D3184"/>
  <c r="D3183"/>
  <c r="D3182"/>
  <c r="D3181"/>
  <c r="D3180"/>
  <c r="D3178"/>
  <c r="D3177"/>
  <c r="D3176"/>
  <c r="D3175"/>
  <c r="D3174"/>
  <c r="D3173"/>
  <c r="D3172"/>
  <c r="D3171"/>
  <c r="D3170"/>
  <c r="D3169"/>
  <c r="D3167"/>
  <c r="D3166"/>
  <c r="D3165"/>
  <c r="D3164"/>
  <c r="D3163"/>
  <c r="D3162"/>
  <c r="D3161"/>
  <c r="D3160"/>
  <c r="D3159"/>
  <c r="D3158"/>
  <c r="D3156"/>
  <c r="D3155"/>
  <c r="D3154"/>
  <c r="D3153"/>
  <c r="D3152"/>
  <c r="D3151"/>
  <c r="D3150"/>
  <c r="D3149"/>
  <c r="D3148"/>
  <c r="D3147"/>
  <c r="D3145"/>
  <c r="D3144"/>
  <c r="D3143"/>
  <c r="D3142"/>
  <c r="D3141"/>
  <c r="D3140"/>
  <c r="D3139"/>
  <c r="D3138"/>
  <c r="D3137"/>
  <c r="D3136"/>
  <c r="D3134"/>
  <c r="D3133"/>
  <c r="D3132"/>
  <c r="D3131"/>
  <c r="D3130"/>
  <c r="D3129"/>
  <c r="D3128"/>
  <c r="D3127"/>
  <c r="D3126"/>
  <c r="D3125"/>
  <c r="D3123"/>
  <c r="D3122"/>
  <c r="D3121"/>
  <c r="D3120"/>
  <c r="D3119"/>
  <c r="D3118"/>
  <c r="D3117"/>
  <c r="D3116"/>
  <c r="D3115"/>
  <c r="D3114"/>
  <c r="D3112"/>
  <c r="D3111"/>
  <c r="D3110"/>
  <c r="D3109"/>
  <c r="D3108"/>
  <c r="D3107"/>
  <c r="D3106"/>
  <c r="D3105"/>
  <c r="D3104"/>
  <c r="D3103"/>
  <c r="D3101"/>
  <c r="D3100"/>
  <c r="D3099"/>
  <c r="D3098"/>
  <c r="D3097"/>
  <c r="D3096"/>
  <c r="D3095"/>
  <c r="D3094"/>
  <c r="D3093"/>
  <c r="D3092"/>
  <c r="D3090"/>
  <c r="D3089"/>
  <c r="D3088"/>
  <c r="D3087"/>
  <c r="D3086"/>
  <c r="D3085"/>
  <c r="D3084"/>
  <c r="D3083"/>
  <c r="D3082"/>
  <c r="D3081"/>
  <c r="D3079"/>
  <c r="D3078"/>
  <c r="D3077"/>
  <c r="D3076"/>
  <c r="D3075"/>
  <c r="D3074"/>
  <c r="D3073"/>
  <c r="D3072"/>
  <c r="D3071"/>
  <c r="D3070"/>
  <c r="D3068"/>
  <c r="D3067"/>
  <c r="D3066"/>
  <c r="D3065"/>
  <c r="D3064"/>
  <c r="D3063"/>
  <c r="D3062"/>
  <c r="D3061"/>
  <c r="D3060"/>
  <c r="D3059"/>
  <c r="D3057"/>
  <c r="D3056"/>
  <c r="D3055"/>
  <c r="D3054"/>
  <c r="D3053"/>
  <c r="D3052"/>
  <c r="D3051"/>
  <c r="D3050"/>
  <c r="D3049"/>
  <c r="D3048"/>
  <c r="D3046"/>
  <c r="D3045"/>
  <c r="D3044"/>
  <c r="D3043"/>
  <c r="D3042"/>
  <c r="D3041"/>
  <c r="D3040"/>
  <c r="D3039"/>
  <c r="D3038"/>
  <c r="D3037"/>
  <c r="D3035"/>
  <c r="D3034"/>
  <c r="D3033"/>
  <c r="D3032"/>
  <c r="D3031"/>
  <c r="D3030"/>
  <c r="D3029"/>
  <c r="D3028"/>
  <c r="D3027"/>
  <c r="D3026"/>
  <c r="D3024"/>
  <c r="D3023"/>
  <c r="D3022"/>
  <c r="D3021"/>
  <c r="D3020"/>
  <c r="D3019"/>
  <c r="D3018"/>
  <c r="D3017"/>
  <c r="D3016"/>
  <c r="D3015"/>
  <c r="D3013"/>
  <c r="D3012"/>
  <c r="D3011"/>
  <c r="D3010"/>
  <c r="D3009"/>
  <c r="D3008"/>
  <c r="D3007"/>
  <c r="D3006"/>
  <c r="D3005"/>
  <c r="D3004"/>
  <c r="D3002"/>
  <c r="D3001"/>
  <c r="D3000"/>
  <c r="D2999"/>
  <c r="D2998"/>
  <c r="D2997"/>
  <c r="D2996"/>
  <c r="D2995"/>
  <c r="D2994"/>
  <c r="D2993"/>
  <c r="D2991"/>
  <c r="D2990"/>
  <c r="D2989"/>
  <c r="D2988"/>
  <c r="D2987"/>
  <c r="D2986"/>
  <c r="D2985"/>
  <c r="D2984"/>
  <c r="D2983"/>
  <c r="D2982"/>
  <c r="D2980"/>
  <c r="D2979"/>
  <c r="D2978"/>
  <c r="D2977"/>
  <c r="D2976"/>
  <c r="D2975"/>
  <c r="D2974"/>
  <c r="D2973"/>
  <c r="D2972"/>
  <c r="D2971"/>
  <c r="D2969"/>
  <c r="D2968"/>
  <c r="D2967"/>
  <c r="D2966"/>
  <c r="D2965"/>
  <c r="D2964"/>
  <c r="D2963"/>
  <c r="D2962"/>
  <c r="D2961"/>
  <c r="D2960"/>
  <c r="D2958"/>
  <c r="D2957"/>
  <c r="D2956"/>
  <c r="D2955"/>
  <c r="D2954"/>
  <c r="D2953"/>
  <c r="D2952"/>
  <c r="D2951"/>
  <c r="D2950"/>
  <c r="D2949"/>
  <c r="D2947"/>
  <c r="D2946"/>
  <c r="D2945"/>
  <c r="D2944"/>
  <c r="D2943"/>
  <c r="D2942"/>
  <c r="D2941"/>
  <c r="D2940"/>
  <c r="D2939"/>
  <c r="D2938"/>
  <c r="D2936"/>
  <c r="D2935"/>
  <c r="D2934"/>
  <c r="D2933"/>
  <c r="D2932"/>
  <c r="D2931"/>
  <c r="D2930"/>
  <c r="D2929"/>
  <c r="D2928"/>
  <c r="D2927"/>
  <c r="D2925"/>
  <c r="D2924"/>
  <c r="D2923"/>
  <c r="D2922"/>
  <c r="D2921"/>
  <c r="D2920"/>
  <c r="D2919"/>
  <c r="D2918"/>
  <c r="D2917"/>
  <c r="D2916"/>
  <c r="D2914"/>
  <c r="D2913"/>
  <c r="D2912"/>
  <c r="D2911"/>
  <c r="D2910"/>
  <c r="D2909"/>
  <c r="D2908"/>
  <c r="D2907"/>
  <c r="D2906"/>
  <c r="D2905"/>
  <c r="D2903"/>
  <c r="D2902"/>
  <c r="D2901"/>
  <c r="D2900"/>
  <c r="D2899"/>
  <c r="D2898"/>
  <c r="D2897"/>
  <c r="D2896"/>
  <c r="D2895"/>
  <c r="D2894"/>
  <c r="D2892"/>
  <c r="D2891"/>
  <c r="D2890"/>
  <c r="D2889"/>
  <c r="D2888"/>
  <c r="D2887"/>
  <c r="D2886"/>
  <c r="D2885"/>
  <c r="D2884"/>
  <c r="D2883"/>
  <c r="D2881"/>
  <c r="D2880"/>
  <c r="D2879"/>
  <c r="D2878"/>
  <c r="D2877"/>
  <c r="D2876"/>
  <c r="D2875"/>
  <c r="D2874"/>
  <c r="D2873"/>
  <c r="D2872"/>
  <c r="D2870"/>
  <c r="D2869"/>
  <c r="D2868"/>
  <c r="D2867"/>
  <c r="D2866"/>
  <c r="D2865"/>
  <c r="D2864"/>
  <c r="D2863"/>
  <c r="D2862"/>
  <c r="D2861"/>
  <c r="D2859"/>
  <c r="D2858"/>
  <c r="D2857"/>
  <c r="D2856"/>
  <c r="D2855"/>
  <c r="D2854"/>
  <c r="D2853"/>
  <c r="D2852"/>
  <c r="D2851"/>
  <c r="D2850"/>
  <c r="D2606"/>
  <c r="D2605"/>
  <c r="D2604"/>
  <c r="D2603"/>
  <c r="D2602"/>
  <c r="D2601"/>
  <c r="D2600"/>
  <c r="D2599"/>
  <c r="D2598"/>
  <c r="D2597"/>
  <c r="D2573"/>
  <c r="D2572"/>
  <c r="D2571"/>
  <c r="D2570"/>
  <c r="D2569"/>
  <c r="D2568"/>
  <c r="D2567"/>
  <c r="D2566"/>
  <c r="D2565"/>
  <c r="D2564"/>
  <c r="D2540"/>
  <c r="D2539"/>
  <c r="D2538"/>
  <c r="D2537"/>
  <c r="D2536"/>
  <c r="D2535"/>
  <c r="D2534"/>
  <c r="D2533"/>
  <c r="D2532"/>
  <c r="D2531"/>
  <c r="D2529"/>
  <c r="D2528"/>
  <c r="D2527"/>
  <c r="D2526"/>
  <c r="D2525"/>
  <c r="D2524"/>
  <c r="D2523"/>
  <c r="D2522"/>
  <c r="D2521"/>
  <c r="D2520"/>
  <c r="D2518"/>
  <c r="D2517"/>
  <c r="D2516"/>
  <c r="D2515"/>
  <c r="D2514"/>
  <c r="D2513"/>
  <c r="D2512"/>
  <c r="D2511"/>
  <c r="D2510"/>
  <c r="D2509"/>
  <c r="D2848"/>
  <c r="D2847"/>
  <c r="D2846"/>
  <c r="D2845"/>
  <c r="D2844"/>
  <c r="D2843"/>
  <c r="D2842"/>
  <c r="D2841"/>
  <c r="D2840"/>
  <c r="D2839"/>
  <c r="D2837"/>
  <c r="D2836"/>
  <c r="D2835"/>
  <c r="D2834"/>
  <c r="D2833"/>
  <c r="D2832"/>
  <c r="D2831"/>
  <c r="D2830"/>
  <c r="D2829"/>
  <c r="D2828"/>
  <c r="D2826"/>
  <c r="D2825"/>
  <c r="D2824"/>
  <c r="D2823"/>
  <c r="D2822"/>
  <c r="D2821"/>
  <c r="D2820"/>
  <c r="D2819"/>
  <c r="D2818"/>
  <c r="D2817"/>
  <c r="D2815"/>
  <c r="D2814"/>
  <c r="D2813"/>
  <c r="D2812"/>
  <c r="D2811"/>
  <c r="D2810"/>
  <c r="D2809"/>
  <c r="D2808"/>
  <c r="D2807"/>
  <c r="D2806"/>
  <c r="D2804"/>
  <c r="D2803"/>
  <c r="D2802"/>
  <c r="D2801"/>
  <c r="D2800"/>
  <c r="D2799"/>
  <c r="D2798"/>
  <c r="D2797"/>
  <c r="D2796"/>
  <c r="D2795"/>
  <c r="D2793"/>
  <c r="D2792"/>
  <c r="D2791"/>
  <c r="D2790"/>
  <c r="D2789"/>
  <c r="D2788"/>
  <c r="D2787"/>
  <c r="D2786"/>
  <c r="D2785"/>
  <c r="D2784"/>
  <c r="D2782"/>
  <c r="D2781"/>
  <c r="D2780"/>
  <c r="D2779"/>
  <c r="D2778"/>
  <c r="D2777"/>
  <c r="D2776"/>
  <c r="D2775"/>
  <c r="D2774"/>
  <c r="D2773"/>
  <c r="D2771"/>
  <c r="D2770"/>
  <c r="D2769"/>
  <c r="D2768"/>
  <c r="D2767"/>
  <c r="D2766"/>
  <c r="D2765"/>
  <c r="D2764"/>
  <c r="D2763"/>
  <c r="D2762"/>
  <c r="D2760"/>
  <c r="D2759"/>
  <c r="D2758"/>
  <c r="D2757"/>
  <c r="D2756"/>
  <c r="D2755"/>
  <c r="D2754"/>
  <c r="D2753"/>
  <c r="D2752"/>
  <c r="D2751"/>
  <c r="D2749"/>
  <c r="D2748"/>
  <c r="D2747"/>
  <c r="D2746"/>
  <c r="D2745"/>
  <c r="D2744"/>
  <c r="D2743"/>
  <c r="D2742"/>
  <c r="D2741"/>
  <c r="D2740"/>
  <c r="D2738"/>
  <c r="D2737"/>
  <c r="D2736"/>
  <c r="D2735"/>
  <c r="D2734"/>
  <c r="D2733"/>
  <c r="D2732"/>
  <c r="D2731"/>
  <c r="D2730"/>
  <c r="D2729"/>
  <c r="D2727"/>
  <c r="D2726"/>
  <c r="D2725"/>
  <c r="D2724"/>
  <c r="D2723"/>
  <c r="D2722"/>
  <c r="D2721"/>
  <c r="D2720"/>
  <c r="D2719"/>
  <c r="D2718"/>
  <c r="D2716"/>
  <c r="D2715"/>
  <c r="D2714"/>
  <c r="D2713"/>
  <c r="D2712"/>
  <c r="D2711"/>
  <c r="D2710"/>
  <c r="D2709"/>
  <c r="D2708"/>
  <c r="D2707"/>
  <c r="D2705"/>
  <c r="D2704"/>
  <c r="D2703"/>
  <c r="D2702"/>
  <c r="D2701"/>
  <c r="D2700"/>
  <c r="D2699"/>
  <c r="D2698"/>
  <c r="D2697"/>
  <c r="D2696"/>
  <c r="D2694"/>
  <c r="D2693"/>
  <c r="D2692"/>
  <c r="D2691"/>
  <c r="D2690"/>
  <c r="D2689"/>
  <c r="D2688"/>
  <c r="D2687"/>
  <c r="D2686"/>
  <c r="D2685"/>
  <c r="D2683"/>
  <c r="D2682"/>
  <c r="D2681"/>
  <c r="D2680"/>
  <c r="D2679"/>
  <c r="D2678"/>
  <c r="D2677"/>
  <c r="D2676"/>
  <c r="D2675"/>
  <c r="D2674"/>
  <c r="D2672"/>
  <c r="D2671"/>
  <c r="D2670"/>
  <c r="D2669"/>
  <c r="D2668"/>
  <c r="D2667"/>
  <c r="D2666"/>
  <c r="D2665"/>
  <c r="D2664"/>
  <c r="D2663"/>
  <c r="D2661"/>
  <c r="D2660"/>
  <c r="D2659"/>
  <c r="D2658"/>
  <c r="D2657"/>
  <c r="D2656"/>
  <c r="D2655"/>
  <c r="D2654"/>
  <c r="D2653"/>
  <c r="D2652"/>
  <c r="D2650"/>
  <c r="D2649"/>
  <c r="D2648"/>
  <c r="D2647"/>
  <c r="D2646"/>
  <c r="D2645"/>
  <c r="D2644"/>
  <c r="D2643"/>
  <c r="D2642"/>
  <c r="D2641"/>
  <c r="D2639"/>
  <c r="D2638"/>
  <c r="D2637"/>
  <c r="D2636"/>
  <c r="D2635"/>
  <c r="D2634"/>
  <c r="D2633"/>
  <c r="D2632"/>
  <c r="D2631"/>
  <c r="D2630"/>
  <c r="D2628"/>
  <c r="D2627"/>
  <c r="D2626"/>
  <c r="D2625"/>
  <c r="D2624"/>
  <c r="D2623"/>
  <c r="D2622"/>
  <c r="D2621"/>
  <c r="D2620"/>
  <c r="D2619"/>
  <c r="D2617"/>
  <c r="D2616"/>
  <c r="D2615"/>
  <c r="D2614"/>
  <c r="D2613"/>
  <c r="D2612"/>
  <c r="D2611"/>
  <c r="D2610"/>
  <c r="D2609"/>
  <c r="D2608"/>
  <c r="D2595"/>
  <c r="D2594"/>
  <c r="D2593"/>
  <c r="D2592"/>
  <c r="D2591"/>
  <c r="D2590"/>
  <c r="D2589"/>
  <c r="D2588"/>
  <c r="D2587"/>
  <c r="D2586"/>
  <c r="D2584"/>
  <c r="D2583"/>
  <c r="D2582"/>
  <c r="D2581"/>
  <c r="D2580"/>
  <c r="D2579"/>
  <c r="D2578"/>
  <c r="D2577"/>
  <c r="D2576"/>
  <c r="D2575"/>
  <c r="D2562"/>
  <c r="D2561"/>
  <c r="D2560"/>
  <c r="D2559"/>
  <c r="D2558"/>
  <c r="D2557"/>
  <c r="D2556"/>
  <c r="D2555"/>
  <c r="D2554"/>
  <c r="D2553"/>
  <c r="D2551"/>
  <c r="D2550"/>
  <c r="D2549"/>
  <c r="D2548"/>
  <c r="D2547"/>
  <c r="D2546"/>
  <c r="D2545"/>
  <c r="D2544"/>
  <c r="D2543"/>
  <c r="D2542"/>
  <c r="K325" i="1"/>
  <c r="L325" s="1"/>
  <c r="K324"/>
  <c r="L324" s="1"/>
  <c r="L323"/>
  <c r="K323"/>
  <c r="K322"/>
  <c r="L322" s="1"/>
  <c r="K321"/>
  <c r="L321" s="1"/>
  <c r="K320"/>
  <c r="L320" s="1"/>
  <c r="K319"/>
  <c r="L319" s="1"/>
  <c r="L318"/>
  <c r="K318"/>
  <c r="K317"/>
  <c r="L317" s="1"/>
  <c r="K316"/>
  <c r="L316" s="1"/>
  <c r="K315"/>
  <c r="L315" s="1"/>
  <c r="K314"/>
  <c r="L314" s="1"/>
  <c r="K313"/>
  <c r="L313" s="1"/>
  <c r="K312"/>
  <c r="L312" s="1"/>
  <c r="K311"/>
  <c r="L311" s="1"/>
  <c r="K310"/>
  <c r="L310" s="1"/>
  <c r="L309"/>
  <c r="K309"/>
  <c r="K308"/>
  <c r="L308" s="1"/>
  <c r="L307"/>
  <c r="K307"/>
  <c r="K306"/>
  <c r="L306" s="1"/>
  <c r="L305"/>
  <c r="K305"/>
  <c r="K304"/>
  <c r="L304" s="1"/>
  <c r="L303"/>
  <c r="K303"/>
  <c r="K302"/>
  <c r="L302" s="1"/>
  <c r="L301"/>
  <c r="K301"/>
  <c r="K300"/>
  <c r="L300" s="1"/>
  <c r="L299"/>
  <c r="K299"/>
  <c r="K298"/>
  <c r="L298" s="1"/>
  <c r="L297"/>
  <c r="K297"/>
  <c r="K296"/>
  <c r="L296" s="1"/>
  <c r="L295"/>
  <c r="K295"/>
  <c r="K294"/>
  <c r="L294" s="1"/>
  <c r="L293"/>
  <c r="K293"/>
  <c r="K292"/>
  <c r="L292" s="1"/>
  <c r="L291"/>
  <c r="K291"/>
  <c r="K290"/>
  <c r="L290" s="1"/>
  <c r="L289"/>
  <c r="K289"/>
  <c r="K288"/>
  <c r="L288" s="1"/>
  <c r="L287"/>
  <c r="K287"/>
  <c r="K286"/>
  <c r="L286" s="1"/>
  <c r="L285"/>
  <c r="K285"/>
  <c r="K284"/>
  <c r="L284" s="1"/>
  <c r="L283"/>
  <c r="K283"/>
  <c r="K282"/>
  <c r="L282" s="1"/>
  <c r="L281"/>
  <c r="K281"/>
  <c r="K280"/>
  <c r="L280" s="1"/>
  <c r="L279"/>
  <c r="K279"/>
  <c r="K278"/>
  <c r="L278" s="1"/>
  <c r="L277"/>
  <c r="K277"/>
  <c r="K276"/>
  <c r="L276" s="1"/>
  <c r="L275"/>
  <c r="K275"/>
  <c r="K274"/>
  <c r="L274" s="1"/>
  <c r="L273"/>
  <c r="K273"/>
  <c r="K272"/>
  <c r="L272" s="1"/>
  <c r="L271"/>
  <c r="K271"/>
  <c r="K270"/>
  <c r="L270" s="1"/>
  <c r="L269"/>
  <c r="K269"/>
  <c r="K268"/>
  <c r="L268" s="1"/>
  <c r="L267"/>
  <c r="K267"/>
  <c r="K266"/>
  <c r="L266" s="1"/>
  <c r="L265"/>
  <c r="K265"/>
  <c r="K264"/>
  <c r="L264" s="1"/>
  <c r="L263"/>
  <c r="K263"/>
  <c r="K262"/>
  <c r="L262" s="1"/>
  <c r="L261"/>
  <c r="K261"/>
  <c r="K260"/>
  <c r="L260" s="1"/>
  <c r="L259"/>
  <c r="K259"/>
  <c r="K258"/>
  <c r="L258" s="1"/>
  <c r="L257"/>
  <c r="K257"/>
  <c r="K256"/>
  <c r="L256" s="1"/>
  <c r="L255"/>
  <c r="K255"/>
  <c r="K254"/>
  <c r="L254" s="1"/>
  <c r="L253"/>
  <c r="K253"/>
  <c r="K252"/>
  <c r="L252" s="1"/>
  <c r="L251"/>
  <c r="K251"/>
  <c r="K250"/>
  <c r="L250" s="1"/>
  <c r="L249"/>
  <c r="K249"/>
  <c r="K248"/>
  <c r="L248" s="1"/>
  <c r="L247"/>
  <c r="K247"/>
  <c r="K246"/>
  <c r="L246" s="1"/>
  <c r="L245"/>
  <c r="K245"/>
  <c r="K244"/>
  <c r="L244" s="1"/>
  <c r="L243"/>
  <c r="K243"/>
  <c r="K242"/>
  <c r="L242" s="1"/>
  <c r="L241"/>
  <c r="K241"/>
  <c r="K240"/>
  <c r="L240" s="1"/>
  <c r="L239"/>
  <c r="K239"/>
  <c r="K238"/>
  <c r="L238" s="1"/>
  <c r="L237"/>
  <c r="K237"/>
  <c r="K236"/>
  <c r="L236" s="1"/>
  <c r="L235"/>
  <c r="K235"/>
  <c r="K234"/>
  <c r="L234" s="1"/>
  <c r="L233"/>
  <c r="K233"/>
  <c r="K232"/>
  <c r="L232" s="1"/>
  <c r="L231"/>
  <c r="K231"/>
  <c r="K230"/>
  <c r="L230" s="1"/>
  <c r="L229"/>
  <c r="K229"/>
  <c r="K228"/>
  <c r="L228" s="1"/>
  <c r="L227"/>
  <c r="K227"/>
  <c r="K226"/>
  <c r="L226" s="1"/>
  <c r="L225"/>
  <c r="K225"/>
  <c r="K224"/>
  <c r="L224" s="1"/>
  <c r="L223"/>
  <c r="K223"/>
  <c r="K222"/>
  <c r="L222" s="1"/>
  <c r="L221"/>
  <c r="K221"/>
  <c r="K220"/>
  <c r="L220" s="1"/>
  <c r="L219"/>
  <c r="K219"/>
  <c r="K218"/>
  <c r="L218" s="1"/>
  <c r="L217"/>
  <c r="K217"/>
  <c r="K216"/>
  <c r="L216" s="1"/>
  <c r="L215"/>
  <c r="K215"/>
  <c r="K214"/>
  <c r="L214" s="1"/>
  <c r="L213"/>
  <c r="K213"/>
  <c r="K212"/>
  <c r="L212" s="1"/>
  <c r="L211"/>
  <c r="K211"/>
  <c r="K210"/>
  <c r="L210" s="1"/>
  <c r="L209"/>
  <c r="K209"/>
  <c r="K208"/>
  <c r="L208" s="1"/>
  <c r="L207"/>
  <c r="K207"/>
  <c r="K206"/>
  <c r="L206" s="1"/>
  <c r="L205"/>
  <c r="K205"/>
  <c r="K204"/>
  <c r="L204" s="1"/>
  <c r="L203"/>
  <c r="K203"/>
  <c r="K202"/>
  <c r="L202" s="1"/>
  <c r="L201"/>
  <c r="K201"/>
  <c r="K200"/>
  <c r="L200" s="1"/>
  <c r="L199"/>
  <c r="K199"/>
  <c r="K198"/>
  <c r="L198" s="1"/>
  <c r="L197"/>
  <c r="K197"/>
  <c r="K196"/>
  <c r="L196" s="1"/>
  <c r="L195"/>
  <c r="K195"/>
  <c r="L194"/>
  <c r="K194"/>
  <c r="L193"/>
  <c r="K193"/>
  <c r="L192"/>
  <c r="K192"/>
  <c r="L191"/>
  <c r="K191"/>
  <c r="L190"/>
  <c r="K190"/>
  <c r="L189"/>
  <c r="K189"/>
  <c r="L188"/>
  <c r="K188"/>
  <c r="L187"/>
  <c r="K187"/>
  <c r="L186"/>
  <c r="K186"/>
  <c r="L185"/>
  <c r="K185"/>
  <c r="L184"/>
  <c r="K184"/>
  <c r="L183"/>
  <c r="K183"/>
  <c r="L182"/>
  <c r="K182"/>
  <c r="L181"/>
  <c r="K181"/>
  <c r="L180"/>
  <c r="K180"/>
  <c r="L179"/>
  <c r="K179"/>
  <c r="L178"/>
  <c r="K178"/>
  <c r="L177"/>
  <c r="K177"/>
  <c r="L176"/>
  <c r="K176"/>
  <c r="L175"/>
  <c r="K175"/>
  <c r="L174"/>
  <c r="K174"/>
  <c r="L173"/>
  <c r="K173"/>
  <c r="L172"/>
  <c r="K172"/>
  <c r="L171"/>
  <c r="K171"/>
  <c r="L170"/>
  <c r="K170"/>
  <c r="L169"/>
  <c r="K169"/>
  <c r="L168"/>
  <c r="K168"/>
  <c r="L167"/>
  <c r="K167"/>
  <c r="L166"/>
  <c r="K166"/>
  <c r="L165"/>
  <c r="K165"/>
  <c r="L164"/>
  <c r="K164"/>
  <c r="L163"/>
  <c r="K163"/>
  <c r="L162"/>
  <c r="K162"/>
  <c r="L161"/>
  <c r="K161"/>
  <c r="L160"/>
  <c r="K160"/>
  <c r="L159"/>
  <c r="K159"/>
  <c r="L158"/>
  <c r="K158"/>
  <c r="L157"/>
  <c r="K157"/>
  <c r="L156"/>
  <c r="K156"/>
  <c r="L155"/>
  <c r="K155"/>
  <c r="L154"/>
  <c r="K154"/>
  <c r="L153"/>
  <c r="K153"/>
  <c r="L152"/>
  <c r="K152"/>
  <c r="L151"/>
  <c r="K151"/>
  <c r="L150"/>
  <c r="K150"/>
  <c r="L149"/>
  <c r="K149"/>
  <c r="L148"/>
  <c r="K148"/>
  <c r="L147"/>
  <c r="K147"/>
  <c r="L146"/>
  <c r="K146"/>
  <c r="L145"/>
  <c r="K145"/>
  <c r="L144"/>
  <c r="K144"/>
  <c r="L143"/>
  <c r="K143"/>
  <c r="L142"/>
  <c r="K142"/>
  <c r="L141"/>
  <c r="K141"/>
  <c r="L140"/>
  <c r="K140"/>
  <c r="L139"/>
  <c r="K139"/>
  <c r="L138"/>
  <c r="K138"/>
  <c r="L137"/>
  <c r="K137"/>
  <c r="L136"/>
  <c r="K136"/>
  <c r="L135"/>
  <c r="K135"/>
  <c r="L134"/>
  <c r="K134"/>
  <c r="L133"/>
  <c r="K133"/>
  <c r="L132"/>
  <c r="K132"/>
  <c r="L131"/>
  <c r="K131"/>
  <c r="L130"/>
  <c r="K130"/>
  <c r="L129"/>
  <c r="K129"/>
  <c r="L128"/>
  <c r="K128"/>
  <c r="L127"/>
  <c r="K127"/>
  <c r="L126"/>
  <c r="K126"/>
  <c r="L125"/>
  <c r="K125"/>
  <c r="L124"/>
  <c r="K124"/>
  <c r="L123"/>
  <c r="K123"/>
  <c r="L122"/>
  <c r="K122"/>
  <c r="L121"/>
  <c r="K121"/>
  <c r="L120"/>
  <c r="K120"/>
  <c r="L119"/>
  <c r="K119"/>
  <c r="L118"/>
  <c r="K118"/>
  <c r="L117"/>
  <c r="K117"/>
  <c r="L116"/>
  <c r="K116"/>
  <c r="L115"/>
  <c r="K115"/>
  <c r="L114"/>
  <c r="K114"/>
  <c r="L113"/>
  <c r="K113"/>
  <c r="L112"/>
  <c r="K112"/>
  <c r="L111"/>
  <c r="K111"/>
  <c r="L110"/>
  <c r="K110"/>
  <c r="L109"/>
  <c r="K109"/>
  <c r="L108"/>
  <c r="K108"/>
  <c r="L107"/>
  <c r="K107"/>
  <c r="L106"/>
  <c r="K106"/>
  <c r="L105"/>
  <c r="K105"/>
  <c r="L104"/>
  <c r="K104"/>
  <c r="L103"/>
  <c r="K103"/>
  <c r="L102"/>
  <c r="K102"/>
  <c r="L101"/>
  <c r="K101"/>
  <c r="L100"/>
  <c r="K100"/>
  <c r="L99"/>
  <c r="K99"/>
  <c r="L98"/>
  <c r="K98"/>
  <c r="L97"/>
  <c r="K97"/>
  <c r="L96"/>
  <c r="K96"/>
  <c r="L95"/>
  <c r="K95"/>
  <c r="L94"/>
  <c r="K94"/>
  <c r="L93"/>
  <c r="K93"/>
  <c r="L92"/>
  <c r="K92"/>
  <c r="L91"/>
  <c r="K91"/>
  <c r="L90"/>
  <c r="K90"/>
  <c r="L89"/>
  <c r="K89"/>
  <c r="L88"/>
  <c r="K88"/>
  <c r="L87"/>
  <c r="K87"/>
  <c r="L86"/>
  <c r="K86"/>
  <c r="L85"/>
  <c r="K85"/>
  <c r="L84"/>
  <c r="K84"/>
  <c r="L83"/>
  <c r="K83"/>
  <c r="L82"/>
  <c r="K82"/>
  <c r="L81"/>
  <c r="K81"/>
  <c r="L80"/>
  <c r="K80"/>
  <c r="L79"/>
  <c r="K79"/>
  <c r="L78"/>
  <c r="K78"/>
  <c r="L77"/>
  <c r="K77"/>
  <c r="L76"/>
  <c r="K76"/>
  <c r="L75"/>
  <c r="K75"/>
  <c r="L74"/>
  <c r="K74"/>
  <c r="L73"/>
  <c r="K73"/>
  <c r="L72"/>
  <c r="K72"/>
  <c r="L71"/>
  <c r="K71"/>
  <c r="L70"/>
  <c r="K70"/>
  <c r="L69"/>
  <c r="K69"/>
  <c r="L68"/>
  <c r="K68"/>
  <c r="L67"/>
  <c r="K67"/>
  <c r="L66"/>
  <c r="K66"/>
  <c r="L65"/>
  <c r="K65"/>
  <c r="L64"/>
  <c r="K64"/>
  <c r="L63"/>
  <c r="K63"/>
  <c r="L62"/>
  <c r="K62"/>
  <c r="L61"/>
  <c r="K61"/>
  <c r="L60"/>
  <c r="K60"/>
  <c r="L59"/>
  <c r="K59"/>
  <c r="L58"/>
  <c r="K58"/>
  <c r="L57"/>
  <c r="K57"/>
  <c r="L56"/>
  <c r="K56"/>
  <c r="L55"/>
  <c r="K55"/>
  <c r="L54"/>
  <c r="K54"/>
  <c r="L53"/>
  <c r="K53"/>
  <c r="L52"/>
  <c r="K52"/>
  <c r="L51"/>
  <c r="K51"/>
  <c r="L50"/>
  <c r="K50"/>
  <c r="L49"/>
  <c r="K49"/>
  <c r="L48"/>
  <c r="K48"/>
  <c r="L47"/>
  <c r="K47"/>
  <c r="L46"/>
  <c r="K46"/>
  <c r="L45"/>
  <c r="K45"/>
  <c r="L44"/>
  <c r="K44"/>
  <c r="L43"/>
  <c r="K43"/>
  <c r="L42"/>
  <c r="K42"/>
  <c r="L41"/>
  <c r="K41"/>
  <c r="L40"/>
  <c r="K40"/>
  <c r="L39"/>
  <c r="K39"/>
  <c r="L38"/>
  <c r="K38"/>
  <c r="L37"/>
  <c r="K37"/>
  <c r="L36"/>
  <c r="K36"/>
  <c r="L35"/>
  <c r="K35"/>
  <c r="L34"/>
  <c r="K34"/>
  <c r="L33"/>
  <c r="K33"/>
  <c r="L32"/>
  <c r="K32"/>
  <c r="L31"/>
  <c r="K31"/>
  <c r="L30"/>
  <c r="K30"/>
  <c r="L29"/>
  <c r="K29"/>
  <c r="L28"/>
  <c r="K28"/>
  <c r="L27"/>
  <c r="K27"/>
  <c r="L26"/>
  <c r="K26"/>
  <c r="L25"/>
  <c r="K25"/>
  <c r="L24"/>
  <c r="K24"/>
  <c r="L23"/>
  <c r="K23"/>
  <c r="L22"/>
  <c r="K22"/>
  <c r="L21"/>
  <c r="K21"/>
  <c r="L20"/>
  <c r="K20"/>
  <c r="L19"/>
  <c r="K19"/>
  <c r="L18"/>
  <c r="K18"/>
  <c r="L17"/>
  <c r="K17"/>
  <c r="L16"/>
  <c r="K16"/>
  <c r="L15"/>
  <c r="K15"/>
  <c r="L14"/>
  <c r="K14"/>
  <c r="L13"/>
  <c r="K13"/>
  <c r="L12"/>
  <c r="K12"/>
  <c r="L11"/>
  <c r="K11"/>
  <c r="L10"/>
  <c r="K10"/>
  <c r="L9"/>
  <c r="K9"/>
  <c r="L8"/>
  <c r="K8"/>
  <c r="L7"/>
  <c r="K7"/>
  <c r="L6"/>
  <c r="K6"/>
  <c r="L5"/>
  <c r="K5"/>
  <c r="L4"/>
  <c r="K4"/>
  <c r="L3"/>
  <c r="K3"/>
  <c r="L2"/>
  <c r="K2"/>
  <c r="T20" i="6"/>
  <c r="U24"/>
  <c r="AC24"/>
  <c r="AK24"/>
  <c r="AK3"/>
  <c r="AC3" l="1"/>
</calcChain>
</file>

<file path=xl/sharedStrings.xml><?xml version="1.0" encoding="utf-8"?>
<sst xmlns="http://schemas.openxmlformats.org/spreadsheetml/2006/main" count="14879" uniqueCount="1518">
  <si>
    <t>Date</t>
  </si>
  <si>
    <t>Time</t>
  </si>
  <si>
    <t>WindSpeed</t>
  </si>
  <si>
    <t>WindDirection</t>
  </si>
  <si>
    <t>WindAngle</t>
  </si>
  <si>
    <t>RainFall</t>
  </si>
  <si>
    <t>Humidity</t>
  </si>
  <si>
    <t>Temperature</t>
  </si>
  <si>
    <t>Pressure</t>
  </si>
  <si>
    <t>BatteryLevel</t>
  </si>
  <si>
    <t>StrLen</t>
  </si>
  <si>
    <t>File Name</t>
  </si>
  <si>
    <t>UserID</t>
  </si>
  <si>
    <t>WS_data.txt</t>
  </si>
  <si>
    <t>coj5brg</t>
  </si>
  <si>
    <t>S:000.00</t>
  </si>
  <si>
    <t>W:N</t>
  </si>
  <si>
    <t>R:000.00</t>
  </si>
  <si>
    <t>B:1</t>
  </si>
  <si>
    <t>H:048.00</t>
  </si>
  <si>
    <t>W:NE</t>
  </si>
  <si>
    <t>P:0990.00</t>
  </si>
  <si>
    <t>P:0991.00</t>
  </si>
  <si>
    <t>B:0</t>
  </si>
  <si>
    <t>H:049.00</t>
  </si>
  <si>
    <t>H:048.20</t>
  </si>
  <si>
    <t>H:048.60</t>
  </si>
  <si>
    <t>H:048.40</t>
  </si>
  <si>
    <t>A:045</t>
  </si>
  <si>
    <t>H:050.60</t>
  </si>
  <si>
    <t>H:050.50</t>
  </si>
  <si>
    <t>W:SW</t>
  </si>
  <si>
    <t>A:225</t>
  </si>
  <si>
    <t>H:051.00</t>
  </si>
  <si>
    <t>H:050.90</t>
  </si>
  <si>
    <t>H:050.80</t>
  </si>
  <si>
    <t>H:050.40</t>
  </si>
  <si>
    <t>H:049.80</t>
  </si>
  <si>
    <t>H:049.60</t>
  </si>
  <si>
    <t>H:048.90</t>
  </si>
  <si>
    <t>H:050.00</t>
  </si>
  <si>
    <t>H:048.70</t>
  </si>
  <si>
    <t>H:048.50</t>
  </si>
  <si>
    <t>H:049.20</t>
  </si>
  <si>
    <t>H:049.30</t>
  </si>
  <si>
    <t>H:049.40</t>
  </si>
  <si>
    <t>T:+026.30</t>
  </si>
  <si>
    <t>H:049.50</t>
  </si>
  <si>
    <t>H:050.30</t>
  </si>
  <si>
    <t>N</t>
  </si>
  <si>
    <t>NE</t>
  </si>
  <si>
    <t>SW</t>
  </si>
  <si>
    <t>Angle</t>
  </si>
  <si>
    <t>W</t>
  </si>
  <si>
    <t>E</t>
  </si>
  <si>
    <t>S</t>
  </si>
  <si>
    <t>SE</t>
  </si>
  <si>
    <t>NW</t>
  </si>
  <si>
    <t>A:000</t>
  </si>
  <si>
    <t>D:2014-07-13</t>
  </si>
  <si>
    <t>T:+029.40</t>
  </si>
  <si>
    <t>P:0988.00</t>
  </si>
  <si>
    <t>C:15:39:37</t>
  </si>
  <si>
    <t>C:15:39:47</t>
  </si>
  <si>
    <t>H:048.80</t>
  </si>
  <si>
    <t>P:0987.00</t>
  </si>
  <si>
    <t>C:15:39:57</t>
  </si>
  <si>
    <t>P:0989.00</t>
  </si>
  <si>
    <t>C:15:40:07</t>
  </si>
  <si>
    <t>H:048.30</t>
  </si>
  <si>
    <t>C:15:40:18</t>
  </si>
  <si>
    <t>P:0992.00</t>
  </si>
  <si>
    <t>C:15:40:28</t>
  </si>
  <si>
    <t>H:047.80</t>
  </si>
  <si>
    <t>C:15:40:38</t>
  </si>
  <si>
    <t>T:+029.30</t>
  </si>
  <si>
    <t>P:1007.00</t>
  </si>
  <si>
    <t>C:15:40:48</t>
  </si>
  <si>
    <t>P:1004.00</t>
  </si>
  <si>
    <t>C:15:40:58</t>
  </si>
  <si>
    <t>P:1003.00</t>
  </si>
  <si>
    <t>C:15:41:08</t>
  </si>
  <si>
    <t>P:1002.00</t>
  </si>
  <si>
    <t>C:15:41:18</t>
  </si>
  <si>
    <t>T:+029.20</t>
  </si>
  <si>
    <t>P:1001.00</t>
  </si>
  <si>
    <t>C:15:42:38</t>
  </si>
  <si>
    <t>C:15:42:48</t>
  </si>
  <si>
    <t>C:15:42:58</t>
  </si>
  <si>
    <t>C:15:43:08</t>
  </si>
  <si>
    <t>C:15:43:28</t>
  </si>
  <si>
    <t>C:15:43:38</t>
  </si>
  <si>
    <t>C:15:43:48</t>
  </si>
  <si>
    <t>C:15:43:58</t>
  </si>
  <si>
    <t>C:15:44:08</t>
  </si>
  <si>
    <t>C:15:44:18</t>
  </si>
  <si>
    <t>H:049.10</t>
  </si>
  <si>
    <t>C:15:44:38</t>
  </si>
  <si>
    <t>T:+029.50</t>
  </si>
  <si>
    <t>C:15:44:48</t>
  </si>
  <si>
    <t>C:15:45:48</t>
  </si>
  <si>
    <t>T:+029.60</t>
  </si>
  <si>
    <t>C:15:45:58</t>
  </si>
  <si>
    <t>C:15:46:08</t>
  </si>
  <si>
    <t>C:15:46:18</t>
  </si>
  <si>
    <t>C:15:46:28</t>
  </si>
  <si>
    <t>C:15:46:38</t>
  </si>
  <si>
    <t>C:15:46:48</t>
  </si>
  <si>
    <t>C:15:46:58</t>
  </si>
  <si>
    <t>C:15:47:18</t>
  </si>
  <si>
    <t>C:15:47:29</t>
  </si>
  <si>
    <t>C:15:49:59</t>
  </si>
  <si>
    <t>H:048.10</t>
  </si>
  <si>
    <t>C:15:50:09</t>
  </si>
  <si>
    <t>H:047.90</t>
  </si>
  <si>
    <t>C:15:50:19</t>
  </si>
  <si>
    <t>C:15:50:29</t>
  </si>
  <si>
    <t>C:15:50:39</t>
  </si>
  <si>
    <t>C:15:50:49</t>
  </si>
  <si>
    <t>C:15:50:59</t>
  </si>
  <si>
    <t>C:15:51:09</t>
  </si>
  <si>
    <t>C:17:05:39</t>
  </si>
  <si>
    <t>T:+030.20</t>
  </si>
  <si>
    <t>C:17:05:49</t>
  </si>
  <si>
    <t>P:1000.00</t>
  </si>
  <si>
    <t>C:17:05:59</t>
  </si>
  <si>
    <t>T:+030.10</t>
  </si>
  <si>
    <t>C:17:06:09</t>
  </si>
  <si>
    <t>C:17:06:19</t>
  </si>
  <si>
    <t>T:+030.00</t>
  </si>
  <si>
    <t>C:17:06:30</t>
  </si>
  <si>
    <t>C:17:06:40</t>
  </si>
  <si>
    <t>C:17:06:50</t>
  </si>
  <si>
    <t>T:+029.90</t>
  </si>
  <si>
    <t>C:17:07:00</t>
  </si>
  <si>
    <t>T:+029.80</t>
  </si>
  <si>
    <t>C:17:07:10</t>
  </si>
  <si>
    <t>C:17:07:20</t>
  </si>
  <si>
    <t>T:+029.70</t>
  </si>
  <si>
    <t>C:17:07:30</t>
  </si>
  <si>
    <t>C:17:07:40</t>
  </si>
  <si>
    <t>C:17:07:50</t>
  </si>
  <si>
    <t>C:17:15:31</t>
  </si>
  <si>
    <t>H:051.20</t>
  </si>
  <si>
    <t>C:17:15:41</t>
  </si>
  <si>
    <t>C:17:15:51</t>
  </si>
  <si>
    <t>W:NW</t>
  </si>
  <si>
    <t>A:315</t>
  </si>
  <si>
    <t>C:17:41:27</t>
  </si>
  <si>
    <t>R:005.31</t>
  </si>
  <si>
    <t>P:0985.00</t>
  </si>
  <si>
    <t>C:17:41:37</t>
  </si>
  <si>
    <t>P:0986.00</t>
  </si>
  <si>
    <t>C:17:41:47</t>
  </si>
  <si>
    <t>P:0984.00</t>
  </si>
  <si>
    <t>C:17:41:57</t>
  </si>
  <si>
    <t>C:17:42:07</t>
  </si>
  <si>
    <t>C:17:42:17</t>
  </si>
  <si>
    <t>H:049.70</t>
  </si>
  <si>
    <t>C:17:42:47</t>
  </si>
  <si>
    <t>C:17:42:57</t>
  </si>
  <si>
    <t>C:17:43:07</t>
  </si>
  <si>
    <t>H:050.10</t>
  </si>
  <si>
    <t>C:17:51:19</t>
  </si>
  <si>
    <t>H:049.90</t>
  </si>
  <si>
    <t>C:17:51:29</t>
  </si>
  <si>
    <t>C:17:51:39</t>
  </si>
  <si>
    <t>C:17:51:49</t>
  </si>
  <si>
    <t>C:17:51:59</t>
  </si>
  <si>
    <t>C:17:52:09</t>
  </si>
  <si>
    <t>C:17:52:19</t>
  </si>
  <si>
    <t>C:17:52:29</t>
  </si>
  <si>
    <t>C:17:52:39</t>
  </si>
  <si>
    <t>C:17:52:49</t>
  </si>
  <si>
    <t>C:17:52:59</t>
  </si>
  <si>
    <t>S:000.57</t>
  </si>
  <si>
    <t>R:013.97</t>
  </si>
  <si>
    <t>R:039.95</t>
  </si>
  <si>
    <t>H:050.20</t>
  </si>
  <si>
    <t>C:17:53:49</t>
  </si>
  <si>
    <t>C:17:53:59</t>
  </si>
  <si>
    <t>C:17:54:09</t>
  </si>
  <si>
    <t>C:17:54:19</t>
  </si>
  <si>
    <t>C:17:54:29</t>
  </si>
  <si>
    <t>C:17:54:39</t>
  </si>
  <si>
    <t>C:17:54:49</t>
  </si>
  <si>
    <t>C:17:54:59</t>
  </si>
  <si>
    <t>C:17:55:09</t>
  </si>
  <si>
    <t>C:17:55:19</t>
  </si>
  <si>
    <t>C:17:55:39</t>
  </si>
  <si>
    <t>C:17:55:49</t>
  </si>
  <si>
    <t>C:17:55:59</t>
  </si>
  <si>
    <t>C:17:56:09</t>
  </si>
  <si>
    <t>C:17:56:29</t>
  </si>
  <si>
    <t>C:17:56:49</t>
  </si>
  <si>
    <t>R:045.00</t>
  </si>
  <si>
    <t>C:17:56:59</t>
  </si>
  <si>
    <t>C:17:57:09</t>
  </si>
  <si>
    <t>C:17:57:19</t>
  </si>
  <si>
    <t>C:17:57:29</t>
  </si>
  <si>
    <t>C:17:57:49</t>
  </si>
  <si>
    <t>C:17:57:59</t>
  </si>
  <si>
    <t>C:17:58:09</t>
  </si>
  <si>
    <t>C:17:58:19</t>
  </si>
  <si>
    <t>C:17:58:29</t>
  </si>
  <si>
    <t>C:17:58:40</t>
  </si>
  <si>
    <t>C:17:58:50</t>
  </si>
  <si>
    <t>C:17:59:00</t>
  </si>
  <si>
    <t>C:17:59:10</t>
  </si>
  <si>
    <t>C:17:59:40</t>
  </si>
  <si>
    <t>C:18:00:00</t>
  </si>
  <si>
    <t>C:18:00:10</t>
  </si>
  <si>
    <t>C:18:00:30</t>
  </si>
  <si>
    <t>C:18:00:40</t>
  </si>
  <si>
    <t>C:18:00:50</t>
  </si>
  <si>
    <t>C:18:01:00</t>
  </si>
  <si>
    <t>C:18:01:20</t>
  </si>
  <si>
    <t>C:18:01:30</t>
  </si>
  <si>
    <t>C:18:01:40</t>
  </si>
  <si>
    <t>C:18:01:50</t>
  </si>
  <si>
    <t>C:18:02:00</t>
  </si>
  <si>
    <t>C:18:02:10</t>
  </si>
  <si>
    <t>C:18:02:20</t>
  </si>
  <si>
    <t>C:18:02:30</t>
  </si>
  <si>
    <t>C:18:02:50</t>
  </si>
  <si>
    <t>C:18:03:00</t>
  </si>
  <si>
    <t>C:18:03:20</t>
  </si>
  <si>
    <t>C:18:03:30</t>
  </si>
  <si>
    <t>C:18:03:40</t>
  </si>
  <si>
    <t>C:18:03:50</t>
  </si>
  <si>
    <t>C:18:04:00</t>
  </si>
  <si>
    <t>C:18:04:20</t>
  </si>
  <si>
    <t>C:18:04:30</t>
  </si>
  <si>
    <t>C:18:04:40</t>
  </si>
  <si>
    <t>C:18:04:50</t>
  </si>
  <si>
    <t>C:18:05:00</t>
  </si>
  <si>
    <t>C:18:05:10</t>
  </si>
  <si>
    <t>C:18:05:20</t>
  </si>
  <si>
    <t>C:18:05:30</t>
  </si>
  <si>
    <t>C:18:05:40</t>
  </si>
  <si>
    <t>C:18:06:00</t>
  </si>
  <si>
    <t>C:18:06:11</t>
  </si>
  <si>
    <t>C:18:06:21</t>
  </si>
  <si>
    <t>C:18:06:31</t>
  </si>
  <si>
    <t>C:18:06:41</t>
  </si>
  <si>
    <t>C:18:06:51</t>
  </si>
  <si>
    <t>C:18:07:01</t>
  </si>
  <si>
    <t>C:18:07:11</t>
  </si>
  <si>
    <t>C:18:07:21</t>
  </si>
  <si>
    <t>C:18:07:31</t>
  </si>
  <si>
    <t>C:18:07:41</t>
  </si>
  <si>
    <t>C:18:07:51</t>
  </si>
  <si>
    <t>C:18:08:01</t>
  </si>
  <si>
    <t>C:18:08:21</t>
  </si>
  <si>
    <t>C:18:08:31</t>
  </si>
  <si>
    <t>C:18:08:41</t>
  </si>
  <si>
    <t>C:18:08:51</t>
  </si>
  <si>
    <t>C:18:09:01</t>
  </si>
  <si>
    <t>C:18:09:11</t>
  </si>
  <si>
    <t>C:18:09:21</t>
  </si>
  <si>
    <t>C:18:09:41</t>
  </si>
  <si>
    <t>C:18:09:51</t>
  </si>
  <si>
    <t>C:18:10:01</t>
  </si>
  <si>
    <t>C:18:10:11</t>
  </si>
  <si>
    <t>C:18:10:21</t>
  </si>
  <si>
    <t>C:18:10:31</t>
  </si>
  <si>
    <t>C:18:11:11</t>
  </si>
  <si>
    <t>C:18:11:21</t>
  </si>
  <si>
    <t>C:18:11:31</t>
  </si>
  <si>
    <t>C:18:11:51</t>
  </si>
  <si>
    <t>C:18:12:01</t>
  </si>
  <si>
    <t>H:050.70</t>
  </si>
  <si>
    <t>C:18:12:11</t>
  </si>
  <si>
    <t>H:056.90</t>
  </si>
  <si>
    <t>C:18:12:21</t>
  </si>
  <si>
    <t>H:070.60</t>
  </si>
  <si>
    <t>T:+030.50</t>
  </si>
  <si>
    <t>C:18:13:52</t>
  </si>
  <si>
    <t>C:18:14:52</t>
  </si>
  <si>
    <t>C:18:15:22</t>
  </si>
  <si>
    <t>C:18:15:32</t>
  </si>
  <si>
    <t>C:18:15:42</t>
  </si>
  <si>
    <t>C:18:15:52</t>
  </si>
  <si>
    <t>C:18:16:12</t>
  </si>
  <si>
    <t>C:18:16:22</t>
  </si>
  <si>
    <t>C:18:18:42</t>
  </si>
  <si>
    <t>C:18:18:52</t>
  </si>
  <si>
    <t>C:18:19:12</t>
  </si>
  <si>
    <t>C:18:19:52</t>
  </si>
  <si>
    <t>C:18:20:02</t>
  </si>
  <si>
    <t>H:052.00</t>
  </si>
  <si>
    <t>C:18:25:02</t>
  </si>
  <si>
    <t>P:0993.00</t>
  </si>
  <si>
    <t>C:18:25:12</t>
  </si>
  <si>
    <t>Wind Direction</t>
  </si>
  <si>
    <t>Wind</t>
  </si>
  <si>
    <t>Direction</t>
  </si>
  <si>
    <t>W:E</t>
  </si>
  <si>
    <t>A:090</t>
  </si>
  <si>
    <t>W:W</t>
  </si>
  <si>
    <t>A:270</t>
  </si>
  <si>
    <t>Wind Speed (m/s)</t>
  </si>
  <si>
    <t>Wind Angle (Deg)</t>
  </si>
  <si>
    <t>Rain Fall (mm)</t>
  </si>
  <si>
    <t>Humidity (%)</t>
  </si>
  <si>
    <t>Temperature (ºC)</t>
  </si>
  <si>
    <t>Pressure (mbar)</t>
  </si>
  <si>
    <t>D:2014-07-14</t>
  </si>
  <si>
    <t>C:14:54:52</t>
  </si>
  <si>
    <t>H:043.90</t>
  </si>
  <si>
    <t>T:+025.40</t>
  </si>
  <si>
    <t>C:14:55:02</t>
  </si>
  <si>
    <t>H:043.50</t>
  </si>
  <si>
    <t>C:14:55:12</t>
  </si>
  <si>
    <t>H:043.80</t>
  </si>
  <si>
    <t>C:14:55:22</t>
  </si>
  <si>
    <t>H:043.60</t>
  </si>
  <si>
    <t>T:+025.30</t>
  </si>
  <si>
    <t>C:14:55:32</t>
  </si>
  <si>
    <t>H:043.70</t>
  </si>
  <si>
    <t>C:14:55:42</t>
  </si>
  <si>
    <t>C:14:56:42</t>
  </si>
  <si>
    <t>T:+025.20</t>
  </si>
  <si>
    <t>C:14:56:52</t>
  </si>
  <si>
    <t>H:043.30</t>
  </si>
  <si>
    <t>C:14:57:02</t>
  </si>
  <si>
    <t>H:043.20</t>
  </si>
  <si>
    <t>C:14:57:12</t>
  </si>
  <si>
    <t>C:14:57:22</t>
  </si>
  <si>
    <t>C:15:03:51</t>
  </si>
  <si>
    <t>S:001.12</t>
  </si>
  <si>
    <t>H:042.80</t>
  </si>
  <si>
    <t>C:15:04:01</t>
  </si>
  <si>
    <t>S:001.95</t>
  </si>
  <si>
    <t>H:044.80</t>
  </si>
  <si>
    <t>C:15:04:11</t>
  </si>
  <si>
    <t>S:000.53</t>
  </si>
  <si>
    <t>R:000.56</t>
  </si>
  <si>
    <t>H:044.00</t>
  </si>
  <si>
    <t>C:15:04:21</t>
  </si>
  <si>
    <t>R:006.98</t>
  </si>
  <si>
    <t>C:15:04:41</t>
  </si>
  <si>
    <t>R:013.41</t>
  </si>
  <si>
    <t>H:042.90</t>
  </si>
  <si>
    <t>C:15:04:51</t>
  </si>
  <si>
    <t>C:15:05:01</t>
  </si>
  <si>
    <t>H:042.70</t>
  </si>
  <si>
    <t>C:15:05:11</t>
  </si>
  <si>
    <t>H:043.10</t>
  </si>
  <si>
    <t>C:15:05:21</t>
  </si>
  <si>
    <t>C:15:05:41</t>
  </si>
  <si>
    <t>H:042.50</t>
  </si>
  <si>
    <t>C:15:06:21</t>
  </si>
  <si>
    <t>H:042.20</t>
  </si>
  <si>
    <t>T:+025.10</t>
  </si>
  <si>
    <t>C:15:06:41</t>
  </si>
  <si>
    <t>H:042.40</t>
  </si>
  <si>
    <t>C:15:06:51</t>
  </si>
  <si>
    <t>H:042.30</t>
  </si>
  <si>
    <t>C:15:07:11</t>
  </si>
  <si>
    <t>H:042.10</t>
  </si>
  <si>
    <t>C:15:07:21</t>
  </si>
  <si>
    <t>C:15:07:41</t>
  </si>
  <si>
    <t>C:15:07:51</t>
  </si>
  <si>
    <t>C:15:08:11</t>
  </si>
  <si>
    <t>C:15:08:31</t>
  </si>
  <si>
    <t>C:15:08:41</t>
  </si>
  <si>
    <t>H:043.00</t>
  </si>
  <si>
    <t>C:15:09:01</t>
  </si>
  <si>
    <t>S:000.97</t>
  </si>
  <si>
    <t>T:+025.00</t>
  </si>
  <si>
    <t>C:15:09:11</t>
  </si>
  <si>
    <t>S:001.42</t>
  </si>
  <si>
    <t>H:042.60</t>
  </si>
  <si>
    <t>C:15:09:21</t>
  </si>
  <si>
    <t>S:000.51</t>
  </si>
  <si>
    <t>C:15:09:31</t>
  </si>
  <si>
    <t>H:045.00</t>
  </si>
  <si>
    <t>P:0994.00</t>
  </si>
  <si>
    <t>C:15:09:52</t>
  </si>
  <si>
    <t>C:15:26:18</t>
  </si>
  <si>
    <t>H:045.80</t>
  </si>
  <si>
    <t>T:+025.50</t>
  </si>
  <si>
    <t>C:15:26:28</t>
  </si>
  <si>
    <t>H:045.40</t>
  </si>
  <si>
    <t>C:15:26:38</t>
  </si>
  <si>
    <t>H:044.30</t>
  </si>
  <si>
    <t>C:15:26:48</t>
  </si>
  <si>
    <t>C:15:27:19</t>
  </si>
  <si>
    <t>C:15:27:29</t>
  </si>
  <si>
    <t>C:15:27:39</t>
  </si>
  <si>
    <t>C:15:28:19</t>
  </si>
  <si>
    <t>R:000.28</t>
  </si>
  <si>
    <t>C:15:28:29</t>
  </si>
  <si>
    <t>H:044.40</t>
  </si>
  <si>
    <t>C:15:28:39</t>
  </si>
  <si>
    <t>C:15:28:49</t>
  </si>
  <si>
    <t>C:15:28:59</t>
  </si>
  <si>
    <t>C:15:29:09</t>
  </si>
  <si>
    <t>H:044.10</t>
  </si>
  <si>
    <t>C:15:29:19</t>
  </si>
  <si>
    <t>C:15:29:29</t>
  </si>
  <si>
    <t>C:15:29:39</t>
  </si>
  <si>
    <t>C:15:29:49</t>
  </si>
  <si>
    <t>R:005.00</t>
  </si>
  <si>
    <t>C:15:29:59</t>
  </si>
  <si>
    <t>C:15:30:39</t>
  </si>
  <si>
    <t>C:15:30:49</t>
  </si>
  <si>
    <t>C:15:30:59</t>
  </si>
  <si>
    <t>C:15:31:09</t>
  </si>
  <si>
    <t>C:15:31:19</t>
  </si>
  <si>
    <t>C:16:24:20</t>
  </si>
  <si>
    <t>H:041.70</t>
  </si>
  <si>
    <t>C:16:24:40</t>
  </si>
  <si>
    <t>H:040.40</t>
  </si>
  <si>
    <t>C:16:25:20</t>
  </si>
  <si>
    <t>H:039.50</t>
  </si>
  <si>
    <t>C:16:25:58</t>
  </si>
  <si>
    <t>H:039.70</t>
  </si>
  <si>
    <t>T:+029.10</t>
  </si>
  <si>
    <t>C:16:26:18</t>
  </si>
  <si>
    <t>H:041.00</t>
  </si>
  <si>
    <t>T:+029.00</t>
  </si>
  <si>
    <t>C:16:46:20</t>
  </si>
  <si>
    <t>H:044.70</t>
  </si>
  <si>
    <t>C:16:46:40</t>
  </si>
  <si>
    <t>DiscardFrame</t>
  </si>
  <si>
    <t>Discard Frame</t>
  </si>
  <si>
    <t>C:15:39:17</t>
  </si>
  <si>
    <t>0</t>
  </si>
  <si>
    <t>1</t>
  </si>
  <si>
    <t>C:16:47:20</t>
  </si>
  <si>
    <t>H:044.90</t>
  </si>
  <si>
    <t>T:+026.20</t>
  </si>
  <si>
    <t>H:044.50</t>
  </si>
  <si>
    <t>C:16:48:00</t>
  </si>
  <si>
    <t>C:16:48:20</t>
  </si>
  <si>
    <t>C:16:48:40</t>
  </si>
  <si>
    <t>T:+026.10</t>
  </si>
  <si>
    <t>C:16:49:20</t>
  </si>
  <si>
    <t>T:+026.00</t>
  </si>
  <si>
    <t>C:16:50:01</t>
  </si>
  <si>
    <t>C:16:50:21</t>
  </si>
  <si>
    <t>C:16:51:01</t>
  </si>
  <si>
    <t>T:+025.90</t>
  </si>
  <si>
    <t>C:16:51:41</t>
  </si>
  <si>
    <t>C:16:52:01</t>
  </si>
  <si>
    <t>T:+025.80</t>
  </si>
  <si>
    <t>C:16:52:21</t>
  </si>
  <si>
    <t>C:16:52:41</t>
  </si>
  <si>
    <t>H:044.20</t>
  </si>
  <si>
    <t>C:16:53:01</t>
  </si>
  <si>
    <t>C:16:53:41</t>
  </si>
  <si>
    <t>C:16:54:01</t>
  </si>
  <si>
    <t>C:16:54:41</t>
  </si>
  <si>
    <t>T:+025.70</t>
  </si>
  <si>
    <t>C:16:55:21</t>
  </si>
  <si>
    <t>C:16:55:41</t>
  </si>
  <si>
    <t>C:16:56:21</t>
  </si>
  <si>
    <t>C:16:56:41</t>
  </si>
  <si>
    <t>C:16:57:01</t>
  </si>
  <si>
    <t>C:16:57:21</t>
  </si>
  <si>
    <t>C:17:00:42</t>
  </si>
  <si>
    <t>S:002.11</t>
  </si>
  <si>
    <t>C:17:01:02</t>
  </si>
  <si>
    <t>S:000.39</t>
  </si>
  <si>
    <t>W:S</t>
  </si>
  <si>
    <t>A:180</t>
  </si>
  <si>
    <t>C:17:01:22</t>
  </si>
  <si>
    <t>H:045.10</t>
  </si>
  <si>
    <t>C:17:02:22</t>
  </si>
  <si>
    <t>C:17:02:42</t>
  </si>
  <si>
    <t>C:17:03:02</t>
  </si>
  <si>
    <t>C:17:03:42</t>
  </si>
  <si>
    <t>W:SE</t>
  </si>
  <si>
    <t>A:135</t>
  </si>
  <si>
    <t>H:045.20</t>
  </si>
  <si>
    <t>C:17:05:02</t>
  </si>
  <si>
    <t>C:17:05:22</t>
  </si>
  <si>
    <t>S:002.23</t>
  </si>
  <si>
    <t>R:000.23</t>
  </si>
  <si>
    <t>C:17:06:03</t>
  </si>
  <si>
    <t>C:17:06:23</t>
  </si>
  <si>
    <t>C:17:06:43</t>
  </si>
  <si>
    <t>S:001.54</t>
  </si>
  <si>
    <t>H:045.50</t>
  </si>
  <si>
    <t>C:17:07:03</t>
  </si>
  <si>
    <t>C:17:07:23</t>
  </si>
  <si>
    <t>H:045.60</t>
  </si>
  <si>
    <t>C:17:07:43</t>
  </si>
  <si>
    <t>S:000.99</t>
  </si>
  <si>
    <t>C:17:08:23</t>
  </si>
  <si>
    <t>H:046.10</t>
  </si>
  <si>
    <t>C:17:08:43</t>
  </si>
  <si>
    <t>S:001.00</t>
  </si>
  <si>
    <t>C:17:09:03</t>
  </si>
  <si>
    <t>S:000.35</t>
  </si>
  <si>
    <t>C:17:09:23</t>
  </si>
  <si>
    <t>H:045.70</t>
  </si>
  <si>
    <t>C:17:09:43</t>
  </si>
  <si>
    <t>C:17:10:23</t>
  </si>
  <si>
    <t>C:17:10:43</t>
  </si>
  <si>
    <t>S:003.49</t>
  </si>
  <si>
    <t>C:17:11:03</t>
  </si>
  <si>
    <t>S:000.37</t>
  </si>
  <si>
    <t>R:000.37</t>
  </si>
  <si>
    <t>C:17:11:23</t>
  </si>
  <si>
    <t>C:17:12:03</t>
  </si>
  <si>
    <t>C:17:13:03</t>
  </si>
  <si>
    <t>C:17:13:23</t>
  </si>
  <si>
    <t>H:047.50</t>
  </si>
  <si>
    <t>C:17:13:43</t>
  </si>
  <si>
    <t>H:046.00</t>
  </si>
  <si>
    <t>C:17:14:03</t>
  </si>
  <si>
    <t>C:17:14:24</t>
  </si>
  <si>
    <t>C:17:15:04</t>
  </si>
  <si>
    <t>T:+024.90</t>
  </si>
  <si>
    <t>C:17:15:24</t>
  </si>
  <si>
    <t>C:17:16:04</t>
  </si>
  <si>
    <t>C:17:16:44</t>
  </si>
  <si>
    <t>C:17:17:04</t>
  </si>
  <si>
    <t>H:045.90</t>
  </si>
  <si>
    <t>C:17:17:44</t>
  </si>
  <si>
    <t>C:17:18:04</t>
  </si>
  <si>
    <t>C:17:18:24</t>
  </si>
  <si>
    <t>C:17:19:24</t>
  </si>
  <si>
    <t>H:046.40</t>
  </si>
  <si>
    <t>C:17:19:44</t>
  </si>
  <si>
    <t>H:046.70</t>
  </si>
  <si>
    <t>C:17:20:04</t>
  </si>
  <si>
    <t>C:17:20:44</t>
  </si>
  <si>
    <t>H:047.00</t>
  </si>
  <si>
    <t>H:046.90</t>
  </si>
  <si>
    <t>C:17:21:44</t>
  </si>
  <si>
    <t>S:000.18</t>
  </si>
  <si>
    <t>T:+024.80</t>
  </si>
  <si>
    <t>C:17:22:45</t>
  </si>
  <si>
    <t>S:005.01</t>
  </si>
  <si>
    <t>C:17:23:05</t>
  </si>
  <si>
    <t>S:000.47</t>
  </si>
  <si>
    <t>C:17:23:25</t>
  </si>
  <si>
    <t>C:17:24:05</t>
  </si>
  <si>
    <t>C:17:24:25</t>
  </si>
  <si>
    <t>C:17:25:05</t>
  </si>
  <si>
    <t>Average temperature</t>
  </si>
  <si>
    <t>=</t>
  </si>
  <si>
    <t>12.9°C</t>
  </si>
  <si>
    <t>Average humidity</t>
  </si>
  <si>
    <t>Average dewpoint</t>
  </si>
  <si>
    <t>12.5°C</t>
  </si>
  <si>
    <t>Average barometer</t>
  </si>
  <si>
    <t>1012.4 hPa</t>
  </si>
  <si>
    <t>Average windspeed</t>
  </si>
  <si>
    <t>14.2 km/h</t>
  </si>
  <si>
    <t>Average gustspeed</t>
  </si>
  <si>
    <t>20.6 km/h</t>
  </si>
  <si>
    <t>Average direction</t>
  </si>
  <si>
    <t>260° ( W )</t>
  </si>
  <si>
    <t>Rainfall for month</t>
  </si>
  <si>
    <t>8.3 mm</t>
  </si>
  <si>
    <t>Rainfall for year</t>
  </si>
  <si>
    <t>444.4 mm</t>
  </si>
  <si>
    <t>Rainfall for day</t>
  </si>
  <si>
    <t>Day</t>
  </si>
  <si>
    <t>12.7°C</t>
  </si>
  <si>
    <t>12.4°C</t>
  </si>
  <si>
    <t>1010.5 hPa</t>
  </si>
  <si>
    <t>11.2 km/h</t>
  </si>
  <si>
    <t>16.6 km/h</t>
  </si>
  <si>
    <t>269° ( W )</t>
  </si>
  <si>
    <t>15.3 mm</t>
  </si>
  <si>
    <t>451.4 mm</t>
  </si>
  <si>
    <t>7.0 mm</t>
  </si>
  <si>
    <t>11.4°C</t>
  </si>
  <si>
    <t>5.9°C</t>
  </si>
  <si>
    <t>1015.3 hPa</t>
  </si>
  <si>
    <t>10.7 km/h</t>
  </si>
  <si>
    <t>16.2 km/h</t>
  </si>
  <si>
    <t>290° (WNW)</t>
  </si>
  <si>
    <t>16.3 mm</t>
  </si>
  <si>
    <t>452.4 mm</t>
  </si>
  <si>
    <t>1.0 mm</t>
  </si>
  <si>
    <t>8.0°C</t>
  </si>
  <si>
    <t>1018.9 hPa</t>
  </si>
  <si>
    <t>6.9 km/h</t>
  </si>
  <si>
    <t>10.4 km/h</t>
  </si>
  <si>
    <t>261° ( W )</t>
  </si>
  <si>
    <t>20.3 mm</t>
  </si>
  <si>
    <t>456.4 mm</t>
  </si>
  <si>
    <t>4.0 mm</t>
  </si>
  <si>
    <t>9.7°C</t>
  </si>
  <si>
    <t>1018.7 hPa</t>
  </si>
  <si>
    <t>9.8 km/h</t>
  </si>
  <si>
    <t>13.8 km/h</t>
  </si>
  <si>
    <t>326° ( NW)</t>
  </si>
  <si>
    <t>23.3 mm</t>
  </si>
  <si>
    <t>459.4 mm</t>
  </si>
  <si>
    <t>3.0 mm</t>
  </si>
  <si>
    <t>13.4°C</t>
  </si>
  <si>
    <t>10.2°C</t>
  </si>
  <si>
    <t>1018.1 hPa</t>
  </si>
  <si>
    <t>3.2 km/h</t>
  </si>
  <si>
    <t>5.2 km/h</t>
  </si>
  <si>
    <t>332° (NNW)</t>
  </si>
  <si>
    <t>0.0 mm</t>
  </si>
  <si>
    <t>14.5°C</t>
  </si>
  <si>
    <t>9.8°C</t>
  </si>
  <si>
    <t>1017.7 hPa</t>
  </si>
  <si>
    <t>3.4 km/h</t>
  </si>
  <si>
    <t>5.5 km/h</t>
  </si>
  <si>
    <t>44° ( NE)</t>
  </si>
  <si>
    <t>17.1°C</t>
  </si>
  <si>
    <t>6.4°C</t>
  </si>
  <si>
    <t>1014.9 hPa</t>
  </si>
  <si>
    <t>15.0 km/h</t>
  </si>
  <si>
    <t>109° (ESE)</t>
  </si>
  <si>
    <t>15.9°C</t>
  </si>
  <si>
    <t>0.8°C</t>
  </si>
  <si>
    <t>1016.0 hPa</t>
  </si>
  <si>
    <t>7.6 km/h</t>
  </si>
  <si>
    <t>90° ( E )</t>
  </si>
  <si>
    <t>13.8°C</t>
  </si>
  <si>
    <t>2.6°C</t>
  </si>
  <si>
    <t>1015.2 hPa</t>
  </si>
  <si>
    <t>5.0 km/h</t>
  </si>
  <si>
    <t>74° (ENE)</t>
  </si>
  <si>
    <t>14.2°C</t>
  </si>
  <si>
    <t>3.2°C</t>
  </si>
  <si>
    <t>1018.8 hPa</t>
  </si>
  <si>
    <t>3.9 km/h</t>
  </si>
  <si>
    <t>6.0 km/h</t>
  </si>
  <si>
    <t>119° (ESE)</t>
  </si>
  <si>
    <t>13.1°C</t>
  </si>
  <si>
    <t>7.2°C</t>
  </si>
  <si>
    <t>1021.0 hPa</t>
  </si>
  <si>
    <t>2.9 km/h</t>
  </si>
  <si>
    <t>4.8 km/h</t>
  </si>
  <si>
    <t>282° (WNW)</t>
  </si>
  <si>
    <t>1023.7 hPa</t>
  </si>
  <si>
    <t>3.3 km/h</t>
  </si>
  <si>
    <t>5.1 km/h</t>
  </si>
  <si>
    <t>4° ( N )</t>
  </si>
  <si>
    <t>13.7°C</t>
  </si>
  <si>
    <t>7.9°C</t>
  </si>
  <si>
    <t>1025.3 hPa</t>
  </si>
  <si>
    <t>3.6 km/h</t>
  </si>
  <si>
    <t>5.7 km/h</t>
  </si>
  <si>
    <t>328° (NNW)</t>
  </si>
  <si>
    <t>12.8°C</t>
  </si>
  <si>
    <t>5.6°C</t>
  </si>
  <si>
    <t>1022.0 hPa</t>
  </si>
  <si>
    <t>4.6 km/h</t>
  </si>
  <si>
    <t>7.5°C</t>
  </si>
  <si>
    <t>1020.4 hPa</t>
  </si>
  <si>
    <t>4.3 km/h</t>
  </si>
  <si>
    <t>6.7 km/h</t>
  </si>
  <si>
    <t>330° (NNW)</t>
  </si>
  <si>
    <t>13.2°C</t>
  </si>
  <si>
    <t>7.4°C</t>
  </si>
  <si>
    <t>1020.0 hPa</t>
  </si>
  <si>
    <t>9.2 km/h</t>
  </si>
  <si>
    <t>13.0 km/h</t>
  </si>
  <si>
    <t>341° (NNW)</t>
  </si>
  <si>
    <t>8.9°C</t>
  </si>
  <si>
    <t>1016.9 hPa</t>
  </si>
  <si>
    <t>3.1 km/h</t>
  </si>
  <si>
    <t>300° (WNW)</t>
  </si>
  <si>
    <t>9.6°C</t>
  </si>
  <si>
    <t>1017.8 hPa</t>
  </si>
  <si>
    <t>5.3 km/h</t>
  </si>
  <si>
    <t>276° ( W )</t>
  </si>
  <si>
    <t>10.5°C</t>
  </si>
  <si>
    <t>1018.0 hPa</t>
  </si>
  <si>
    <t>4.7 km/h</t>
  </si>
  <si>
    <t>219° ( SW)</t>
  </si>
  <si>
    <t>28.3 mm</t>
  </si>
  <si>
    <t>464.4 mm</t>
  </si>
  <si>
    <t>5.0 mm</t>
  </si>
  <si>
    <t>11.2°C</t>
  </si>
  <si>
    <t>7.0°C</t>
  </si>
  <si>
    <t>1017.9 hPa</t>
  </si>
  <si>
    <t>8.6 km/h</t>
  </si>
  <si>
    <t>316° ( NW)</t>
  </si>
  <si>
    <t>30.3 mm</t>
  </si>
  <si>
    <t>466.4 mm</t>
  </si>
  <si>
    <t>2.0 mm</t>
  </si>
  <si>
    <t>4.4°C</t>
  </si>
  <si>
    <t>1019.6 hPa</t>
  </si>
  <si>
    <t>3.0 km/h</t>
  </si>
  <si>
    <t>10.7°C</t>
  </si>
  <si>
    <t>6.9°C</t>
  </si>
  <si>
    <t>1020.2 hPa</t>
  </si>
  <si>
    <t>7.7 km/h</t>
  </si>
  <si>
    <t>11.5 km/h</t>
  </si>
  <si>
    <t>33.3 mm</t>
  </si>
  <si>
    <t>469.4 mm</t>
  </si>
  <si>
    <t>12.1°C</t>
  </si>
  <si>
    <t>1024.8 hPa</t>
  </si>
  <si>
    <t>11.0 km/h</t>
  </si>
  <si>
    <t>16.5 km/h</t>
  </si>
  <si>
    <t>299° (WNW)</t>
  </si>
  <si>
    <t>34.3 mm</t>
  </si>
  <si>
    <t>470.4 mm</t>
  </si>
  <si>
    <t>4.5°C</t>
  </si>
  <si>
    <t>11.3 km/h</t>
  </si>
  <si>
    <t>16.1 km/h</t>
  </si>
  <si>
    <t>35.3 mm</t>
  </si>
  <si>
    <t>471.4 mm</t>
  </si>
  <si>
    <t>5.1°C</t>
  </si>
  <si>
    <t>1007.6 hPa</t>
  </si>
  <si>
    <t>10.9 km/h</t>
  </si>
  <si>
    <t>127° ( SE)</t>
  </si>
  <si>
    <t>36.3 mm</t>
  </si>
  <si>
    <t>472.4 mm</t>
  </si>
  <si>
    <t>10.4°C</t>
  </si>
  <si>
    <t>5.7°C</t>
  </si>
  <si>
    <t>1000.4 hPa</t>
  </si>
  <si>
    <t>155° (SSE)</t>
  </si>
  <si>
    <t>40.3 mm</t>
  </si>
  <si>
    <t>476.4 mm</t>
  </si>
  <si>
    <t>1002.1 hPa</t>
  </si>
  <si>
    <t>5.6 km/h</t>
  </si>
  <si>
    <t>301° (WNW)</t>
  </si>
  <si>
    <t>7.6°C</t>
  </si>
  <si>
    <t>1005.2 hPa</t>
  </si>
  <si>
    <t>12.7 km/h</t>
  </si>
  <si>
    <t>180° ( S )</t>
  </si>
  <si>
    <t>48.7 mm</t>
  </si>
  <si>
    <t>484.8 mm</t>
  </si>
  <si>
    <t>8.4 mm</t>
  </si>
  <si>
    <t>11.0°C</t>
  </si>
  <si>
    <t>1004.0 hPa</t>
  </si>
  <si>
    <t>14.8 km/h</t>
  </si>
  <si>
    <t>165° (SSE)</t>
  </si>
  <si>
    <t>72.4 mm</t>
  </si>
  <si>
    <t>508.5 mm</t>
  </si>
  <si>
    <t>23.7 mm</t>
  </si>
  <si>
    <t>10.6°C</t>
  </si>
  <si>
    <t>997.6 hPa</t>
  </si>
  <si>
    <t>13.5 km/h</t>
  </si>
  <si>
    <t>17.9 km/h</t>
  </si>
  <si>
    <t>173° ( S )</t>
  </si>
  <si>
    <t>45.3 mm</t>
  </si>
  <si>
    <t>553.8 mm</t>
  </si>
  <si>
    <t>12.0°C</t>
  </si>
  <si>
    <t>8.7°C</t>
  </si>
  <si>
    <t>996.5 hPa</t>
  </si>
  <si>
    <t>7.4 km/h</t>
  </si>
  <si>
    <t>10.3 km/h</t>
  </si>
  <si>
    <t>175° ( S )</t>
  </si>
  <si>
    <t>53.9 mm</t>
  </si>
  <si>
    <t>562.4 mm</t>
  </si>
  <si>
    <t>8.6 mm</t>
  </si>
  <si>
    <t>11.5°C</t>
  </si>
  <si>
    <t>8.1°C</t>
  </si>
  <si>
    <t>7.9 km/h</t>
  </si>
  <si>
    <t>267° ( W )</t>
  </si>
  <si>
    <t>58.9 mm</t>
  </si>
  <si>
    <t>567.4 mm</t>
  </si>
  <si>
    <t>12.3°C</t>
  </si>
  <si>
    <t>11.3°C</t>
  </si>
  <si>
    <t>1014.8 hPa</t>
  </si>
  <si>
    <t>8.9 km/h</t>
  </si>
  <si>
    <t>12.2 km/h</t>
  </si>
  <si>
    <t>202° (SSW)</t>
  </si>
  <si>
    <t>86.4 mm</t>
  </si>
  <si>
    <t>594.9 mm</t>
  </si>
  <si>
    <t>27.5 mm</t>
  </si>
  <si>
    <t>16.0°C</t>
  </si>
  <si>
    <t>1018.2 hPa</t>
  </si>
  <si>
    <t>7.3 km/h</t>
  </si>
  <si>
    <t>233° ( SW)</t>
  </si>
  <si>
    <t>87.4 mm</t>
  </si>
  <si>
    <t>595.9 mm</t>
  </si>
  <si>
    <t>16.4°C</t>
  </si>
  <si>
    <t>1016.8 hPa</t>
  </si>
  <si>
    <t>2.8 km/h</t>
  </si>
  <si>
    <t>4.1 km/h</t>
  </si>
  <si>
    <t>257° (WSW)</t>
  </si>
  <si>
    <t>14.8°C</t>
  </si>
  <si>
    <t>4.2 km/h</t>
  </si>
  <si>
    <t>6.6 km/h</t>
  </si>
  <si>
    <t>324° ( NW)</t>
  </si>
  <si>
    <t>12.6°C</t>
  </si>
  <si>
    <t>1017.5 hPa</t>
  </si>
  <si>
    <t>6.2 km/h</t>
  </si>
  <si>
    <t>345° (NNW)</t>
  </si>
  <si>
    <t>19.2°C</t>
  </si>
  <si>
    <t>1013.3 hPa</t>
  </si>
  <si>
    <t>6.5 km/h</t>
  </si>
  <si>
    <t>9.4 km/h</t>
  </si>
  <si>
    <t>108° (ESE)</t>
  </si>
  <si>
    <t>16.7°C</t>
  </si>
  <si>
    <t>10.8°C</t>
  </si>
  <si>
    <t>1012.5 hPa</t>
  </si>
  <si>
    <t>5.8 km/h</t>
  </si>
  <si>
    <t>268° ( W )</t>
  </si>
  <si>
    <t>14.1°C</t>
  </si>
  <si>
    <t>11.1°C</t>
  </si>
  <si>
    <t>1011.8 hPa</t>
  </si>
  <si>
    <t>3.8 km/h</t>
  </si>
  <si>
    <t>329° (NNW)</t>
  </si>
  <si>
    <t>15.7°C</t>
  </si>
  <si>
    <t>1012.8 hPa</t>
  </si>
  <si>
    <t>271° ( W )</t>
  </si>
  <si>
    <t>1015.6 hPa</t>
  </si>
  <si>
    <t>1011.5 hPa</t>
  </si>
  <si>
    <t>2.7 km/h</t>
  </si>
  <si>
    <t>81° ( E )</t>
  </si>
  <si>
    <t>18.6°C</t>
  </si>
  <si>
    <t>1012.0 hPa</t>
  </si>
  <si>
    <t>5.9 km/h</t>
  </si>
  <si>
    <t>199° (SSW)</t>
  </si>
  <si>
    <t>16.1°C</t>
  </si>
  <si>
    <t>1016.1 hPa</t>
  </si>
  <si>
    <t>264° ( W )</t>
  </si>
  <si>
    <t>17.0°C</t>
  </si>
  <si>
    <t>4.9 km/h</t>
  </si>
  <si>
    <t>315° ( NW)</t>
  </si>
  <si>
    <t>14.7°C</t>
  </si>
  <si>
    <t>1014.0 hPa</t>
  </si>
  <si>
    <t>8.5 km/h</t>
  </si>
  <si>
    <t>303° (WNW)</t>
  </si>
  <si>
    <t>15.0°C</t>
  </si>
  <si>
    <t>1008.0 hPa</t>
  </si>
  <si>
    <t>6.4 km/h</t>
  </si>
  <si>
    <t>9.7 km/h</t>
  </si>
  <si>
    <t>298° (WNW)</t>
  </si>
  <si>
    <t>9.3°C</t>
  </si>
  <si>
    <t>1001.9 hPa</t>
  </si>
  <si>
    <t>5.4 km/h</t>
  </si>
  <si>
    <t>47° ( NE)</t>
  </si>
  <si>
    <t>9.0°C</t>
  </si>
  <si>
    <t>1003.3 hPa</t>
  </si>
  <si>
    <t>7.5 km/h</t>
  </si>
  <si>
    <t>292° (WNW)</t>
  </si>
  <si>
    <t>15.1°C</t>
  </si>
  <si>
    <t>9.2°C</t>
  </si>
  <si>
    <t>1012.2 hPa</t>
  </si>
  <si>
    <t>8.0 km/h</t>
  </si>
  <si>
    <t>213° (SSW)</t>
  </si>
  <si>
    <t>8.8°C</t>
  </si>
  <si>
    <t>1017.4 hPa</t>
  </si>
  <si>
    <t>8.3 km/h</t>
  </si>
  <si>
    <t>265° ( W )</t>
  </si>
  <si>
    <t>93.4 mm</t>
  </si>
  <si>
    <t>601.9 mm</t>
  </si>
  <si>
    <t>6.0 mm</t>
  </si>
  <si>
    <t>6.8 km/h</t>
  </si>
  <si>
    <t>10.2 km/h</t>
  </si>
  <si>
    <t>258° (WSW)</t>
  </si>
  <si>
    <t>13.3°C</t>
  </si>
  <si>
    <t>6.7°C</t>
  </si>
  <si>
    <t>1020.9 hPa</t>
  </si>
  <si>
    <t>7.1 km/h</t>
  </si>
  <si>
    <t>9.9 km/h</t>
  </si>
  <si>
    <t>222° ( SW)</t>
  </si>
  <si>
    <t>13.6°C</t>
  </si>
  <si>
    <t>9.3 km/h</t>
  </si>
  <si>
    <t>13.1 km/h</t>
  </si>
  <si>
    <t>244° (WSW)</t>
  </si>
  <si>
    <t>97.4 mm</t>
  </si>
  <si>
    <t>605.9 mm</t>
  </si>
  <si>
    <t>13.9°C</t>
  </si>
  <si>
    <t>318° ( NW)</t>
  </si>
  <si>
    <t>1017.6 hPa</t>
  </si>
  <si>
    <t>325° ( NW)</t>
  </si>
  <si>
    <t>16.9°C</t>
  </si>
  <si>
    <t>9.0 km/h</t>
  </si>
  <si>
    <t>12.8 km/h</t>
  </si>
  <si>
    <t>337° (NNW)</t>
  </si>
  <si>
    <t>17.3°C</t>
  </si>
  <si>
    <t>1015.4 hPa</t>
  </si>
  <si>
    <t>Month</t>
  </si>
  <si>
    <t>March</t>
  </si>
  <si>
    <t>April</t>
  </si>
  <si>
    <t>May</t>
  </si>
  <si>
    <t>1016.4 hPa</t>
  </si>
  <si>
    <t>18.7°C</t>
  </si>
  <si>
    <t>8.2 km/h</t>
  </si>
  <si>
    <t>327° (NNW)</t>
  </si>
  <si>
    <t>19.5°C</t>
  </si>
  <si>
    <t>7.8°C</t>
  </si>
  <si>
    <t>1013.7 hPa</t>
  </si>
  <si>
    <t>20° (NNE)</t>
  </si>
  <si>
    <t>1011.3 hPa</t>
  </si>
  <si>
    <t>176° ( S )</t>
  </si>
  <si>
    <t>17.4°C</t>
  </si>
  <si>
    <t>10.3°C</t>
  </si>
  <si>
    <t>1011.4 hPa</t>
  </si>
  <si>
    <t>312° ( NW)</t>
  </si>
  <si>
    <t>1014.7 hPa</t>
  </si>
  <si>
    <t>321° ( NW)</t>
  </si>
  <si>
    <t>9.1 km/h</t>
  </si>
  <si>
    <t>16.8°C</t>
  </si>
  <si>
    <t>11.6°C</t>
  </si>
  <si>
    <t>1019.5 hPa</t>
  </si>
  <si>
    <t>15.9 km/h</t>
  </si>
  <si>
    <t>14.1 km/h</t>
  </si>
  <si>
    <t>326° (NNW)</t>
  </si>
  <si>
    <t>13.5°C</t>
  </si>
  <si>
    <t>1019.8 hPa</t>
  </si>
  <si>
    <t>14.9 km/h</t>
  </si>
  <si>
    <t>10.9°C</t>
  </si>
  <si>
    <t>1018.5 hPa</t>
  </si>
  <si>
    <t>15.6°C</t>
  </si>
  <si>
    <t>8.5°C</t>
  </si>
  <si>
    <t>1015.7 hPa</t>
  </si>
  <si>
    <t>8.2°C</t>
  </si>
  <si>
    <t>1017.0 hPa</t>
  </si>
  <si>
    <t>20.8°C</t>
  </si>
  <si>
    <t>10.0 km/h</t>
  </si>
  <si>
    <t>94° ( E )</t>
  </si>
  <si>
    <t>22.1°C</t>
  </si>
  <si>
    <t>7.7°C</t>
  </si>
  <si>
    <t>126° ( SE)</t>
  </si>
  <si>
    <t>19.0°C</t>
  </si>
  <si>
    <t>322° ( NW)</t>
  </si>
  <si>
    <t>7.3 mm</t>
  </si>
  <si>
    <t>613.2 mm</t>
  </si>
  <si>
    <t>19.6°C</t>
  </si>
  <si>
    <t>6.5°C</t>
  </si>
  <si>
    <t>1009.8 hPa</t>
  </si>
  <si>
    <t>6.3 km/h</t>
  </si>
  <si>
    <t>349° (NNW)</t>
  </si>
  <si>
    <t>18.3°C</t>
  </si>
  <si>
    <t>250° (WSW)</t>
  </si>
  <si>
    <t>9.1°C</t>
  </si>
  <si>
    <t>1004.8 hPa</t>
  </si>
  <si>
    <t>242° (WSW)</t>
  </si>
  <si>
    <t>614.2 mm</t>
  </si>
  <si>
    <t>13.0°C</t>
  </si>
  <si>
    <t>1003.2 hPa</t>
  </si>
  <si>
    <t>8.7 km/h</t>
  </si>
  <si>
    <t>169° ( S )</t>
  </si>
  <si>
    <t>27.9 mm</t>
  </si>
  <si>
    <t>633.8 mm</t>
  </si>
  <si>
    <t>19.6 mm</t>
  </si>
  <si>
    <t>1002.6 hPa</t>
  </si>
  <si>
    <t>9.6 km/h</t>
  </si>
  <si>
    <t>63.8 mm</t>
  </si>
  <si>
    <t>669.7 mm</t>
  </si>
  <si>
    <t>35.9 mm</t>
  </si>
  <si>
    <t>14.3°C</t>
  </si>
  <si>
    <t>1011.6 hPa</t>
  </si>
  <si>
    <t>12.5 km/h</t>
  </si>
  <si>
    <t>228° ( SW)</t>
  </si>
  <si>
    <t>83.3 mm</t>
  </si>
  <si>
    <t>689.2 mm</t>
  </si>
  <si>
    <t>19.5 mm</t>
  </si>
  <si>
    <t>323° ( NW)</t>
  </si>
  <si>
    <t>5.4°C</t>
  </si>
  <si>
    <t>1015.0 hPa</t>
  </si>
  <si>
    <t>7.8 km/h</t>
  </si>
  <si>
    <t>11.1 km/h</t>
  </si>
  <si>
    <t>333° (NNW)</t>
  </si>
  <si>
    <t>14.0°C</t>
  </si>
  <si>
    <t>1016.5 hPa</t>
  </si>
  <si>
    <t>12.1 km/h</t>
  </si>
  <si>
    <t>336° (NNW)</t>
  </si>
  <si>
    <t>14.9°C</t>
  </si>
  <si>
    <t>9.5°C</t>
  </si>
  <si>
    <t>256° (WSW)</t>
  </si>
  <si>
    <t>16.2°C</t>
  </si>
  <si>
    <t>1017.2 hPa</t>
  </si>
  <si>
    <t>288° (WNW)</t>
  </si>
  <si>
    <t>84.3 mm</t>
  </si>
  <si>
    <t>690.2 mm</t>
  </si>
  <si>
    <t>15.8°C</t>
  </si>
  <si>
    <t>1018.6 hPa</t>
  </si>
  <si>
    <t>85.3 mm</t>
  </si>
  <si>
    <t>691.2 mm</t>
  </si>
  <si>
    <t>1019.1 hPa</t>
  </si>
  <si>
    <t>17.7°C</t>
  </si>
  <si>
    <t>8.1 km/h</t>
  </si>
  <si>
    <t>12.0 km/h</t>
  </si>
  <si>
    <t>June</t>
  </si>
  <si>
    <t>1019.3 hPa</t>
  </si>
  <si>
    <t>11.7°C</t>
  </si>
  <si>
    <t>13.3 km/h</t>
  </si>
  <si>
    <t>16.5°C</t>
  </si>
  <si>
    <t>11.9 km/h</t>
  </si>
  <si>
    <t>319° ( NW)</t>
  </si>
  <si>
    <t>1010.0 hPa</t>
  </si>
  <si>
    <t>211° (SSW)</t>
  </si>
  <si>
    <t>1006.8 hPa</t>
  </si>
  <si>
    <t>13.6 km/h</t>
  </si>
  <si>
    <t>185° ( S )</t>
  </si>
  <si>
    <t>5.3 mm</t>
  </si>
  <si>
    <t>696.5 mm</t>
  </si>
  <si>
    <t>17.6°C</t>
  </si>
  <si>
    <t>198° (SSW)</t>
  </si>
  <si>
    <t>18.2°C</t>
  </si>
  <si>
    <t>1016.3 hPa</t>
  </si>
  <si>
    <t>6.1 km/h</t>
  </si>
  <si>
    <t>7.0 km/h</t>
  </si>
  <si>
    <t>240° (WSW)</t>
  </si>
  <si>
    <t>17.8°C</t>
  </si>
  <si>
    <t>19.3°C</t>
  </si>
  <si>
    <t>1017.3 hPa</t>
  </si>
  <si>
    <t>4.4 km/h</t>
  </si>
  <si>
    <t>22.0°C</t>
  </si>
  <si>
    <t>317° ( NW)</t>
  </si>
  <si>
    <t>21.0°C</t>
  </si>
  <si>
    <t>320° ( NW)</t>
  </si>
  <si>
    <t>23.2°C</t>
  </si>
  <si>
    <t>15.2°C</t>
  </si>
  <si>
    <t>1013.5 hPa</t>
  </si>
  <si>
    <t>3.7 km/h</t>
  </si>
  <si>
    <t>24.8°C</t>
  </si>
  <si>
    <t>55° ( NE)</t>
  </si>
  <si>
    <t>25.2°C</t>
  </si>
  <si>
    <t>8.3°C</t>
  </si>
  <si>
    <t>1011.1 hPa</t>
  </si>
  <si>
    <t>22.6°C</t>
  </si>
  <si>
    <t>270° ( W )</t>
  </si>
  <si>
    <t>247° (WSW)</t>
  </si>
  <si>
    <t>19.4°C</t>
  </si>
  <si>
    <t>273° ( W )</t>
  </si>
  <si>
    <t>239° (WSW)</t>
  </si>
  <si>
    <t>19.7°C</t>
  </si>
  <si>
    <t>1013.0 hPa</t>
  </si>
  <si>
    <t>13.2 km/h</t>
  </si>
  <si>
    <t>209° (SSW)</t>
  </si>
  <si>
    <t>6.3 mm</t>
  </si>
  <si>
    <t>697.5 mm</t>
  </si>
  <si>
    <t>10.3 mm</t>
  </si>
  <si>
    <t>701.5 mm</t>
  </si>
  <si>
    <t>15.4°C</t>
  </si>
  <si>
    <t>1015.5 hPa</t>
  </si>
  <si>
    <t>2.4 km/h</t>
  </si>
  <si>
    <t>24° (NNE)</t>
  </si>
  <si>
    <t>18.9 mm</t>
  </si>
  <si>
    <t>710.1 mm</t>
  </si>
  <si>
    <t>18.5°C</t>
  </si>
  <si>
    <t>285° (WNW)</t>
  </si>
  <si>
    <t>19.9 mm</t>
  </si>
  <si>
    <t>711.1 mm</t>
  </si>
  <si>
    <t>14.4°C</t>
  </si>
  <si>
    <t>11.6 km/h</t>
  </si>
  <si>
    <t>295° (WNW)</t>
  </si>
  <si>
    <t>1017.1 hPa</t>
  </si>
  <si>
    <t>302° (WNW)</t>
  </si>
  <si>
    <t>18.0°C</t>
  </si>
  <si>
    <t>12.3 km/h</t>
  </si>
  <si>
    <t>1018.4 hPa</t>
  </si>
  <si>
    <t>February</t>
  </si>
  <si>
    <t>6.8°C</t>
  </si>
  <si>
    <t>0.0 km/h</t>
  </si>
  <si>
    <t>45° ( NE)</t>
  </si>
  <si>
    <t>10.6 mm</t>
  </si>
  <si>
    <t>254.0 mm</t>
  </si>
  <si>
    <t>4.9°C</t>
  </si>
  <si>
    <t>157° (SSE)</t>
  </si>
  <si>
    <t>13.6 mm</t>
  </si>
  <si>
    <t>257.0 mm</t>
  </si>
  <si>
    <t>5.8°C</t>
  </si>
  <si>
    <t>1009.5 hPa</t>
  </si>
  <si>
    <t>15.6 km/h</t>
  </si>
  <si>
    <t>221° ( SW)</t>
  </si>
  <si>
    <t>28.9 mm</t>
  </si>
  <si>
    <t>272.3 mm</t>
  </si>
  <si>
    <t>1006.6 hPa</t>
  </si>
  <si>
    <t>14.6 km/h</t>
  </si>
  <si>
    <t>19.3 km/h</t>
  </si>
  <si>
    <t>297.3 mm</t>
  </si>
  <si>
    <t>25.0 mm</t>
  </si>
  <si>
    <t>1009.0 hPa</t>
  </si>
  <si>
    <t>207° (SSW)</t>
  </si>
  <si>
    <t>10.0°C</t>
  </si>
  <si>
    <t>1005.5 hPa</t>
  </si>
  <si>
    <t>16.3 km/h</t>
  </si>
  <si>
    <t>21.4 km/h</t>
  </si>
  <si>
    <t>210° (SSW)</t>
  </si>
  <si>
    <t>72.6 mm</t>
  </si>
  <si>
    <t>316.0 mm</t>
  </si>
  <si>
    <t>18.7 mm</t>
  </si>
  <si>
    <t>8.4°C</t>
  </si>
  <si>
    <t>1014.3 hPa</t>
  </si>
  <si>
    <t>204° (SSW)</t>
  </si>
  <si>
    <t>74.6 mm</t>
  </si>
  <si>
    <t>318.0 mm</t>
  </si>
  <si>
    <t>11.8°C</t>
  </si>
  <si>
    <t>1009.9 hPa</t>
  </si>
  <si>
    <t>10.6 km/h</t>
  </si>
  <si>
    <t>15.1 km/h</t>
  </si>
  <si>
    <t>236° ( SW)</t>
  </si>
  <si>
    <t>83.9 mm</t>
  </si>
  <si>
    <t>327.3 mm</t>
  </si>
  <si>
    <t>9.3 mm</t>
  </si>
  <si>
    <t>1000.2 hPa</t>
  </si>
  <si>
    <t>18.8 km/h</t>
  </si>
  <si>
    <t>26.9 km/h</t>
  </si>
  <si>
    <t>220° ( SW)</t>
  </si>
  <si>
    <t>95.2 mm</t>
  </si>
  <si>
    <t>338.6 mm</t>
  </si>
  <si>
    <t>11.3 mm</t>
  </si>
  <si>
    <t>15.5 km/h</t>
  </si>
  <si>
    <t>289° (WNW)</t>
  </si>
  <si>
    <t>97.2 mm</t>
  </si>
  <si>
    <t>340.6 mm</t>
  </si>
  <si>
    <t>1012.9 hPa</t>
  </si>
  <si>
    <t>131.1 mm</t>
  </si>
  <si>
    <t>374.5 mm</t>
  </si>
  <si>
    <t>33.9 mm</t>
  </si>
  <si>
    <t>212° (SSW)</t>
  </si>
  <si>
    <t>140.1 mm</t>
  </si>
  <si>
    <t>383.5 mm</t>
  </si>
  <si>
    <t>9.0 mm</t>
  </si>
  <si>
    <t>1015.9 hPa</t>
  </si>
  <si>
    <t>14.3 km/h</t>
  </si>
  <si>
    <t>223° ( SW)</t>
  </si>
  <si>
    <t>150.4 mm</t>
  </si>
  <si>
    <t>393.8 mm</t>
  </si>
  <si>
    <t>1007.5 hPa</t>
  </si>
  <si>
    <t>12.9 km/h</t>
  </si>
  <si>
    <t>17.8 km/h</t>
  </si>
  <si>
    <t>201° (SSW)</t>
  </si>
  <si>
    <t>160.4 mm</t>
  </si>
  <si>
    <t>403.8 mm</t>
  </si>
  <si>
    <t>10.0 mm</t>
  </si>
  <si>
    <t>9.4°C</t>
  </si>
  <si>
    <t>6.3°C</t>
  </si>
  <si>
    <t>161.4 mm</t>
  </si>
  <si>
    <t>404.8 mm</t>
  </si>
  <si>
    <t>4.2°C</t>
  </si>
  <si>
    <t>3.6°C</t>
  </si>
  <si>
    <t>1016.6 hPa</t>
  </si>
  <si>
    <t>0.9 km/h</t>
  </si>
  <si>
    <t>1.9 km/h</t>
  </si>
  <si>
    <t>129° ( SE)</t>
  </si>
  <si>
    <t>8.6°C</t>
  </si>
  <si>
    <t>5.0°C</t>
  </si>
  <si>
    <t>1008.5 hPa</t>
  </si>
  <si>
    <t>7.2 km/h</t>
  </si>
  <si>
    <t>154° (SSE)</t>
  </si>
  <si>
    <t>164.4 mm</t>
  </si>
  <si>
    <t>407.8 mm</t>
  </si>
  <si>
    <t>6.1°C</t>
  </si>
  <si>
    <t>1021.1 hPa</t>
  </si>
  <si>
    <t>2.2 km/h</t>
  </si>
  <si>
    <t>4.0 km/h</t>
  </si>
  <si>
    <t>283° (WNW)</t>
  </si>
  <si>
    <t>165.4 mm</t>
  </si>
  <si>
    <t>408.8 mm</t>
  </si>
  <si>
    <t>1020.1 hPa</t>
  </si>
  <si>
    <t>169.4 mm</t>
  </si>
  <si>
    <t>412.8 mm</t>
  </si>
  <si>
    <t>9.9°C</t>
  </si>
  <si>
    <t>1021.6 hPa</t>
  </si>
  <si>
    <t>305° ( NW)</t>
  </si>
  <si>
    <t>1021.4 hPa</t>
  </si>
  <si>
    <t>171.4 mm</t>
  </si>
  <si>
    <t>414.8 mm</t>
  </si>
  <si>
    <t>6.0°C</t>
  </si>
  <si>
    <t>1010.6 hPa</t>
  </si>
  <si>
    <t>10.8 km/h</t>
  </si>
  <si>
    <t>176.4 mm</t>
  </si>
  <si>
    <t>419.8 mm</t>
  </si>
  <si>
    <t>248° (WSW)</t>
  </si>
  <si>
    <t>188.7 mm</t>
  </si>
  <si>
    <t>432.1 mm</t>
  </si>
  <si>
    <t>12.3 mm</t>
  </si>
  <si>
    <t>1019.7 hPa</t>
  </si>
  <si>
    <t>189.7 mm</t>
  </si>
  <si>
    <t>433.1 mm</t>
  </si>
  <si>
    <t>1026.1 hPa</t>
  </si>
  <si>
    <t>4.5 km/h</t>
  </si>
  <si>
    <t>11.9°C</t>
  </si>
  <si>
    <t>1027.6 hPa</t>
  </si>
  <si>
    <t>192.7 mm</t>
  </si>
  <si>
    <t>436.1 mm</t>
  </si>
  <si>
    <t>1024.1 hPa</t>
  </si>
  <si>
    <t>January</t>
  </si>
  <si>
    <t>-0° ( N )</t>
  </si>
  <si>
    <t>33.2 mm</t>
  </si>
  <si>
    <t>14.6°C</t>
  </si>
  <si>
    <t>1010.8 hPa</t>
  </si>
  <si>
    <t>63.1 mm</t>
  </si>
  <si>
    <t>29.9 mm</t>
  </si>
  <si>
    <t>80.7 mm</t>
  </si>
  <si>
    <t>17.6 mm</t>
  </si>
  <si>
    <t>98.6 mm</t>
  </si>
  <si>
    <t>17.9 mm</t>
  </si>
  <si>
    <t>130.6 mm</t>
  </si>
  <si>
    <t>32.0 mm</t>
  </si>
  <si>
    <t>1013.8 hPa</t>
  </si>
  <si>
    <t>137.9 mm</t>
  </si>
  <si>
    <t>1013.4 hPa</t>
  </si>
  <si>
    <t>1012.3 hPa</t>
  </si>
  <si>
    <t>1014.6 hPa</t>
  </si>
  <si>
    <t>1019.2 hPa</t>
  </si>
  <si>
    <t>141.9 mm</t>
  </si>
  <si>
    <t>1020.7 hPa</t>
  </si>
  <si>
    <t>142.9 mm</t>
  </si>
  <si>
    <t>12.2°C</t>
  </si>
  <si>
    <t>146.9 mm</t>
  </si>
  <si>
    <t>358° ( N )</t>
  </si>
  <si>
    <t>156.2 mm</t>
  </si>
  <si>
    <t>1008.3 hPa</t>
  </si>
  <si>
    <t>163.5 mm</t>
  </si>
  <si>
    <t>994.9 hPa</t>
  </si>
  <si>
    <t>87° ( E )</t>
  </si>
  <si>
    <t>183.2 mm</t>
  </si>
  <si>
    <t>19.7 mm</t>
  </si>
  <si>
    <t>994.4 hPa</t>
  </si>
  <si>
    <t>99° ( E )</t>
  </si>
  <si>
    <t>199.5 mm</t>
  </si>
  <si>
    <t>1005.6 hPa</t>
  </si>
  <si>
    <t>91° ( E )</t>
  </si>
  <si>
    <t>206.5 mm</t>
  </si>
  <si>
    <t>207.5 mm</t>
  </si>
  <si>
    <t>212.8 mm</t>
  </si>
  <si>
    <t>215.8 mm</t>
  </si>
  <si>
    <t>1025.9 hPa</t>
  </si>
  <si>
    <t>1029.1 hPa</t>
  </si>
  <si>
    <t>1027.9 hPa</t>
  </si>
  <si>
    <t>1022.8 hPa</t>
  </si>
  <si>
    <t>219.8 mm</t>
  </si>
  <si>
    <t>221.8 mm</t>
  </si>
  <si>
    <t>1009.6 hPa</t>
  </si>
  <si>
    <t>224.8 mm</t>
  </si>
  <si>
    <t>1003.7 hPa</t>
  </si>
  <si>
    <t>236.4 mm</t>
  </si>
  <si>
    <t>11.6 mm</t>
  </si>
  <si>
    <t>75° (ENE)</t>
  </si>
  <si>
    <t>239.4 mm</t>
  </si>
  <si>
    <t>243.4 mm</t>
  </si>
  <si>
    <t>December</t>
  </si>
  <si>
    <t>-0.3°C</t>
  </si>
  <si>
    <t>1016.2 hPa</t>
  </si>
  <si>
    <t>96° ( E )</t>
  </si>
  <si>
    <t>604.5 mm</t>
  </si>
  <si>
    <t>-0.8°C</t>
  </si>
  <si>
    <t>2.5 km/h</t>
  </si>
  <si>
    <t>59° (ENE)</t>
  </si>
  <si>
    <t>-0.9°C</t>
  </si>
  <si>
    <t>93° ( E )</t>
  </si>
  <si>
    <t>1022.5 hPa</t>
  </si>
  <si>
    <t>2.6 km/h</t>
  </si>
  <si>
    <t>3.8°C</t>
  </si>
  <si>
    <t>1.7 km/h</t>
  </si>
  <si>
    <t>98° ( E )</t>
  </si>
  <si>
    <t>2.0°C</t>
  </si>
  <si>
    <t>1021.3 hPa</t>
  </si>
  <si>
    <t>77° (ENE)</t>
  </si>
  <si>
    <t>1.3°C</t>
  </si>
  <si>
    <t>111° (ESE)</t>
  </si>
  <si>
    <t>6.2°C</t>
  </si>
  <si>
    <t>1.7°C</t>
  </si>
  <si>
    <t>1022.3 hPa</t>
  </si>
  <si>
    <t>1.4°C</t>
  </si>
  <si>
    <t>1023.9 hPa</t>
  </si>
  <si>
    <t>105° (ESE)</t>
  </si>
  <si>
    <t>1.9°C</t>
  </si>
  <si>
    <t>1021.7 hPa</t>
  </si>
  <si>
    <t>15.4 km/h</t>
  </si>
  <si>
    <t>104° (ESE)</t>
  </si>
  <si>
    <t>2.7°C</t>
  </si>
  <si>
    <t>1020.3 hPa</t>
  </si>
  <si>
    <t>21.5 km/h</t>
  </si>
  <si>
    <t>113° (ESE)</t>
  </si>
  <si>
    <t>1023.0 hPa</t>
  </si>
  <si>
    <t>9.5 km/h</t>
  </si>
  <si>
    <t>103° (ESE)</t>
  </si>
  <si>
    <t>1024.3 hPa</t>
  </si>
  <si>
    <t>83° ( E )</t>
  </si>
  <si>
    <t>605.5 mm</t>
  </si>
  <si>
    <t>1027.1 hPa</t>
  </si>
  <si>
    <t>1027.2 hPa</t>
  </si>
  <si>
    <t>1023.1 hPa</t>
  </si>
  <si>
    <t>142° ( SE)</t>
  </si>
  <si>
    <t>1022.9 hPa</t>
  </si>
  <si>
    <t>182° ( S )</t>
  </si>
  <si>
    <t>607.5 mm</t>
  </si>
  <si>
    <t>10.1°C</t>
  </si>
  <si>
    <t>186° ( S )</t>
  </si>
  <si>
    <t>609.5 mm</t>
  </si>
  <si>
    <t>1018.3 hPa</t>
  </si>
  <si>
    <t>15.2 km/h</t>
  </si>
  <si>
    <t>266° ( W )</t>
  </si>
  <si>
    <t>40.9 mm</t>
  </si>
  <si>
    <t>645.4 mm</t>
  </si>
  <si>
    <t>3.1°C</t>
  </si>
  <si>
    <t>1028.3 hPa</t>
  </si>
  <si>
    <t>342° (NNW)</t>
  </si>
  <si>
    <t>1029.4 hPa</t>
  </si>
  <si>
    <t>131° ( SE)</t>
  </si>
  <si>
    <t>4.1°C</t>
  </si>
  <si>
    <t>1028.0 hPa</t>
  </si>
  <si>
    <t>97° ( E )</t>
  </si>
  <si>
    <t>41.9 mm</t>
  </si>
  <si>
    <t>646.4 mm</t>
  </si>
  <si>
    <t>1020.8 hPa</t>
  </si>
  <si>
    <t>156° (SSE)</t>
  </si>
  <si>
    <t>48.9 mm</t>
  </si>
  <si>
    <t>653.4 mm</t>
  </si>
  <si>
    <t>1005.1 hPa</t>
  </si>
  <si>
    <t>29.3 km/h</t>
  </si>
  <si>
    <t>33.6 km/h</t>
  </si>
  <si>
    <t>205° (SSW)</t>
  </si>
  <si>
    <t>97.1 mm</t>
  </si>
  <si>
    <t>701.6 mm</t>
  </si>
  <si>
    <t>48.2 mm</t>
  </si>
  <si>
    <t>1002.8 hPa</t>
  </si>
  <si>
    <t>229° ( SW)</t>
  </si>
  <si>
    <t>122.0 mm</t>
  </si>
  <si>
    <t>726.5 mm</t>
  </si>
  <si>
    <t>24.9 mm</t>
  </si>
  <si>
    <t>123.0 mm</t>
  </si>
  <si>
    <t>727.5 mm</t>
  </si>
  <si>
    <t>136.3 mm</t>
  </si>
  <si>
    <t>740.8 mm</t>
  </si>
  <si>
    <t>13.3 mm</t>
  </si>
  <si>
    <t>4.8°C</t>
  </si>
  <si>
    <t>1026.2 hPa</t>
  </si>
  <si>
    <t>137.3 mm</t>
  </si>
  <si>
    <t>741.8 mm</t>
  </si>
  <si>
    <t>1023.5 hPa</t>
  </si>
  <si>
    <t>139.3 mm</t>
  </si>
  <si>
    <t>743.8 mm</t>
  </si>
  <si>
    <t>155.7 mm</t>
  </si>
  <si>
    <t>760.2 mm</t>
  </si>
  <si>
    <t>16.4 mm</t>
  </si>
  <si>
    <t>November</t>
  </si>
  <si>
    <t>588.5 mm</t>
  </si>
  <si>
    <t>215° ( SW)</t>
  </si>
  <si>
    <t>589.5 mm</t>
  </si>
  <si>
    <t>16.6°C</t>
  </si>
  <si>
    <t>15.5°C</t>
  </si>
  <si>
    <t>296° (WNW)</t>
  </si>
  <si>
    <t>1019.0 hPa</t>
  </si>
  <si>
    <t>192° (SSW)</t>
  </si>
  <si>
    <t>281° ( W )</t>
  </si>
  <si>
    <t>594.5 mm</t>
  </si>
  <si>
    <t>1025.1 hPa</t>
  </si>
  <si>
    <t>2.1 km/h</t>
  </si>
  <si>
    <t>252° (WSW)</t>
  </si>
  <si>
    <t>8.8 km/h</t>
  </si>
  <si>
    <t>595.5 mm</t>
  </si>
  <si>
    <t>311° ( NW)</t>
  </si>
  <si>
    <t>3° ( N )</t>
  </si>
  <si>
    <t>1023.8 hPa</t>
  </si>
  <si>
    <t>8° ( N )</t>
  </si>
  <si>
    <t>2° ( N )</t>
  </si>
  <si>
    <t>2.3°C</t>
  </si>
  <si>
    <t>25° (NNE)</t>
  </si>
  <si>
    <t>1010.7 hPa</t>
  </si>
  <si>
    <t>6.6°C</t>
  </si>
  <si>
    <t>1.3 km/h</t>
  </si>
  <si>
    <t>1008.1 hPa</t>
  </si>
  <si>
    <t>84° ( E )</t>
  </si>
  <si>
    <t>16.0 mm</t>
  </si>
  <si>
    <t>8.4 km/h</t>
  </si>
  <si>
    <t>80° ( E )</t>
  </si>
  <si>
    <t>5° ( N )</t>
  </si>
  <si>
    <t>1.1°C</t>
  </si>
  <si>
    <t>3.5 km/h</t>
  </si>
  <si>
    <t>0.3°C</t>
  </si>
  <si>
    <t>62° (ENE)</t>
  </si>
  <si>
    <t>-1.1°C</t>
  </si>
  <si>
    <t>76° (ENE)</t>
  </si>
  <si>
    <t>-1.0°C</t>
  </si>
  <si>
    <t>1019.9 hPa</t>
  </si>
  <si>
    <t>0.4°C</t>
  </si>
  <si>
    <t>43° ( NE)</t>
  </si>
  <si>
    <t>338° (NNW)</t>
  </si>
  <si>
    <t>October</t>
  </si>
  <si>
    <t>September</t>
  </si>
  <si>
    <t>August</t>
  </si>
  <si>
    <t>July</t>
  </si>
  <si>
    <t>50.0°C</t>
  </si>
  <si>
    <t>306° ( NW)</t>
  </si>
  <si>
    <t>381.0 mm</t>
  </si>
  <si>
    <t>17.9°C</t>
  </si>
  <si>
    <t>38.0°C</t>
  </si>
  <si>
    <t>1016.7 hPa</t>
  </si>
  <si>
    <t>251° (WSW)</t>
  </si>
  <si>
    <t>1014.5 hPa</t>
  </si>
  <si>
    <t>225° ( SW)</t>
  </si>
  <si>
    <t>21.2°C</t>
  </si>
  <si>
    <t>1013.9 hPa</t>
  </si>
  <si>
    <t>293° (WNW)</t>
  </si>
  <si>
    <t>20.4°C</t>
  </si>
  <si>
    <t>20.1°C</t>
  </si>
  <si>
    <t>1015.8 hPa</t>
  </si>
  <si>
    <t>308° ( NW)</t>
  </si>
  <si>
    <t>21.8°C</t>
  </si>
  <si>
    <t>21.6°C</t>
  </si>
  <si>
    <t>294° (WNW)</t>
  </si>
  <si>
    <t>1010.9 hPa</t>
  </si>
  <si>
    <t>11.8 km/h</t>
  </si>
  <si>
    <t>226° ( SW)</t>
  </si>
  <si>
    <t>20.3°C</t>
  </si>
  <si>
    <t>20.5°C</t>
  </si>
  <si>
    <t>1022.2 hPa</t>
  </si>
  <si>
    <t>21.3°C</t>
  </si>
  <si>
    <t>1015.1 hPa</t>
  </si>
  <si>
    <t>1012.1 hPa</t>
  </si>
  <si>
    <t>286° (WNW)</t>
  </si>
  <si>
    <t>385.3 mm</t>
  </si>
  <si>
    <t>21.1°C</t>
  </si>
  <si>
    <t>19.9°C</t>
  </si>
  <si>
    <t>10.1 km/h</t>
  </si>
  <si>
    <t>20.9°C</t>
  </si>
  <si>
    <t>20.6°C</t>
  </si>
  <si>
    <t>15.3°C</t>
  </si>
  <si>
    <t>11.4 km/h</t>
  </si>
  <si>
    <t>334° (NNW)</t>
  </si>
  <si>
    <t>24.5°C</t>
  </si>
  <si>
    <t>23.7°C</t>
  </si>
  <si>
    <t>22.2°C</t>
  </si>
  <si>
    <t>17.5°C</t>
  </si>
  <si>
    <t>23.4°C</t>
  </si>
  <si>
    <t>21.4°C</t>
  </si>
  <si>
    <t>11.7 km/h</t>
  </si>
  <si>
    <t>14.0 km/h</t>
  </si>
  <si>
    <t>20.0°C</t>
  </si>
  <si>
    <t>1011.0 hPa</t>
  </si>
  <si>
    <t>309° ( NW)</t>
  </si>
  <si>
    <t>1007.8 hPa</t>
  </si>
  <si>
    <t>278° ( W )</t>
  </si>
  <si>
    <t>21.5°C</t>
  </si>
  <si>
    <t>1010.3 hPa</t>
  </si>
  <si>
    <t>291° (WNW)</t>
  </si>
  <si>
    <t>16° (NNE)</t>
  </si>
  <si>
    <t>22.5°C</t>
  </si>
  <si>
    <t>22.9°C</t>
  </si>
  <si>
    <t>314° ( NW)</t>
  </si>
  <si>
    <t>387.3 mm</t>
  </si>
  <si>
    <t>1012.7 hPa</t>
  </si>
  <si>
    <t>18.4°C</t>
  </si>
  <si>
    <t>23.0°C</t>
  </si>
  <si>
    <t>22.7°C</t>
  </si>
  <si>
    <t>23.5°C</t>
  </si>
  <si>
    <t>349° ( N )</t>
  </si>
  <si>
    <t>1014.2 hPa</t>
  </si>
  <si>
    <t>307° ( NW)</t>
  </si>
  <si>
    <t>313° ( NW)</t>
  </si>
  <si>
    <t>184° ( S )</t>
  </si>
  <si>
    <t>118° (ESE)</t>
  </si>
  <si>
    <t>21.7°C</t>
  </si>
  <si>
    <t>208° (SSW)</t>
  </si>
  <si>
    <t>203° (SSW)</t>
  </si>
  <si>
    <t>18.9°C</t>
  </si>
  <si>
    <t>172° ( S )</t>
  </si>
  <si>
    <t>391.3 mm</t>
  </si>
  <si>
    <t>1009.1 hPa</t>
  </si>
  <si>
    <t>166° (SSE)</t>
  </si>
  <si>
    <t>1004.7 hPa</t>
  </si>
  <si>
    <t>20.5 km/h</t>
  </si>
  <si>
    <t>394.3 mm</t>
  </si>
  <si>
    <t>1004.2 hPa</t>
  </si>
  <si>
    <t>18.7 km/h</t>
  </si>
  <si>
    <t>24.4 mm</t>
  </si>
  <si>
    <t>409.7 mm</t>
  </si>
  <si>
    <t>15.4 mm</t>
  </si>
  <si>
    <t>195° (SSW)</t>
  </si>
  <si>
    <t>28.4 mm</t>
  </si>
  <si>
    <t>413.7 mm</t>
  </si>
  <si>
    <t>19.1°C</t>
  </si>
  <si>
    <t>12.6 km/h</t>
  </si>
  <si>
    <t>194° (SSW)</t>
  </si>
  <si>
    <t>469.2 mm</t>
  </si>
  <si>
    <t>1006.2 hPa</t>
  </si>
  <si>
    <t>169° (SSE)</t>
  </si>
  <si>
    <t>470.2 mm</t>
  </si>
  <si>
    <t>14.3 mm</t>
  </si>
  <si>
    <t>471.2 mm</t>
  </si>
  <si>
    <t>18.1°C</t>
  </si>
  <si>
    <t>235° ( SW)</t>
  </si>
  <si>
    <t>18.8°C</t>
  </si>
  <si>
    <t>16.3°C</t>
  </si>
  <si>
    <t>191° ( S )</t>
  </si>
  <si>
    <t>1.6 km/h</t>
  </si>
  <si>
    <t>171° ( S )</t>
  </si>
  <si>
    <t>34.0 mm</t>
  </si>
  <si>
    <t>490.9 mm</t>
  </si>
  <si>
    <t>193° (SSW)</t>
  </si>
  <si>
    <t>35.0 mm</t>
  </si>
  <si>
    <t>491.9 mm</t>
  </si>
  <si>
    <t>38.0 mm</t>
  </si>
  <si>
    <t>494.9 mm</t>
  </si>
  <si>
    <t>20.7 km/h</t>
  </si>
  <si>
    <t>168° (SSE)</t>
  </si>
  <si>
    <t>39.0 mm</t>
  </si>
  <si>
    <t>495.9 mm</t>
  </si>
  <si>
    <t>1004.3 hPa</t>
  </si>
  <si>
    <t>12.4 km/h</t>
  </si>
  <si>
    <t>17.0 km/h</t>
  </si>
  <si>
    <t>51.4 mm</t>
  </si>
  <si>
    <t>508.3 mm</t>
  </si>
  <si>
    <t>12.4 mm</t>
  </si>
  <si>
    <t>1010.2 hPa</t>
  </si>
  <si>
    <t>164° (SSE)</t>
  </si>
  <si>
    <t>17.2°C</t>
  </si>
  <si>
    <t>1005.7 hPa</t>
  </si>
  <si>
    <t>13.9 km/h</t>
  </si>
  <si>
    <t>87.3 mm</t>
  </si>
  <si>
    <t>544.2 mm</t>
  </si>
  <si>
    <t>1007.3 hPa</t>
  </si>
  <si>
    <t>123.3 mm</t>
  </si>
  <si>
    <t>580.2 mm</t>
  </si>
  <si>
    <t>36.0 mm</t>
  </si>
  <si>
    <t>340° (NNW)</t>
  </si>
  <si>
    <t>131.6 mm</t>
  </si>
  <si>
    <t>351° ( N )</t>
  </si>
  <si>
    <t>277° ( W )</t>
  </si>
  <si>
    <t>713.1 mm</t>
  </si>
  <si>
    <t>714.1 mm</t>
  </si>
  <si>
    <t>20.7°C</t>
  </si>
  <si>
    <t>716.1 mm</t>
  </si>
  <si>
    <t>1019.4 hPa</t>
  </si>
  <si>
    <t>21.9°C</t>
  </si>
  <si>
    <t>331° (NNW)</t>
  </si>
  <si>
    <t>272° ( W )</t>
  </si>
  <si>
    <t>13.4 km/h</t>
  </si>
  <si>
    <t>Current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</si>
</sst>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9" formatCode="0.0"/>
  </numFmts>
  <fonts count="2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Fixedsys"/>
      <family val="3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3">
    <xf numFmtId="0" fontId="0" fillId="0" borderId="0" xfId="0"/>
    <xf numFmtId="0" fontId="16" fillId="0" borderId="0" xfId="0" applyFont="1"/>
    <xf numFmtId="0" fontId="18" fillId="0" borderId="0" xfId="0" applyFont="1"/>
    <xf numFmtId="0" fontId="19" fillId="0" borderId="0" xfId="0" applyFont="1"/>
    <xf numFmtId="14" fontId="0" fillId="0" borderId="0" xfId="0" applyNumberFormat="1"/>
    <xf numFmtId="164" fontId="16" fillId="0" borderId="0" xfId="0" applyNumberFormat="1" applyFont="1"/>
    <xf numFmtId="164" fontId="0" fillId="0" borderId="0" xfId="0" applyNumberFormat="1"/>
    <xf numFmtId="0" fontId="0" fillId="33" borderId="0" xfId="0" applyFill="1"/>
    <xf numFmtId="0" fontId="0" fillId="33" borderId="0" xfId="0" applyFill="1" applyAlignment="1">
      <alignment horizontal="right"/>
    </xf>
    <xf numFmtId="0" fontId="0" fillId="33" borderId="0" xfId="0" applyFill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16" fillId="33" borderId="16" xfId="0" applyFont="1" applyFill="1" applyBorder="1" applyAlignment="1">
      <alignment horizontal="center"/>
    </xf>
    <xf numFmtId="0" fontId="16" fillId="33" borderId="17" xfId="0" applyFont="1" applyFill="1" applyBorder="1" applyAlignment="1">
      <alignment horizontal="center"/>
    </xf>
    <xf numFmtId="14" fontId="16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33" borderId="0" xfId="0" applyFont="1" applyFill="1"/>
    <xf numFmtId="0" fontId="0" fillId="33" borderId="10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14" fontId="0" fillId="33" borderId="0" xfId="0" applyNumberFormat="1" applyFill="1" applyAlignment="1"/>
    <xf numFmtId="0" fontId="0" fillId="0" borderId="0" xfId="0" applyNumberFormat="1"/>
    <xf numFmtId="0" fontId="20" fillId="0" borderId="0" xfId="0" applyFont="1"/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34" borderId="0" xfId="0" applyFill="1"/>
    <xf numFmtId="0" fontId="0" fillId="0" borderId="0" xfId="0" applyFill="1"/>
    <xf numFmtId="2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169" fontId="0" fillId="0" borderId="0" xfId="0" applyNumberFormat="1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/>
    <xf numFmtId="0" fontId="16" fillId="33" borderId="18" xfId="0" applyFont="1" applyFill="1" applyBorder="1" applyAlignment="1">
      <alignment horizontal="center"/>
    </xf>
    <xf numFmtId="0" fontId="16" fillId="33" borderId="19" xfId="0" applyFont="1" applyFill="1" applyBorder="1"/>
    <xf numFmtId="0" fontId="16" fillId="33" borderId="20" xfId="0" applyFont="1" applyFill="1" applyBorder="1" applyAlignment="1">
      <alignment horizontal="center"/>
    </xf>
    <xf numFmtId="0" fontId="18" fillId="33" borderId="21" xfId="0" applyFont="1" applyFill="1" applyBorder="1" applyAlignment="1">
      <alignment horizontal="center"/>
    </xf>
    <xf numFmtId="0" fontId="16" fillId="33" borderId="22" xfId="0" applyFont="1" applyFill="1" applyBorder="1" applyAlignment="1">
      <alignment horizontal="center"/>
    </xf>
    <xf numFmtId="0" fontId="16" fillId="33" borderId="23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chart>
    <c:title>
      <c:layout>
        <c:manualLayout>
          <c:xMode val="edge"/>
          <c:yMode val="edge"/>
          <c:x val="0.41781624404387468"/>
          <c:y val="0"/>
        </c:manualLayout>
      </c:layout>
    </c:title>
    <c:plotArea>
      <c:layout>
        <c:manualLayout>
          <c:layoutTarget val="inner"/>
          <c:xMode val="edge"/>
          <c:yMode val="edge"/>
          <c:x val="0.17580356174486453"/>
          <c:y val="0.18289783778424093"/>
          <c:w val="0.64839258729022509"/>
          <c:h val="0.76917186254674252"/>
        </c:manualLayout>
      </c:layout>
      <c:pieChart>
        <c:varyColors val="1"/>
        <c:ser>
          <c:idx val="0"/>
          <c:order val="0"/>
          <c:tx>
            <c:strRef>
              <c:f>Charts!$T$18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bg1"/>
            </a:solidFill>
          </c:spPr>
          <c:dPt>
            <c:idx val="1"/>
            <c:spPr>
              <a:solidFill>
                <a:srgbClr val="FF0000"/>
              </a:solidFill>
            </c:spPr>
          </c:dPt>
          <c:val>
            <c:numRef>
              <c:f>Charts!$T$19:$T$20</c:f>
              <c:numCache>
                <c:formatCode>General</c:formatCode>
                <c:ptCount val="2"/>
                <c:pt idx="0">
                  <c:v>99.5</c:v>
                </c:pt>
                <c:pt idx="1">
                  <c:v>0.5</c:v>
                </c:pt>
              </c:numCache>
            </c:numRef>
          </c:val>
        </c:ser>
        <c:firstSliceAng val="298"/>
      </c:pieChart>
    </c:plotArea>
    <c:plotVisOnly val="1"/>
  </c:chart>
  <c:spPr>
    <a:noFill/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WS_data!$C$1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0"/>
          </c:spPr>
          <c:marker>
            <c:symbol val="none"/>
          </c:marker>
          <c:cat>
            <c:numRef>
              <c:f>[0]!rngTimeColumn</c:f>
              <c:numCache>
                <c:formatCode>dd/mm/yyyy</c:formatCode>
                <c:ptCount val="363"/>
                <c:pt idx="0">
                  <c:v>41472</c:v>
                </c:pt>
                <c:pt idx="1">
                  <c:v>41473</c:v>
                </c:pt>
                <c:pt idx="2">
                  <c:v>41474</c:v>
                </c:pt>
                <c:pt idx="3">
                  <c:v>41475</c:v>
                </c:pt>
                <c:pt idx="4">
                  <c:v>41476</c:v>
                </c:pt>
                <c:pt idx="5">
                  <c:v>41477</c:v>
                </c:pt>
                <c:pt idx="6">
                  <c:v>41478</c:v>
                </c:pt>
                <c:pt idx="7">
                  <c:v>41479</c:v>
                </c:pt>
                <c:pt idx="8">
                  <c:v>41480</c:v>
                </c:pt>
                <c:pt idx="9">
                  <c:v>41481</c:v>
                </c:pt>
                <c:pt idx="10">
                  <c:v>41482</c:v>
                </c:pt>
                <c:pt idx="11">
                  <c:v>41483</c:v>
                </c:pt>
                <c:pt idx="12">
                  <c:v>41484</c:v>
                </c:pt>
                <c:pt idx="13">
                  <c:v>41485</c:v>
                </c:pt>
                <c:pt idx="14">
                  <c:v>41486</c:v>
                </c:pt>
                <c:pt idx="15">
                  <c:v>41487</c:v>
                </c:pt>
                <c:pt idx="16">
                  <c:v>41488</c:v>
                </c:pt>
                <c:pt idx="17">
                  <c:v>41489</c:v>
                </c:pt>
                <c:pt idx="18">
                  <c:v>41490</c:v>
                </c:pt>
                <c:pt idx="19">
                  <c:v>41491</c:v>
                </c:pt>
                <c:pt idx="20">
                  <c:v>41492</c:v>
                </c:pt>
                <c:pt idx="21">
                  <c:v>41493</c:v>
                </c:pt>
                <c:pt idx="22">
                  <c:v>41494</c:v>
                </c:pt>
                <c:pt idx="23">
                  <c:v>41495</c:v>
                </c:pt>
                <c:pt idx="24">
                  <c:v>41496</c:v>
                </c:pt>
                <c:pt idx="25">
                  <c:v>41497</c:v>
                </c:pt>
                <c:pt idx="26">
                  <c:v>41498</c:v>
                </c:pt>
                <c:pt idx="27">
                  <c:v>41499</c:v>
                </c:pt>
                <c:pt idx="28">
                  <c:v>41500</c:v>
                </c:pt>
                <c:pt idx="29">
                  <c:v>41501</c:v>
                </c:pt>
                <c:pt idx="30">
                  <c:v>41502</c:v>
                </c:pt>
                <c:pt idx="31">
                  <c:v>41503</c:v>
                </c:pt>
                <c:pt idx="32">
                  <c:v>41504</c:v>
                </c:pt>
                <c:pt idx="33">
                  <c:v>41505</c:v>
                </c:pt>
                <c:pt idx="34">
                  <c:v>41506</c:v>
                </c:pt>
                <c:pt idx="35">
                  <c:v>41507</c:v>
                </c:pt>
                <c:pt idx="36">
                  <c:v>41508</c:v>
                </c:pt>
                <c:pt idx="37">
                  <c:v>41509</c:v>
                </c:pt>
                <c:pt idx="38">
                  <c:v>41510</c:v>
                </c:pt>
                <c:pt idx="39">
                  <c:v>41511</c:v>
                </c:pt>
                <c:pt idx="40">
                  <c:v>41512</c:v>
                </c:pt>
                <c:pt idx="41">
                  <c:v>41513</c:v>
                </c:pt>
                <c:pt idx="42">
                  <c:v>41514</c:v>
                </c:pt>
                <c:pt idx="43">
                  <c:v>41515</c:v>
                </c:pt>
                <c:pt idx="44">
                  <c:v>41516</c:v>
                </c:pt>
                <c:pt idx="45">
                  <c:v>41517</c:v>
                </c:pt>
                <c:pt idx="46">
                  <c:v>41518</c:v>
                </c:pt>
                <c:pt idx="47">
                  <c:v>41519</c:v>
                </c:pt>
                <c:pt idx="48">
                  <c:v>41520</c:v>
                </c:pt>
                <c:pt idx="49">
                  <c:v>41521</c:v>
                </c:pt>
                <c:pt idx="50">
                  <c:v>41522</c:v>
                </c:pt>
                <c:pt idx="51">
                  <c:v>41523</c:v>
                </c:pt>
                <c:pt idx="52">
                  <c:v>41524</c:v>
                </c:pt>
                <c:pt idx="53">
                  <c:v>41525</c:v>
                </c:pt>
                <c:pt idx="54">
                  <c:v>41526</c:v>
                </c:pt>
                <c:pt idx="55">
                  <c:v>41527</c:v>
                </c:pt>
                <c:pt idx="56">
                  <c:v>41528</c:v>
                </c:pt>
                <c:pt idx="57">
                  <c:v>41529</c:v>
                </c:pt>
                <c:pt idx="58">
                  <c:v>41530</c:v>
                </c:pt>
                <c:pt idx="59">
                  <c:v>41531</c:v>
                </c:pt>
                <c:pt idx="60">
                  <c:v>41532</c:v>
                </c:pt>
                <c:pt idx="61">
                  <c:v>41533</c:v>
                </c:pt>
                <c:pt idx="62">
                  <c:v>41534</c:v>
                </c:pt>
                <c:pt idx="63">
                  <c:v>41535</c:v>
                </c:pt>
                <c:pt idx="64">
                  <c:v>41536</c:v>
                </c:pt>
                <c:pt idx="65">
                  <c:v>41537</c:v>
                </c:pt>
                <c:pt idx="66">
                  <c:v>41538</c:v>
                </c:pt>
                <c:pt idx="67">
                  <c:v>41539</c:v>
                </c:pt>
                <c:pt idx="68">
                  <c:v>41540</c:v>
                </c:pt>
                <c:pt idx="69">
                  <c:v>41541</c:v>
                </c:pt>
                <c:pt idx="70">
                  <c:v>41542</c:v>
                </c:pt>
                <c:pt idx="71">
                  <c:v>41543</c:v>
                </c:pt>
                <c:pt idx="72">
                  <c:v>41544</c:v>
                </c:pt>
                <c:pt idx="73">
                  <c:v>41545</c:v>
                </c:pt>
                <c:pt idx="74">
                  <c:v>41546</c:v>
                </c:pt>
                <c:pt idx="75">
                  <c:v>41547</c:v>
                </c:pt>
                <c:pt idx="76">
                  <c:v>41548</c:v>
                </c:pt>
                <c:pt idx="77">
                  <c:v>41549</c:v>
                </c:pt>
                <c:pt idx="78">
                  <c:v>41550</c:v>
                </c:pt>
                <c:pt idx="79">
                  <c:v>41551</c:v>
                </c:pt>
                <c:pt idx="80">
                  <c:v>41552</c:v>
                </c:pt>
                <c:pt idx="81">
                  <c:v>41553</c:v>
                </c:pt>
                <c:pt idx="82">
                  <c:v>41554</c:v>
                </c:pt>
                <c:pt idx="83">
                  <c:v>41555</c:v>
                </c:pt>
                <c:pt idx="84">
                  <c:v>41556</c:v>
                </c:pt>
                <c:pt idx="85">
                  <c:v>41557</c:v>
                </c:pt>
                <c:pt idx="86">
                  <c:v>41558</c:v>
                </c:pt>
                <c:pt idx="87">
                  <c:v>41559</c:v>
                </c:pt>
                <c:pt idx="88">
                  <c:v>41560</c:v>
                </c:pt>
                <c:pt idx="89">
                  <c:v>41561</c:v>
                </c:pt>
                <c:pt idx="90">
                  <c:v>41562</c:v>
                </c:pt>
                <c:pt idx="91">
                  <c:v>41563</c:v>
                </c:pt>
                <c:pt idx="92">
                  <c:v>41564</c:v>
                </c:pt>
                <c:pt idx="93">
                  <c:v>41565</c:v>
                </c:pt>
                <c:pt idx="94">
                  <c:v>41566</c:v>
                </c:pt>
                <c:pt idx="95">
                  <c:v>41567</c:v>
                </c:pt>
                <c:pt idx="96">
                  <c:v>41568</c:v>
                </c:pt>
                <c:pt idx="97">
                  <c:v>41569</c:v>
                </c:pt>
                <c:pt idx="98">
                  <c:v>41570</c:v>
                </c:pt>
                <c:pt idx="99">
                  <c:v>41571</c:v>
                </c:pt>
                <c:pt idx="100">
                  <c:v>41572</c:v>
                </c:pt>
                <c:pt idx="101">
                  <c:v>41573</c:v>
                </c:pt>
                <c:pt idx="102">
                  <c:v>41574</c:v>
                </c:pt>
                <c:pt idx="103">
                  <c:v>41575</c:v>
                </c:pt>
                <c:pt idx="104">
                  <c:v>41576</c:v>
                </c:pt>
                <c:pt idx="105">
                  <c:v>41577</c:v>
                </c:pt>
                <c:pt idx="106">
                  <c:v>41578</c:v>
                </c:pt>
                <c:pt idx="107">
                  <c:v>41579</c:v>
                </c:pt>
                <c:pt idx="108">
                  <c:v>41580</c:v>
                </c:pt>
                <c:pt idx="109">
                  <c:v>41581</c:v>
                </c:pt>
                <c:pt idx="110">
                  <c:v>41582</c:v>
                </c:pt>
                <c:pt idx="111">
                  <c:v>41583</c:v>
                </c:pt>
                <c:pt idx="112">
                  <c:v>41584</c:v>
                </c:pt>
                <c:pt idx="113">
                  <c:v>41585</c:v>
                </c:pt>
                <c:pt idx="114">
                  <c:v>41586</c:v>
                </c:pt>
                <c:pt idx="115">
                  <c:v>41587</c:v>
                </c:pt>
                <c:pt idx="116">
                  <c:v>41588</c:v>
                </c:pt>
                <c:pt idx="117">
                  <c:v>41589</c:v>
                </c:pt>
                <c:pt idx="118">
                  <c:v>41590</c:v>
                </c:pt>
                <c:pt idx="119">
                  <c:v>41591</c:v>
                </c:pt>
                <c:pt idx="120">
                  <c:v>41592</c:v>
                </c:pt>
                <c:pt idx="121">
                  <c:v>41593</c:v>
                </c:pt>
                <c:pt idx="122">
                  <c:v>41594</c:v>
                </c:pt>
                <c:pt idx="123">
                  <c:v>41595</c:v>
                </c:pt>
                <c:pt idx="124">
                  <c:v>41596</c:v>
                </c:pt>
                <c:pt idx="125">
                  <c:v>41597</c:v>
                </c:pt>
                <c:pt idx="126">
                  <c:v>41598</c:v>
                </c:pt>
                <c:pt idx="127">
                  <c:v>41599</c:v>
                </c:pt>
                <c:pt idx="128">
                  <c:v>41600</c:v>
                </c:pt>
                <c:pt idx="129">
                  <c:v>41601</c:v>
                </c:pt>
                <c:pt idx="130">
                  <c:v>41602</c:v>
                </c:pt>
                <c:pt idx="131">
                  <c:v>41603</c:v>
                </c:pt>
                <c:pt idx="132">
                  <c:v>41604</c:v>
                </c:pt>
                <c:pt idx="133">
                  <c:v>41605</c:v>
                </c:pt>
                <c:pt idx="134">
                  <c:v>41606</c:v>
                </c:pt>
                <c:pt idx="135">
                  <c:v>41607</c:v>
                </c:pt>
                <c:pt idx="136">
                  <c:v>41608</c:v>
                </c:pt>
                <c:pt idx="137">
                  <c:v>41609</c:v>
                </c:pt>
                <c:pt idx="138">
                  <c:v>41610</c:v>
                </c:pt>
                <c:pt idx="139">
                  <c:v>41611</c:v>
                </c:pt>
                <c:pt idx="140">
                  <c:v>41612</c:v>
                </c:pt>
                <c:pt idx="141">
                  <c:v>41613</c:v>
                </c:pt>
                <c:pt idx="142">
                  <c:v>41614</c:v>
                </c:pt>
                <c:pt idx="143">
                  <c:v>41615</c:v>
                </c:pt>
                <c:pt idx="144">
                  <c:v>41616</c:v>
                </c:pt>
                <c:pt idx="145">
                  <c:v>41617</c:v>
                </c:pt>
                <c:pt idx="146">
                  <c:v>41618</c:v>
                </c:pt>
                <c:pt idx="147">
                  <c:v>41619</c:v>
                </c:pt>
                <c:pt idx="148">
                  <c:v>41620</c:v>
                </c:pt>
                <c:pt idx="149">
                  <c:v>41621</c:v>
                </c:pt>
                <c:pt idx="150">
                  <c:v>41622</c:v>
                </c:pt>
                <c:pt idx="151">
                  <c:v>41623</c:v>
                </c:pt>
                <c:pt idx="152">
                  <c:v>41624</c:v>
                </c:pt>
                <c:pt idx="153">
                  <c:v>41625</c:v>
                </c:pt>
                <c:pt idx="154">
                  <c:v>41626</c:v>
                </c:pt>
                <c:pt idx="155">
                  <c:v>41627</c:v>
                </c:pt>
                <c:pt idx="156">
                  <c:v>41628</c:v>
                </c:pt>
                <c:pt idx="157">
                  <c:v>41629</c:v>
                </c:pt>
                <c:pt idx="158">
                  <c:v>41630</c:v>
                </c:pt>
                <c:pt idx="159">
                  <c:v>41631</c:v>
                </c:pt>
                <c:pt idx="160">
                  <c:v>41632</c:v>
                </c:pt>
                <c:pt idx="161">
                  <c:v>41633</c:v>
                </c:pt>
                <c:pt idx="162">
                  <c:v>41634</c:v>
                </c:pt>
                <c:pt idx="163">
                  <c:v>41635</c:v>
                </c:pt>
                <c:pt idx="164">
                  <c:v>41636</c:v>
                </c:pt>
                <c:pt idx="165">
                  <c:v>41637</c:v>
                </c:pt>
                <c:pt idx="166">
                  <c:v>41638</c:v>
                </c:pt>
                <c:pt idx="167">
                  <c:v>41639</c:v>
                </c:pt>
                <c:pt idx="168">
                  <c:v>41640</c:v>
                </c:pt>
                <c:pt idx="169">
                  <c:v>41641</c:v>
                </c:pt>
                <c:pt idx="170">
                  <c:v>41642</c:v>
                </c:pt>
                <c:pt idx="171">
                  <c:v>41643</c:v>
                </c:pt>
                <c:pt idx="172">
                  <c:v>41644</c:v>
                </c:pt>
                <c:pt idx="173">
                  <c:v>41645</c:v>
                </c:pt>
                <c:pt idx="174">
                  <c:v>41646</c:v>
                </c:pt>
                <c:pt idx="175">
                  <c:v>41647</c:v>
                </c:pt>
                <c:pt idx="176">
                  <c:v>41648</c:v>
                </c:pt>
                <c:pt idx="177">
                  <c:v>41649</c:v>
                </c:pt>
                <c:pt idx="178">
                  <c:v>41650</c:v>
                </c:pt>
                <c:pt idx="179">
                  <c:v>41651</c:v>
                </c:pt>
                <c:pt idx="180">
                  <c:v>41652</c:v>
                </c:pt>
                <c:pt idx="181">
                  <c:v>41653</c:v>
                </c:pt>
                <c:pt idx="182">
                  <c:v>41654</c:v>
                </c:pt>
                <c:pt idx="183">
                  <c:v>41655</c:v>
                </c:pt>
                <c:pt idx="184">
                  <c:v>41656</c:v>
                </c:pt>
                <c:pt idx="185">
                  <c:v>41657</c:v>
                </c:pt>
                <c:pt idx="186">
                  <c:v>41658</c:v>
                </c:pt>
                <c:pt idx="187">
                  <c:v>41659</c:v>
                </c:pt>
                <c:pt idx="188">
                  <c:v>41660</c:v>
                </c:pt>
                <c:pt idx="189">
                  <c:v>41661</c:v>
                </c:pt>
                <c:pt idx="190">
                  <c:v>41662</c:v>
                </c:pt>
                <c:pt idx="191">
                  <c:v>41663</c:v>
                </c:pt>
                <c:pt idx="192">
                  <c:v>41664</c:v>
                </c:pt>
                <c:pt idx="193">
                  <c:v>41665</c:v>
                </c:pt>
                <c:pt idx="194">
                  <c:v>41666</c:v>
                </c:pt>
                <c:pt idx="195">
                  <c:v>41667</c:v>
                </c:pt>
                <c:pt idx="196">
                  <c:v>41668</c:v>
                </c:pt>
                <c:pt idx="197">
                  <c:v>41669</c:v>
                </c:pt>
                <c:pt idx="198">
                  <c:v>41670</c:v>
                </c:pt>
                <c:pt idx="199">
                  <c:v>41671</c:v>
                </c:pt>
                <c:pt idx="200">
                  <c:v>41672</c:v>
                </c:pt>
                <c:pt idx="201">
                  <c:v>41673</c:v>
                </c:pt>
                <c:pt idx="202">
                  <c:v>41674</c:v>
                </c:pt>
                <c:pt idx="203">
                  <c:v>41675</c:v>
                </c:pt>
                <c:pt idx="204">
                  <c:v>41676</c:v>
                </c:pt>
                <c:pt idx="205">
                  <c:v>41677</c:v>
                </c:pt>
                <c:pt idx="206">
                  <c:v>41678</c:v>
                </c:pt>
                <c:pt idx="207">
                  <c:v>41679</c:v>
                </c:pt>
                <c:pt idx="208">
                  <c:v>41680</c:v>
                </c:pt>
                <c:pt idx="209">
                  <c:v>41681</c:v>
                </c:pt>
                <c:pt idx="210">
                  <c:v>41682</c:v>
                </c:pt>
                <c:pt idx="211">
                  <c:v>41683</c:v>
                </c:pt>
                <c:pt idx="212">
                  <c:v>41684</c:v>
                </c:pt>
                <c:pt idx="213">
                  <c:v>41685</c:v>
                </c:pt>
                <c:pt idx="214">
                  <c:v>41686</c:v>
                </c:pt>
                <c:pt idx="215">
                  <c:v>41687</c:v>
                </c:pt>
                <c:pt idx="216">
                  <c:v>41688</c:v>
                </c:pt>
                <c:pt idx="217">
                  <c:v>41689</c:v>
                </c:pt>
                <c:pt idx="218">
                  <c:v>41690</c:v>
                </c:pt>
                <c:pt idx="219">
                  <c:v>41691</c:v>
                </c:pt>
                <c:pt idx="220">
                  <c:v>41692</c:v>
                </c:pt>
                <c:pt idx="221">
                  <c:v>41693</c:v>
                </c:pt>
                <c:pt idx="222">
                  <c:v>41694</c:v>
                </c:pt>
                <c:pt idx="223">
                  <c:v>41695</c:v>
                </c:pt>
                <c:pt idx="224">
                  <c:v>41696</c:v>
                </c:pt>
                <c:pt idx="225">
                  <c:v>41697</c:v>
                </c:pt>
                <c:pt idx="226">
                  <c:v>41698</c:v>
                </c:pt>
                <c:pt idx="227">
                  <c:v>41699</c:v>
                </c:pt>
                <c:pt idx="228">
                  <c:v>41700</c:v>
                </c:pt>
                <c:pt idx="229">
                  <c:v>41701</c:v>
                </c:pt>
                <c:pt idx="230">
                  <c:v>41702</c:v>
                </c:pt>
                <c:pt idx="231">
                  <c:v>41703</c:v>
                </c:pt>
                <c:pt idx="232">
                  <c:v>41704</c:v>
                </c:pt>
                <c:pt idx="233">
                  <c:v>41705</c:v>
                </c:pt>
                <c:pt idx="234">
                  <c:v>41706</c:v>
                </c:pt>
                <c:pt idx="235">
                  <c:v>41707</c:v>
                </c:pt>
                <c:pt idx="236">
                  <c:v>41708</c:v>
                </c:pt>
                <c:pt idx="237">
                  <c:v>41709</c:v>
                </c:pt>
                <c:pt idx="238">
                  <c:v>41710</c:v>
                </c:pt>
                <c:pt idx="239">
                  <c:v>41711</c:v>
                </c:pt>
                <c:pt idx="240">
                  <c:v>41712</c:v>
                </c:pt>
                <c:pt idx="241">
                  <c:v>41713</c:v>
                </c:pt>
                <c:pt idx="242">
                  <c:v>41714</c:v>
                </c:pt>
                <c:pt idx="243">
                  <c:v>41715</c:v>
                </c:pt>
                <c:pt idx="244">
                  <c:v>41716</c:v>
                </c:pt>
                <c:pt idx="245">
                  <c:v>41717</c:v>
                </c:pt>
                <c:pt idx="246">
                  <c:v>41718</c:v>
                </c:pt>
                <c:pt idx="247">
                  <c:v>41719</c:v>
                </c:pt>
                <c:pt idx="248">
                  <c:v>41720</c:v>
                </c:pt>
                <c:pt idx="249">
                  <c:v>41721</c:v>
                </c:pt>
                <c:pt idx="250">
                  <c:v>41722</c:v>
                </c:pt>
                <c:pt idx="251">
                  <c:v>41723</c:v>
                </c:pt>
                <c:pt idx="252">
                  <c:v>41724</c:v>
                </c:pt>
                <c:pt idx="253">
                  <c:v>41725</c:v>
                </c:pt>
                <c:pt idx="254">
                  <c:v>41726</c:v>
                </c:pt>
                <c:pt idx="255">
                  <c:v>41727</c:v>
                </c:pt>
                <c:pt idx="256">
                  <c:v>41728</c:v>
                </c:pt>
                <c:pt idx="257">
                  <c:v>41729</c:v>
                </c:pt>
                <c:pt idx="258">
                  <c:v>41730</c:v>
                </c:pt>
                <c:pt idx="259">
                  <c:v>41731</c:v>
                </c:pt>
                <c:pt idx="260">
                  <c:v>41732</c:v>
                </c:pt>
                <c:pt idx="261">
                  <c:v>41733</c:v>
                </c:pt>
                <c:pt idx="262">
                  <c:v>41734</c:v>
                </c:pt>
                <c:pt idx="263">
                  <c:v>41735</c:v>
                </c:pt>
                <c:pt idx="264">
                  <c:v>41736</c:v>
                </c:pt>
                <c:pt idx="265">
                  <c:v>41737</c:v>
                </c:pt>
                <c:pt idx="266">
                  <c:v>41738</c:v>
                </c:pt>
                <c:pt idx="267">
                  <c:v>41739</c:v>
                </c:pt>
                <c:pt idx="268">
                  <c:v>41740</c:v>
                </c:pt>
                <c:pt idx="269">
                  <c:v>41741</c:v>
                </c:pt>
                <c:pt idx="270">
                  <c:v>41742</c:v>
                </c:pt>
                <c:pt idx="271">
                  <c:v>41743</c:v>
                </c:pt>
                <c:pt idx="272">
                  <c:v>41744</c:v>
                </c:pt>
                <c:pt idx="273">
                  <c:v>41745</c:v>
                </c:pt>
                <c:pt idx="274">
                  <c:v>41746</c:v>
                </c:pt>
                <c:pt idx="275">
                  <c:v>41747</c:v>
                </c:pt>
                <c:pt idx="276">
                  <c:v>41748</c:v>
                </c:pt>
                <c:pt idx="277">
                  <c:v>41749</c:v>
                </c:pt>
                <c:pt idx="278">
                  <c:v>41750</c:v>
                </c:pt>
                <c:pt idx="279">
                  <c:v>41751</c:v>
                </c:pt>
                <c:pt idx="280">
                  <c:v>41752</c:v>
                </c:pt>
                <c:pt idx="281">
                  <c:v>41753</c:v>
                </c:pt>
                <c:pt idx="282">
                  <c:v>41754</c:v>
                </c:pt>
                <c:pt idx="283">
                  <c:v>41755</c:v>
                </c:pt>
                <c:pt idx="284">
                  <c:v>41756</c:v>
                </c:pt>
                <c:pt idx="285">
                  <c:v>41757</c:v>
                </c:pt>
                <c:pt idx="286">
                  <c:v>41758</c:v>
                </c:pt>
                <c:pt idx="287">
                  <c:v>41759</c:v>
                </c:pt>
                <c:pt idx="288">
                  <c:v>41760</c:v>
                </c:pt>
                <c:pt idx="289">
                  <c:v>41761</c:v>
                </c:pt>
                <c:pt idx="290">
                  <c:v>41762</c:v>
                </c:pt>
                <c:pt idx="291">
                  <c:v>41763</c:v>
                </c:pt>
                <c:pt idx="292">
                  <c:v>41764</c:v>
                </c:pt>
                <c:pt idx="293">
                  <c:v>41765</c:v>
                </c:pt>
                <c:pt idx="294">
                  <c:v>41766</c:v>
                </c:pt>
                <c:pt idx="295">
                  <c:v>41767</c:v>
                </c:pt>
                <c:pt idx="296">
                  <c:v>41768</c:v>
                </c:pt>
                <c:pt idx="297">
                  <c:v>41769</c:v>
                </c:pt>
                <c:pt idx="298">
                  <c:v>41770</c:v>
                </c:pt>
                <c:pt idx="299">
                  <c:v>41771</c:v>
                </c:pt>
                <c:pt idx="300">
                  <c:v>41772</c:v>
                </c:pt>
                <c:pt idx="301">
                  <c:v>41773</c:v>
                </c:pt>
                <c:pt idx="302">
                  <c:v>41774</c:v>
                </c:pt>
                <c:pt idx="303">
                  <c:v>41775</c:v>
                </c:pt>
                <c:pt idx="304">
                  <c:v>41776</c:v>
                </c:pt>
                <c:pt idx="305">
                  <c:v>41777</c:v>
                </c:pt>
                <c:pt idx="306">
                  <c:v>41778</c:v>
                </c:pt>
                <c:pt idx="307">
                  <c:v>41779</c:v>
                </c:pt>
                <c:pt idx="308">
                  <c:v>41780</c:v>
                </c:pt>
                <c:pt idx="309">
                  <c:v>41781</c:v>
                </c:pt>
                <c:pt idx="310">
                  <c:v>41782</c:v>
                </c:pt>
                <c:pt idx="311">
                  <c:v>41783</c:v>
                </c:pt>
                <c:pt idx="312">
                  <c:v>41784</c:v>
                </c:pt>
                <c:pt idx="313">
                  <c:v>41785</c:v>
                </c:pt>
                <c:pt idx="314">
                  <c:v>41786</c:v>
                </c:pt>
                <c:pt idx="315">
                  <c:v>41787</c:v>
                </c:pt>
                <c:pt idx="316">
                  <c:v>41788</c:v>
                </c:pt>
                <c:pt idx="317">
                  <c:v>41789</c:v>
                </c:pt>
                <c:pt idx="318">
                  <c:v>41790</c:v>
                </c:pt>
                <c:pt idx="319">
                  <c:v>41791</c:v>
                </c:pt>
                <c:pt idx="320">
                  <c:v>41792</c:v>
                </c:pt>
                <c:pt idx="321">
                  <c:v>41793</c:v>
                </c:pt>
                <c:pt idx="322">
                  <c:v>41794</c:v>
                </c:pt>
                <c:pt idx="323">
                  <c:v>41795</c:v>
                </c:pt>
                <c:pt idx="324">
                  <c:v>41796</c:v>
                </c:pt>
                <c:pt idx="325">
                  <c:v>41797</c:v>
                </c:pt>
                <c:pt idx="326">
                  <c:v>41798</c:v>
                </c:pt>
                <c:pt idx="327">
                  <c:v>41799</c:v>
                </c:pt>
                <c:pt idx="328">
                  <c:v>41800</c:v>
                </c:pt>
                <c:pt idx="329">
                  <c:v>41801</c:v>
                </c:pt>
                <c:pt idx="330">
                  <c:v>41802</c:v>
                </c:pt>
                <c:pt idx="331">
                  <c:v>41803</c:v>
                </c:pt>
                <c:pt idx="332">
                  <c:v>41804</c:v>
                </c:pt>
                <c:pt idx="333">
                  <c:v>41805</c:v>
                </c:pt>
                <c:pt idx="334">
                  <c:v>41806</c:v>
                </c:pt>
                <c:pt idx="335">
                  <c:v>41807</c:v>
                </c:pt>
                <c:pt idx="336">
                  <c:v>41808</c:v>
                </c:pt>
                <c:pt idx="337">
                  <c:v>41809</c:v>
                </c:pt>
                <c:pt idx="338">
                  <c:v>41810</c:v>
                </c:pt>
                <c:pt idx="339">
                  <c:v>41811</c:v>
                </c:pt>
                <c:pt idx="340">
                  <c:v>41812</c:v>
                </c:pt>
                <c:pt idx="341">
                  <c:v>41813</c:v>
                </c:pt>
                <c:pt idx="342">
                  <c:v>41814</c:v>
                </c:pt>
                <c:pt idx="343">
                  <c:v>41815</c:v>
                </c:pt>
                <c:pt idx="344">
                  <c:v>41816</c:v>
                </c:pt>
                <c:pt idx="345">
                  <c:v>41817</c:v>
                </c:pt>
                <c:pt idx="346">
                  <c:v>41818</c:v>
                </c:pt>
                <c:pt idx="347">
                  <c:v>41819</c:v>
                </c:pt>
                <c:pt idx="348">
                  <c:v>41820</c:v>
                </c:pt>
                <c:pt idx="349">
                  <c:v>41821</c:v>
                </c:pt>
                <c:pt idx="350">
                  <c:v>41822</c:v>
                </c:pt>
                <c:pt idx="351">
                  <c:v>41823</c:v>
                </c:pt>
                <c:pt idx="352">
                  <c:v>41824</c:v>
                </c:pt>
                <c:pt idx="353">
                  <c:v>41825</c:v>
                </c:pt>
                <c:pt idx="354">
                  <c:v>41826</c:v>
                </c:pt>
                <c:pt idx="355">
                  <c:v>41827</c:v>
                </c:pt>
                <c:pt idx="356">
                  <c:v>41828</c:v>
                </c:pt>
                <c:pt idx="357">
                  <c:v>41829</c:v>
                </c:pt>
                <c:pt idx="358">
                  <c:v>41830</c:v>
                </c:pt>
                <c:pt idx="359">
                  <c:v>41831</c:v>
                </c:pt>
                <c:pt idx="360">
                  <c:v>41832</c:v>
                </c:pt>
                <c:pt idx="361">
                  <c:v>41833</c:v>
                </c:pt>
                <c:pt idx="362">
                  <c:v>41834</c:v>
                </c:pt>
              </c:numCache>
            </c:numRef>
          </c:cat>
          <c:val>
            <c:numRef>
              <c:f>[0]!rngWindSpeedColumn</c:f>
              <c:numCache>
                <c:formatCode>0.00</c:formatCode>
                <c:ptCount val="363"/>
                <c:pt idx="0">
                  <c:v>1.1111111111111112</c:v>
                </c:pt>
                <c:pt idx="1">
                  <c:v>0.69444444444444442</c:v>
                </c:pt>
                <c:pt idx="2">
                  <c:v>0.77777777777777768</c:v>
                </c:pt>
                <c:pt idx="3">
                  <c:v>1.8055555555555556</c:v>
                </c:pt>
                <c:pt idx="4">
                  <c:v>1.5277777777777777</c:v>
                </c:pt>
                <c:pt idx="5">
                  <c:v>1.5</c:v>
                </c:pt>
                <c:pt idx="6">
                  <c:v>1.4722222222222221</c:v>
                </c:pt>
                <c:pt idx="7">
                  <c:v>1.3333333333333333</c:v>
                </c:pt>
                <c:pt idx="8">
                  <c:v>1.5833333333333333</c:v>
                </c:pt>
                <c:pt idx="9">
                  <c:v>1.3611111111111112</c:v>
                </c:pt>
                <c:pt idx="10">
                  <c:v>2.3333333333333335</c:v>
                </c:pt>
                <c:pt idx="11">
                  <c:v>2.1388888888888888</c:v>
                </c:pt>
                <c:pt idx="12">
                  <c:v>1.3055555555555556</c:v>
                </c:pt>
                <c:pt idx="13">
                  <c:v>1.3888888888888888</c:v>
                </c:pt>
                <c:pt idx="14">
                  <c:v>1.3055555555555556</c:v>
                </c:pt>
                <c:pt idx="15">
                  <c:v>1.1944444444444444</c:v>
                </c:pt>
                <c:pt idx="16">
                  <c:v>1.7777777777777779</c:v>
                </c:pt>
                <c:pt idx="17">
                  <c:v>2.0555555555555558</c:v>
                </c:pt>
                <c:pt idx="18">
                  <c:v>1.9722222222222221</c:v>
                </c:pt>
                <c:pt idx="19">
                  <c:v>1.8055555555555556</c:v>
                </c:pt>
                <c:pt idx="20">
                  <c:v>2.3055555555555558</c:v>
                </c:pt>
                <c:pt idx="21">
                  <c:v>2.1388888888888888</c:v>
                </c:pt>
                <c:pt idx="22">
                  <c:v>2.2222222222222223</c:v>
                </c:pt>
                <c:pt idx="23">
                  <c:v>1.5277777777777777</c:v>
                </c:pt>
                <c:pt idx="24">
                  <c:v>1.2222222222222223</c:v>
                </c:pt>
                <c:pt idx="25">
                  <c:v>0.86111111111111116</c:v>
                </c:pt>
                <c:pt idx="26">
                  <c:v>1.5277777777777777</c:v>
                </c:pt>
                <c:pt idx="27">
                  <c:v>1.3611111111111112</c:v>
                </c:pt>
                <c:pt idx="28">
                  <c:v>1.0555555555555556</c:v>
                </c:pt>
                <c:pt idx="29">
                  <c:v>1.0833333333333333</c:v>
                </c:pt>
                <c:pt idx="30">
                  <c:v>2.5</c:v>
                </c:pt>
                <c:pt idx="31">
                  <c:v>2.5</c:v>
                </c:pt>
                <c:pt idx="32">
                  <c:v>1.8888888888888888</c:v>
                </c:pt>
                <c:pt idx="33">
                  <c:v>1.4444444444444444</c:v>
                </c:pt>
                <c:pt idx="34">
                  <c:v>1.0277777777777779</c:v>
                </c:pt>
                <c:pt idx="35">
                  <c:v>1.25</c:v>
                </c:pt>
                <c:pt idx="36">
                  <c:v>2.0555555555555558</c:v>
                </c:pt>
                <c:pt idx="37">
                  <c:v>3.2499999999999996</c:v>
                </c:pt>
                <c:pt idx="38">
                  <c:v>2.6944444444444442</c:v>
                </c:pt>
                <c:pt idx="39">
                  <c:v>1.5833333333333333</c:v>
                </c:pt>
                <c:pt idx="40">
                  <c:v>0.94444444444444442</c:v>
                </c:pt>
                <c:pt idx="41">
                  <c:v>1.2222222222222223</c:v>
                </c:pt>
                <c:pt idx="42">
                  <c:v>1</c:v>
                </c:pt>
                <c:pt idx="43">
                  <c:v>1.25</c:v>
                </c:pt>
                <c:pt idx="44">
                  <c:v>1.0277777777777779</c:v>
                </c:pt>
                <c:pt idx="45">
                  <c:v>0</c:v>
                </c:pt>
                <c:pt idx="46">
                  <c:v>0.86111111111111116</c:v>
                </c:pt>
                <c:pt idx="47">
                  <c:v>0.77777777777777768</c:v>
                </c:pt>
                <c:pt idx="48">
                  <c:v>1</c:v>
                </c:pt>
                <c:pt idx="49">
                  <c:v>0.75</c:v>
                </c:pt>
                <c:pt idx="50">
                  <c:v>1.3611111111111112</c:v>
                </c:pt>
                <c:pt idx="51">
                  <c:v>1.25</c:v>
                </c:pt>
                <c:pt idx="52">
                  <c:v>1.4444444444444444</c:v>
                </c:pt>
                <c:pt idx="53">
                  <c:v>1.9722222222222221</c:v>
                </c:pt>
                <c:pt idx="54">
                  <c:v>3.083333333333333</c:v>
                </c:pt>
                <c:pt idx="55">
                  <c:v>3.083333333333333</c:v>
                </c:pt>
                <c:pt idx="56">
                  <c:v>2.6388888888888888</c:v>
                </c:pt>
                <c:pt idx="57">
                  <c:v>1.1944444444444444</c:v>
                </c:pt>
                <c:pt idx="58">
                  <c:v>0.86111111111111116</c:v>
                </c:pt>
                <c:pt idx="59">
                  <c:v>1.4722222222222221</c:v>
                </c:pt>
                <c:pt idx="60">
                  <c:v>1.3888888888888888</c:v>
                </c:pt>
                <c:pt idx="61">
                  <c:v>1.5833333333333333</c:v>
                </c:pt>
                <c:pt idx="62">
                  <c:v>1.7222222222222223</c:v>
                </c:pt>
                <c:pt idx="63">
                  <c:v>1.8611111111111112</c:v>
                </c:pt>
                <c:pt idx="64">
                  <c:v>1.3055555555555556</c:v>
                </c:pt>
                <c:pt idx="65">
                  <c:v>1.1111111111111112</c:v>
                </c:pt>
                <c:pt idx="66">
                  <c:v>1</c:v>
                </c:pt>
                <c:pt idx="67">
                  <c:v>1.1388888888888888</c:v>
                </c:pt>
                <c:pt idx="68">
                  <c:v>1.2777777777777777</c:v>
                </c:pt>
                <c:pt idx="69">
                  <c:v>1.3055555555555556</c:v>
                </c:pt>
                <c:pt idx="70">
                  <c:v>1.1944444444444444</c:v>
                </c:pt>
                <c:pt idx="71">
                  <c:v>3.3055555555555554</c:v>
                </c:pt>
                <c:pt idx="72">
                  <c:v>4.1944444444444446</c:v>
                </c:pt>
                <c:pt idx="73">
                  <c:v>3.8333333333333335</c:v>
                </c:pt>
                <c:pt idx="74">
                  <c:v>2.3333333333333335</c:v>
                </c:pt>
                <c:pt idx="75">
                  <c:v>2.5833333333333335</c:v>
                </c:pt>
                <c:pt idx="76">
                  <c:v>2.4444444444444446</c:v>
                </c:pt>
                <c:pt idx="77">
                  <c:v>1.8055555555555556</c:v>
                </c:pt>
                <c:pt idx="78">
                  <c:v>2.5555555555555554</c:v>
                </c:pt>
                <c:pt idx="79">
                  <c:v>0.88888888888888895</c:v>
                </c:pt>
                <c:pt idx="80">
                  <c:v>1.1388888888888888</c:v>
                </c:pt>
                <c:pt idx="81">
                  <c:v>1.0277777777777779</c:v>
                </c:pt>
                <c:pt idx="82">
                  <c:v>0.83333333333333326</c:v>
                </c:pt>
                <c:pt idx="83">
                  <c:v>0.66666666666666663</c:v>
                </c:pt>
                <c:pt idx="84">
                  <c:v>0.88888888888888895</c:v>
                </c:pt>
                <c:pt idx="85">
                  <c:v>0.52777777777777779</c:v>
                </c:pt>
                <c:pt idx="86">
                  <c:v>0.88888888888888895</c:v>
                </c:pt>
                <c:pt idx="87">
                  <c:v>0.80555555555555547</c:v>
                </c:pt>
                <c:pt idx="88">
                  <c:v>1.0833333333333333</c:v>
                </c:pt>
                <c:pt idx="89">
                  <c:v>1.1944444444444444</c:v>
                </c:pt>
                <c:pt idx="90">
                  <c:v>1.25</c:v>
                </c:pt>
                <c:pt idx="91">
                  <c:v>0.75</c:v>
                </c:pt>
                <c:pt idx="92">
                  <c:v>0.44444444444444448</c:v>
                </c:pt>
                <c:pt idx="93">
                  <c:v>2.2222222222222223</c:v>
                </c:pt>
                <c:pt idx="94">
                  <c:v>2.0277777777777777</c:v>
                </c:pt>
                <c:pt idx="95">
                  <c:v>1.2777777777777777</c:v>
                </c:pt>
                <c:pt idx="96">
                  <c:v>4.3055555555555554</c:v>
                </c:pt>
                <c:pt idx="97">
                  <c:v>3.4444444444444446</c:v>
                </c:pt>
                <c:pt idx="98">
                  <c:v>2.5555555555555554</c:v>
                </c:pt>
                <c:pt idx="99">
                  <c:v>2.7777777777777777</c:v>
                </c:pt>
                <c:pt idx="100">
                  <c:v>1.4166666666666665</c:v>
                </c:pt>
                <c:pt idx="101">
                  <c:v>0.75</c:v>
                </c:pt>
                <c:pt idx="102">
                  <c:v>0.69444444444444442</c:v>
                </c:pt>
                <c:pt idx="103">
                  <c:v>0.91666666666666663</c:v>
                </c:pt>
                <c:pt idx="104">
                  <c:v>1.4444444444444444</c:v>
                </c:pt>
                <c:pt idx="105">
                  <c:v>0.80555555555555547</c:v>
                </c:pt>
                <c:pt idx="106">
                  <c:v>0.58333333333333337</c:v>
                </c:pt>
                <c:pt idx="107">
                  <c:v>0.86111111111111116</c:v>
                </c:pt>
                <c:pt idx="108">
                  <c:v>1.3333333333333333</c:v>
                </c:pt>
                <c:pt idx="109">
                  <c:v>0.91666666666666663</c:v>
                </c:pt>
                <c:pt idx="110">
                  <c:v>2.3611111111111112</c:v>
                </c:pt>
                <c:pt idx="111">
                  <c:v>1</c:v>
                </c:pt>
                <c:pt idx="112">
                  <c:v>0.66666666666666663</c:v>
                </c:pt>
                <c:pt idx="113">
                  <c:v>1.5555555555555554</c:v>
                </c:pt>
                <c:pt idx="114">
                  <c:v>1.6388888888888888</c:v>
                </c:pt>
                <c:pt idx="115">
                  <c:v>0.58333333333333337</c:v>
                </c:pt>
                <c:pt idx="116">
                  <c:v>1.8333333333333333</c:v>
                </c:pt>
                <c:pt idx="117">
                  <c:v>1.6111111111111109</c:v>
                </c:pt>
                <c:pt idx="118">
                  <c:v>0.77777777777777768</c:v>
                </c:pt>
                <c:pt idx="119">
                  <c:v>0.91666666666666663</c:v>
                </c:pt>
                <c:pt idx="120">
                  <c:v>1.1111111111111112</c:v>
                </c:pt>
                <c:pt idx="121">
                  <c:v>1.6944444444444442</c:v>
                </c:pt>
                <c:pt idx="122">
                  <c:v>1.4722222222222221</c:v>
                </c:pt>
                <c:pt idx="123">
                  <c:v>0.72222222222222221</c:v>
                </c:pt>
                <c:pt idx="124">
                  <c:v>1.0833333333333333</c:v>
                </c:pt>
                <c:pt idx="125">
                  <c:v>1.4166666666666665</c:v>
                </c:pt>
                <c:pt idx="126">
                  <c:v>0.52777777777777779</c:v>
                </c:pt>
                <c:pt idx="127">
                  <c:v>0.3611111111111111</c:v>
                </c:pt>
                <c:pt idx="128">
                  <c:v>1.6111111111111109</c:v>
                </c:pt>
                <c:pt idx="129">
                  <c:v>1.6666666666666665</c:v>
                </c:pt>
                <c:pt idx="130">
                  <c:v>1</c:v>
                </c:pt>
                <c:pt idx="131">
                  <c:v>0.97222222222222221</c:v>
                </c:pt>
                <c:pt idx="132">
                  <c:v>0.77777777777777768</c:v>
                </c:pt>
                <c:pt idx="133">
                  <c:v>1.6111111111111109</c:v>
                </c:pt>
                <c:pt idx="134">
                  <c:v>2.1944444444444446</c:v>
                </c:pt>
                <c:pt idx="135">
                  <c:v>0.88888888888888895</c:v>
                </c:pt>
                <c:pt idx="136">
                  <c:v>0.77777777777777768</c:v>
                </c:pt>
                <c:pt idx="137">
                  <c:v>0.66666666666666663</c:v>
                </c:pt>
                <c:pt idx="138">
                  <c:v>0.69444444444444442</c:v>
                </c:pt>
                <c:pt idx="139">
                  <c:v>1.0277777777777779</c:v>
                </c:pt>
                <c:pt idx="140">
                  <c:v>0.72222222222222221</c:v>
                </c:pt>
                <c:pt idx="141">
                  <c:v>0.47222222222222221</c:v>
                </c:pt>
                <c:pt idx="142">
                  <c:v>1</c:v>
                </c:pt>
                <c:pt idx="143">
                  <c:v>0.75</c:v>
                </c:pt>
                <c:pt idx="144">
                  <c:v>0.52777777777777779</c:v>
                </c:pt>
                <c:pt idx="145">
                  <c:v>1.2222222222222223</c:v>
                </c:pt>
                <c:pt idx="146">
                  <c:v>3.0555555555555554</c:v>
                </c:pt>
                <c:pt idx="147">
                  <c:v>4.1944444444444446</c:v>
                </c:pt>
                <c:pt idx="148">
                  <c:v>2.6388888888888888</c:v>
                </c:pt>
                <c:pt idx="149">
                  <c:v>1.0277777777777779</c:v>
                </c:pt>
                <c:pt idx="150">
                  <c:v>1.0277777777777779</c:v>
                </c:pt>
                <c:pt idx="151">
                  <c:v>1.8055555555555556</c:v>
                </c:pt>
                <c:pt idx="152">
                  <c:v>1.0277777777777779</c:v>
                </c:pt>
                <c:pt idx="153">
                  <c:v>0.80555555555555547</c:v>
                </c:pt>
                <c:pt idx="154">
                  <c:v>1.7777777777777779</c:v>
                </c:pt>
                <c:pt idx="155">
                  <c:v>2.8611111111111112</c:v>
                </c:pt>
                <c:pt idx="156">
                  <c:v>0.75</c:v>
                </c:pt>
                <c:pt idx="157">
                  <c:v>0.47222222222222221</c:v>
                </c:pt>
                <c:pt idx="158">
                  <c:v>0.69444444444444442</c:v>
                </c:pt>
                <c:pt idx="159">
                  <c:v>2.7222222222222223</c:v>
                </c:pt>
                <c:pt idx="160">
                  <c:v>8.1388888888888893</c:v>
                </c:pt>
                <c:pt idx="161">
                  <c:v>0.80555555555555547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1.0555555555555556</c:v>
                </c:pt>
                <c:pt idx="201">
                  <c:v>3.3055555555555554</c:v>
                </c:pt>
                <c:pt idx="202">
                  <c:v>4.0555555555555554</c:v>
                </c:pt>
                <c:pt idx="203">
                  <c:v>2.8611111111111112</c:v>
                </c:pt>
                <c:pt idx="204">
                  <c:v>4.5277777777777777</c:v>
                </c:pt>
                <c:pt idx="205">
                  <c:v>2.6666666666666665</c:v>
                </c:pt>
                <c:pt idx="206">
                  <c:v>2.9444444444444442</c:v>
                </c:pt>
                <c:pt idx="207">
                  <c:v>5.2222222222222223</c:v>
                </c:pt>
                <c:pt idx="208">
                  <c:v>2.7777777777777777</c:v>
                </c:pt>
                <c:pt idx="209">
                  <c:v>2.5277777777777777</c:v>
                </c:pt>
                <c:pt idx="210">
                  <c:v>1.9166666666666667</c:v>
                </c:pt>
                <c:pt idx="211">
                  <c:v>2.833333333333333</c:v>
                </c:pt>
                <c:pt idx="212">
                  <c:v>3.5833333333333335</c:v>
                </c:pt>
                <c:pt idx="213">
                  <c:v>0.91666666666666663</c:v>
                </c:pt>
                <c:pt idx="214">
                  <c:v>0.25</c:v>
                </c:pt>
                <c:pt idx="215">
                  <c:v>2</c:v>
                </c:pt>
                <c:pt idx="216">
                  <c:v>1.0833333333333333</c:v>
                </c:pt>
                <c:pt idx="217">
                  <c:v>0.61111111111111116</c:v>
                </c:pt>
                <c:pt idx="218">
                  <c:v>1.6111111111111109</c:v>
                </c:pt>
                <c:pt idx="219">
                  <c:v>1.0555555555555556</c:v>
                </c:pt>
                <c:pt idx="220">
                  <c:v>0.88888888888888895</c:v>
                </c:pt>
                <c:pt idx="221">
                  <c:v>3</c:v>
                </c:pt>
                <c:pt idx="222">
                  <c:v>1.8611111111111112</c:v>
                </c:pt>
                <c:pt idx="223">
                  <c:v>2.1666666666666665</c:v>
                </c:pt>
                <c:pt idx="224">
                  <c:v>1.25</c:v>
                </c:pt>
                <c:pt idx="225">
                  <c:v>1.0277777777777779</c:v>
                </c:pt>
                <c:pt idx="226">
                  <c:v>1.3055555555555556</c:v>
                </c:pt>
                <c:pt idx="227">
                  <c:v>3.9444444444444442</c:v>
                </c:pt>
                <c:pt idx="228">
                  <c:v>3.1111111111111107</c:v>
                </c:pt>
                <c:pt idx="229">
                  <c:v>2.9722222222222219</c:v>
                </c:pt>
                <c:pt idx="230">
                  <c:v>1.9166666666666667</c:v>
                </c:pt>
                <c:pt idx="231">
                  <c:v>2.7222222222222223</c:v>
                </c:pt>
                <c:pt idx="232">
                  <c:v>0.88888888888888895</c:v>
                </c:pt>
                <c:pt idx="233">
                  <c:v>0.94444444444444442</c:v>
                </c:pt>
                <c:pt idx="234">
                  <c:v>2.8888888888888888</c:v>
                </c:pt>
                <c:pt idx="235">
                  <c:v>2.8888888888888888</c:v>
                </c:pt>
                <c:pt idx="236">
                  <c:v>2.1111111111111112</c:v>
                </c:pt>
                <c:pt idx="237">
                  <c:v>0.88888888888888895</c:v>
                </c:pt>
                <c:pt idx="238">
                  <c:v>1.0833333333333333</c:v>
                </c:pt>
                <c:pt idx="239">
                  <c:v>0.80555555555555547</c:v>
                </c:pt>
                <c:pt idx="240">
                  <c:v>0.91666666666666663</c:v>
                </c:pt>
                <c:pt idx="241">
                  <c:v>1</c:v>
                </c:pt>
                <c:pt idx="242">
                  <c:v>0.80555555555555547</c:v>
                </c:pt>
                <c:pt idx="243">
                  <c:v>1.1944444444444444</c:v>
                </c:pt>
                <c:pt idx="244">
                  <c:v>2.5555555555555554</c:v>
                </c:pt>
                <c:pt idx="245">
                  <c:v>0.86111111111111116</c:v>
                </c:pt>
                <c:pt idx="246">
                  <c:v>0.86111111111111116</c:v>
                </c:pt>
                <c:pt idx="247">
                  <c:v>1.3055555555555556</c:v>
                </c:pt>
                <c:pt idx="248">
                  <c:v>1.5277777777777777</c:v>
                </c:pt>
                <c:pt idx="249">
                  <c:v>0.83333333333333326</c:v>
                </c:pt>
                <c:pt idx="250">
                  <c:v>2.1388888888888888</c:v>
                </c:pt>
                <c:pt idx="251">
                  <c:v>3.0555555555555554</c:v>
                </c:pt>
                <c:pt idx="252">
                  <c:v>3.1388888888888888</c:v>
                </c:pt>
                <c:pt idx="253">
                  <c:v>2.1388888888888888</c:v>
                </c:pt>
                <c:pt idx="254">
                  <c:v>1.4166666666666665</c:v>
                </c:pt>
                <c:pt idx="255">
                  <c:v>1</c:v>
                </c:pt>
                <c:pt idx="256">
                  <c:v>2.5555555555555554</c:v>
                </c:pt>
                <c:pt idx="257">
                  <c:v>3.0555555555555554</c:v>
                </c:pt>
                <c:pt idx="258">
                  <c:v>3.75</c:v>
                </c:pt>
                <c:pt idx="259">
                  <c:v>2.0555555555555558</c:v>
                </c:pt>
                <c:pt idx="260">
                  <c:v>1.4444444444444444</c:v>
                </c:pt>
                <c:pt idx="261">
                  <c:v>2.4722222222222223</c:v>
                </c:pt>
                <c:pt idx="262">
                  <c:v>2.0277777777777777</c:v>
                </c:pt>
                <c:pt idx="263">
                  <c:v>0.77777777777777768</c:v>
                </c:pt>
                <c:pt idx="264">
                  <c:v>1.1666666666666667</c:v>
                </c:pt>
                <c:pt idx="265">
                  <c:v>1.7222222222222223</c:v>
                </c:pt>
                <c:pt idx="266">
                  <c:v>1.8055555555555556</c:v>
                </c:pt>
                <c:pt idx="267">
                  <c:v>1.0833333333333333</c:v>
                </c:pt>
                <c:pt idx="268">
                  <c:v>1.0555555555555556</c:v>
                </c:pt>
                <c:pt idx="269">
                  <c:v>0.88888888888888895</c:v>
                </c:pt>
                <c:pt idx="270">
                  <c:v>1.0833333333333333</c:v>
                </c:pt>
                <c:pt idx="271">
                  <c:v>0.75</c:v>
                </c:pt>
                <c:pt idx="272">
                  <c:v>1.0833333333333333</c:v>
                </c:pt>
                <c:pt idx="273">
                  <c:v>0.91666666666666663</c:v>
                </c:pt>
                <c:pt idx="274">
                  <c:v>1.3611111111111112</c:v>
                </c:pt>
                <c:pt idx="275">
                  <c:v>1.4722222222222221</c:v>
                </c:pt>
                <c:pt idx="276">
                  <c:v>1.7777777777777779</c:v>
                </c:pt>
                <c:pt idx="277">
                  <c:v>1.5</c:v>
                </c:pt>
                <c:pt idx="278">
                  <c:v>1.4722222222222221</c:v>
                </c:pt>
                <c:pt idx="279">
                  <c:v>2.2222222222222223</c:v>
                </c:pt>
                <c:pt idx="280">
                  <c:v>1.6111111111111109</c:v>
                </c:pt>
                <c:pt idx="281">
                  <c:v>1.8888888888888888</c:v>
                </c:pt>
                <c:pt idx="282">
                  <c:v>1.9722222222222221</c:v>
                </c:pt>
                <c:pt idx="283">
                  <c:v>2.5833333333333335</c:v>
                </c:pt>
                <c:pt idx="284">
                  <c:v>1.2777777777777777</c:v>
                </c:pt>
                <c:pt idx="285">
                  <c:v>1.4166666666666665</c:v>
                </c:pt>
                <c:pt idx="286">
                  <c:v>2.5</c:v>
                </c:pt>
                <c:pt idx="287">
                  <c:v>2.1944444444444446</c:v>
                </c:pt>
                <c:pt idx="288">
                  <c:v>2.5555555555555554</c:v>
                </c:pt>
                <c:pt idx="289">
                  <c:v>1.5555555555555554</c:v>
                </c:pt>
                <c:pt idx="290">
                  <c:v>1.4166666666666665</c:v>
                </c:pt>
                <c:pt idx="291">
                  <c:v>1</c:v>
                </c:pt>
                <c:pt idx="292">
                  <c:v>1</c:v>
                </c:pt>
                <c:pt idx="293">
                  <c:v>1.6111111111111109</c:v>
                </c:pt>
                <c:pt idx="294">
                  <c:v>2.5277777777777777</c:v>
                </c:pt>
                <c:pt idx="295">
                  <c:v>3.1944444444444442</c:v>
                </c:pt>
                <c:pt idx="296">
                  <c:v>2.833333333333333</c:v>
                </c:pt>
                <c:pt idx="297">
                  <c:v>2.9722222222222219</c:v>
                </c:pt>
                <c:pt idx="298">
                  <c:v>2.6944444444444442</c:v>
                </c:pt>
                <c:pt idx="299">
                  <c:v>2.0833333333333335</c:v>
                </c:pt>
                <c:pt idx="300">
                  <c:v>1.5555555555555554</c:v>
                </c:pt>
                <c:pt idx="301">
                  <c:v>1.8888888888888888</c:v>
                </c:pt>
                <c:pt idx="302">
                  <c:v>1.9722222222222221</c:v>
                </c:pt>
                <c:pt idx="303">
                  <c:v>1.1388888888888888</c:v>
                </c:pt>
                <c:pt idx="304">
                  <c:v>1.1666666666666667</c:v>
                </c:pt>
                <c:pt idx="305">
                  <c:v>1.1388888888888888</c:v>
                </c:pt>
                <c:pt idx="306">
                  <c:v>1.6388888888888888</c:v>
                </c:pt>
                <c:pt idx="307">
                  <c:v>2.4166666666666665</c:v>
                </c:pt>
                <c:pt idx="308">
                  <c:v>2.6666666666666665</c:v>
                </c:pt>
                <c:pt idx="309">
                  <c:v>2.4722222222222223</c:v>
                </c:pt>
                <c:pt idx="310">
                  <c:v>1.75</c:v>
                </c:pt>
                <c:pt idx="311">
                  <c:v>2.1666666666666665</c:v>
                </c:pt>
                <c:pt idx="312">
                  <c:v>2.1111111111111112</c:v>
                </c:pt>
                <c:pt idx="313">
                  <c:v>2.3888888888888888</c:v>
                </c:pt>
                <c:pt idx="314">
                  <c:v>1.6388888888888888</c:v>
                </c:pt>
                <c:pt idx="315">
                  <c:v>1.2777777777777777</c:v>
                </c:pt>
                <c:pt idx="316">
                  <c:v>1.1666666666666667</c:v>
                </c:pt>
                <c:pt idx="317">
                  <c:v>2.833333333333333</c:v>
                </c:pt>
                <c:pt idx="318">
                  <c:v>2.25</c:v>
                </c:pt>
                <c:pt idx="319">
                  <c:v>1.5277777777777777</c:v>
                </c:pt>
                <c:pt idx="320">
                  <c:v>2.1388888888888888</c:v>
                </c:pt>
                <c:pt idx="321">
                  <c:v>2.5833333333333335</c:v>
                </c:pt>
                <c:pt idx="322">
                  <c:v>2.2222222222222223</c:v>
                </c:pt>
                <c:pt idx="323">
                  <c:v>1.4722222222222221</c:v>
                </c:pt>
                <c:pt idx="324">
                  <c:v>2.75</c:v>
                </c:pt>
                <c:pt idx="325">
                  <c:v>2.8611111111111112</c:v>
                </c:pt>
                <c:pt idx="326">
                  <c:v>1.6944444444444442</c:v>
                </c:pt>
                <c:pt idx="327">
                  <c:v>1.2777777777777777</c:v>
                </c:pt>
                <c:pt idx="328">
                  <c:v>1.6111111111111109</c:v>
                </c:pt>
                <c:pt idx="329">
                  <c:v>1.2222222222222223</c:v>
                </c:pt>
                <c:pt idx="330">
                  <c:v>1.1388888888888888</c:v>
                </c:pt>
                <c:pt idx="331">
                  <c:v>0.91666666666666663</c:v>
                </c:pt>
                <c:pt idx="332">
                  <c:v>1.0277777777777779</c:v>
                </c:pt>
                <c:pt idx="333">
                  <c:v>1.6944444444444442</c:v>
                </c:pt>
                <c:pt idx="334">
                  <c:v>1.5833333333333333</c:v>
                </c:pt>
                <c:pt idx="335">
                  <c:v>1.9722222222222221</c:v>
                </c:pt>
                <c:pt idx="336">
                  <c:v>1.3333333333333333</c:v>
                </c:pt>
                <c:pt idx="337">
                  <c:v>1.4722222222222221</c:v>
                </c:pt>
                <c:pt idx="338">
                  <c:v>1.3055555555555556</c:v>
                </c:pt>
                <c:pt idx="339">
                  <c:v>2.6944444444444442</c:v>
                </c:pt>
                <c:pt idx="340">
                  <c:v>0.80555555555555547</c:v>
                </c:pt>
                <c:pt idx="341">
                  <c:v>0.66666666666666663</c:v>
                </c:pt>
                <c:pt idx="342">
                  <c:v>1.3611111111111112</c:v>
                </c:pt>
                <c:pt idx="343">
                  <c:v>2.25</c:v>
                </c:pt>
                <c:pt idx="344">
                  <c:v>1.8611111111111112</c:v>
                </c:pt>
                <c:pt idx="345">
                  <c:v>1.6944444444444442</c:v>
                </c:pt>
                <c:pt idx="346">
                  <c:v>2.4166666666666665</c:v>
                </c:pt>
                <c:pt idx="347">
                  <c:v>2.5277777777777777</c:v>
                </c:pt>
                <c:pt idx="348">
                  <c:v>1.8611111111111112</c:v>
                </c:pt>
                <c:pt idx="349">
                  <c:v>2.2222222222222223</c:v>
                </c:pt>
                <c:pt idx="350">
                  <c:v>2.3055555555555558</c:v>
                </c:pt>
                <c:pt idx="351">
                  <c:v>1.8333333333333333</c:v>
                </c:pt>
                <c:pt idx="352">
                  <c:v>2.2222222222222223</c:v>
                </c:pt>
                <c:pt idx="353">
                  <c:v>2.1388888888888888</c:v>
                </c:pt>
                <c:pt idx="354">
                  <c:v>2.4444444444444446</c:v>
                </c:pt>
                <c:pt idx="355">
                  <c:v>2.75</c:v>
                </c:pt>
                <c:pt idx="356">
                  <c:v>2.25</c:v>
                </c:pt>
                <c:pt idx="357">
                  <c:v>1.7222222222222223</c:v>
                </c:pt>
                <c:pt idx="358">
                  <c:v>1.6111111111111109</c:v>
                </c:pt>
                <c:pt idx="359">
                  <c:v>1.5833333333333333</c:v>
                </c:pt>
                <c:pt idx="360">
                  <c:v>1.5833333333333333</c:v>
                </c:pt>
                <c:pt idx="361">
                  <c:v>2.6111111111111112</c:v>
                </c:pt>
                <c:pt idx="362">
                  <c:v>2.1388888888888888</c:v>
                </c:pt>
              </c:numCache>
            </c:numRef>
          </c:val>
        </c:ser>
        <c:marker val="1"/>
        <c:axId val="136999296"/>
        <c:axId val="137000832"/>
      </c:lineChart>
      <c:dateAx>
        <c:axId val="136999296"/>
        <c:scaling>
          <c:orientation val="minMax"/>
        </c:scaling>
        <c:axPos val="b"/>
        <c:numFmt formatCode="dd/mm/yyyy" sourceLinked="1"/>
        <c:tickLblPos val="nextTo"/>
        <c:crossAx val="137000832"/>
        <c:crosses val="autoZero"/>
        <c:auto val="1"/>
        <c:lblOffset val="100"/>
      </c:dateAx>
      <c:valAx>
        <c:axId val="137000832"/>
        <c:scaling>
          <c:orientation val="minMax"/>
        </c:scaling>
        <c:axPos val="l"/>
        <c:numFmt formatCode="0.00" sourceLinked="1"/>
        <c:tickLblPos val="nextTo"/>
        <c:crossAx val="136999296"/>
        <c:crosses val="autoZero"/>
        <c:crossBetween val="between"/>
      </c:valAx>
    </c:plotArea>
    <c:plotVisOnly val="1"/>
  </c:chart>
  <c:spPr>
    <a:noFill/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[0]!rngTemperature</c:f>
              <c:strCache>
                <c:ptCount val="1"/>
                <c:pt idx="0">
                  <c:v>Temperature (ºC)</c:v>
                </c:pt>
              </c:strCache>
            </c:strRef>
          </c:tx>
          <c:spPr>
            <a:ln w="0"/>
          </c:spPr>
          <c:marker>
            <c:symbol val="none"/>
          </c:marker>
          <c:cat>
            <c:numRef>
              <c:f>[0]!rngTimeColumn</c:f>
              <c:numCache>
                <c:formatCode>dd/mm/yyyy</c:formatCode>
                <c:ptCount val="363"/>
                <c:pt idx="0">
                  <c:v>41472</c:v>
                </c:pt>
                <c:pt idx="1">
                  <c:v>41473</c:v>
                </c:pt>
                <c:pt idx="2">
                  <c:v>41474</c:v>
                </c:pt>
                <c:pt idx="3">
                  <c:v>41475</c:v>
                </c:pt>
                <c:pt idx="4">
                  <c:v>41476</c:v>
                </c:pt>
                <c:pt idx="5">
                  <c:v>41477</c:v>
                </c:pt>
                <c:pt idx="6">
                  <c:v>41478</c:v>
                </c:pt>
                <c:pt idx="7">
                  <c:v>41479</c:v>
                </c:pt>
                <c:pt idx="8">
                  <c:v>41480</c:v>
                </c:pt>
                <c:pt idx="9">
                  <c:v>41481</c:v>
                </c:pt>
                <c:pt idx="10">
                  <c:v>41482</c:v>
                </c:pt>
                <c:pt idx="11">
                  <c:v>41483</c:v>
                </c:pt>
                <c:pt idx="12">
                  <c:v>41484</c:v>
                </c:pt>
                <c:pt idx="13">
                  <c:v>41485</c:v>
                </c:pt>
                <c:pt idx="14">
                  <c:v>41486</c:v>
                </c:pt>
                <c:pt idx="15">
                  <c:v>41487</c:v>
                </c:pt>
                <c:pt idx="16">
                  <c:v>41488</c:v>
                </c:pt>
                <c:pt idx="17">
                  <c:v>41489</c:v>
                </c:pt>
                <c:pt idx="18">
                  <c:v>41490</c:v>
                </c:pt>
                <c:pt idx="19">
                  <c:v>41491</c:v>
                </c:pt>
                <c:pt idx="20">
                  <c:v>41492</c:v>
                </c:pt>
                <c:pt idx="21">
                  <c:v>41493</c:v>
                </c:pt>
                <c:pt idx="22">
                  <c:v>41494</c:v>
                </c:pt>
                <c:pt idx="23">
                  <c:v>41495</c:v>
                </c:pt>
                <c:pt idx="24">
                  <c:v>41496</c:v>
                </c:pt>
                <c:pt idx="25">
                  <c:v>41497</c:v>
                </c:pt>
                <c:pt idx="26">
                  <c:v>41498</c:v>
                </c:pt>
                <c:pt idx="27">
                  <c:v>41499</c:v>
                </c:pt>
                <c:pt idx="28">
                  <c:v>41500</c:v>
                </c:pt>
                <c:pt idx="29">
                  <c:v>41501</c:v>
                </c:pt>
                <c:pt idx="30">
                  <c:v>41502</c:v>
                </c:pt>
                <c:pt idx="31">
                  <c:v>41503</c:v>
                </c:pt>
                <c:pt idx="32">
                  <c:v>41504</c:v>
                </c:pt>
                <c:pt idx="33">
                  <c:v>41505</c:v>
                </c:pt>
                <c:pt idx="34">
                  <c:v>41506</c:v>
                </c:pt>
                <c:pt idx="35">
                  <c:v>41507</c:v>
                </c:pt>
                <c:pt idx="36">
                  <c:v>41508</c:v>
                </c:pt>
                <c:pt idx="37">
                  <c:v>41509</c:v>
                </c:pt>
                <c:pt idx="38">
                  <c:v>41510</c:v>
                </c:pt>
                <c:pt idx="39">
                  <c:v>41511</c:v>
                </c:pt>
                <c:pt idx="40">
                  <c:v>41512</c:v>
                </c:pt>
                <c:pt idx="41">
                  <c:v>41513</c:v>
                </c:pt>
                <c:pt idx="42">
                  <c:v>41514</c:v>
                </c:pt>
                <c:pt idx="43">
                  <c:v>41515</c:v>
                </c:pt>
                <c:pt idx="44">
                  <c:v>41516</c:v>
                </c:pt>
                <c:pt idx="45">
                  <c:v>41517</c:v>
                </c:pt>
                <c:pt idx="46">
                  <c:v>41518</c:v>
                </c:pt>
                <c:pt idx="47">
                  <c:v>41519</c:v>
                </c:pt>
                <c:pt idx="48">
                  <c:v>41520</c:v>
                </c:pt>
                <c:pt idx="49">
                  <c:v>41521</c:v>
                </c:pt>
                <c:pt idx="50">
                  <c:v>41522</c:v>
                </c:pt>
                <c:pt idx="51">
                  <c:v>41523</c:v>
                </c:pt>
                <c:pt idx="52">
                  <c:v>41524</c:v>
                </c:pt>
                <c:pt idx="53">
                  <c:v>41525</c:v>
                </c:pt>
                <c:pt idx="54">
                  <c:v>41526</c:v>
                </c:pt>
                <c:pt idx="55">
                  <c:v>41527</c:v>
                </c:pt>
                <c:pt idx="56">
                  <c:v>41528</c:v>
                </c:pt>
                <c:pt idx="57">
                  <c:v>41529</c:v>
                </c:pt>
                <c:pt idx="58">
                  <c:v>41530</c:v>
                </c:pt>
                <c:pt idx="59">
                  <c:v>41531</c:v>
                </c:pt>
                <c:pt idx="60">
                  <c:v>41532</c:v>
                </c:pt>
                <c:pt idx="61">
                  <c:v>41533</c:v>
                </c:pt>
                <c:pt idx="62">
                  <c:v>41534</c:v>
                </c:pt>
                <c:pt idx="63">
                  <c:v>41535</c:v>
                </c:pt>
                <c:pt idx="64">
                  <c:v>41536</c:v>
                </c:pt>
                <c:pt idx="65">
                  <c:v>41537</c:v>
                </c:pt>
                <c:pt idx="66">
                  <c:v>41538</c:v>
                </c:pt>
                <c:pt idx="67">
                  <c:v>41539</c:v>
                </c:pt>
                <c:pt idx="68">
                  <c:v>41540</c:v>
                </c:pt>
                <c:pt idx="69">
                  <c:v>41541</c:v>
                </c:pt>
                <c:pt idx="70">
                  <c:v>41542</c:v>
                </c:pt>
                <c:pt idx="71">
                  <c:v>41543</c:v>
                </c:pt>
                <c:pt idx="72">
                  <c:v>41544</c:v>
                </c:pt>
                <c:pt idx="73">
                  <c:v>41545</c:v>
                </c:pt>
                <c:pt idx="74">
                  <c:v>41546</c:v>
                </c:pt>
                <c:pt idx="75">
                  <c:v>41547</c:v>
                </c:pt>
                <c:pt idx="76">
                  <c:v>41548</c:v>
                </c:pt>
                <c:pt idx="77">
                  <c:v>41549</c:v>
                </c:pt>
                <c:pt idx="78">
                  <c:v>41550</c:v>
                </c:pt>
                <c:pt idx="79">
                  <c:v>41551</c:v>
                </c:pt>
                <c:pt idx="80">
                  <c:v>41552</c:v>
                </c:pt>
                <c:pt idx="81">
                  <c:v>41553</c:v>
                </c:pt>
                <c:pt idx="82">
                  <c:v>41554</c:v>
                </c:pt>
                <c:pt idx="83">
                  <c:v>41555</c:v>
                </c:pt>
                <c:pt idx="84">
                  <c:v>41556</c:v>
                </c:pt>
                <c:pt idx="85">
                  <c:v>41557</c:v>
                </c:pt>
                <c:pt idx="86">
                  <c:v>41558</c:v>
                </c:pt>
                <c:pt idx="87">
                  <c:v>41559</c:v>
                </c:pt>
                <c:pt idx="88">
                  <c:v>41560</c:v>
                </c:pt>
                <c:pt idx="89">
                  <c:v>41561</c:v>
                </c:pt>
                <c:pt idx="90">
                  <c:v>41562</c:v>
                </c:pt>
                <c:pt idx="91">
                  <c:v>41563</c:v>
                </c:pt>
                <c:pt idx="92">
                  <c:v>41564</c:v>
                </c:pt>
                <c:pt idx="93">
                  <c:v>41565</c:v>
                </c:pt>
                <c:pt idx="94">
                  <c:v>41566</c:v>
                </c:pt>
                <c:pt idx="95">
                  <c:v>41567</c:v>
                </c:pt>
                <c:pt idx="96">
                  <c:v>41568</c:v>
                </c:pt>
                <c:pt idx="97">
                  <c:v>41569</c:v>
                </c:pt>
                <c:pt idx="98">
                  <c:v>41570</c:v>
                </c:pt>
                <c:pt idx="99">
                  <c:v>41571</c:v>
                </c:pt>
                <c:pt idx="100">
                  <c:v>41572</c:v>
                </c:pt>
                <c:pt idx="101">
                  <c:v>41573</c:v>
                </c:pt>
                <c:pt idx="102">
                  <c:v>41574</c:v>
                </c:pt>
                <c:pt idx="103">
                  <c:v>41575</c:v>
                </c:pt>
                <c:pt idx="104">
                  <c:v>41576</c:v>
                </c:pt>
                <c:pt idx="105">
                  <c:v>41577</c:v>
                </c:pt>
                <c:pt idx="106">
                  <c:v>41578</c:v>
                </c:pt>
                <c:pt idx="107">
                  <c:v>41579</c:v>
                </c:pt>
                <c:pt idx="108">
                  <c:v>41580</c:v>
                </c:pt>
                <c:pt idx="109">
                  <c:v>41581</c:v>
                </c:pt>
                <c:pt idx="110">
                  <c:v>41582</c:v>
                </c:pt>
                <c:pt idx="111">
                  <c:v>41583</c:v>
                </c:pt>
                <c:pt idx="112">
                  <c:v>41584</c:v>
                </c:pt>
                <c:pt idx="113">
                  <c:v>41585</c:v>
                </c:pt>
                <c:pt idx="114">
                  <c:v>41586</c:v>
                </c:pt>
                <c:pt idx="115">
                  <c:v>41587</c:v>
                </c:pt>
                <c:pt idx="116">
                  <c:v>41588</c:v>
                </c:pt>
                <c:pt idx="117">
                  <c:v>41589</c:v>
                </c:pt>
                <c:pt idx="118">
                  <c:v>41590</c:v>
                </c:pt>
                <c:pt idx="119">
                  <c:v>41591</c:v>
                </c:pt>
                <c:pt idx="120">
                  <c:v>41592</c:v>
                </c:pt>
                <c:pt idx="121">
                  <c:v>41593</c:v>
                </c:pt>
                <c:pt idx="122">
                  <c:v>41594</c:v>
                </c:pt>
                <c:pt idx="123">
                  <c:v>41595</c:v>
                </c:pt>
                <c:pt idx="124">
                  <c:v>41596</c:v>
                </c:pt>
                <c:pt idx="125">
                  <c:v>41597</c:v>
                </c:pt>
                <c:pt idx="126">
                  <c:v>41598</c:v>
                </c:pt>
                <c:pt idx="127">
                  <c:v>41599</c:v>
                </c:pt>
                <c:pt idx="128">
                  <c:v>41600</c:v>
                </c:pt>
                <c:pt idx="129">
                  <c:v>41601</c:v>
                </c:pt>
                <c:pt idx="130">
                  <c:v>41602</c:v>
                </c:pt>
                <c:pt idx="131">
                  <c:v>41603</c:v>
                </c:pt>
                <c:pt idx="132">
                  <c:v>41604</c:v>
                </c:pt>
                <c:pt idx="133">
                  <c:v>41605</c:v>
                </c:pt>
                <c:pt idx="134">
                  <c:v>41606</c:v>
                </c:pt>
                <c:pt idx="135">
                  <c:v>41607</c:v>
                </c:pt>
                <c:pt idx="136">
                  <c:v>41608</c:v>
                </c:pt>
                <c:pt idx="137">
                  <c:v>41609</c:v>
                </c:pt>
                <c:pt idx="138">
                  <c:v>41610</c:v>
                </c:pt>
                <c:pt idx="139">
                  <c:v>41611</c:v>
                </c:pt>
                <c:pt idx="140">
                  <c:v>41612</c:v>
                </c:pt>
                <c:pt idx="141">
                  <c:v>41613</c:v>
                </c:pt>
                <c:pt idx="142">
                  <c:v>41614</c:v>
                </c:pt>
                <c:pt idx="143">
                  <c:v>41615</c:v>
                </c:pt>
                <c:pt idx="144">
                  <c:v>41616</c:v>
                </c:pt>
                <c:pt idx="145">
                  <c:v>41617</c:v>
                </c:pt>
                <c:pt idx="146">
                  <c:v>41618</c:v>
                </c:pt>
                <c:pt idx="147">
                  <c:v>41619</c:v>
                </c:pt>
                <c:pt idx="148">
                  <c:v>41620</c:v>
                </c:pt>
                <c:pt idx="149">
                  <c:v>41621</c:v>
                </c:pt>
                <c:pt idx="150">
                  <c:v>41622</c:v>
                </c:pt>
                <c:pt idx="151">
                  <c:v>41623</c:v>
                </c:pt>
                <c:pt idx="152">
                  <c:v>41624</c:v>
                </c:pt>
                <c:pt idx="153">
                  <c:v>41625</c:v>
                </c:pt>
                <c:pt idx="154">
                  <c:v>41626</c:v>
                </c:pt>
                <c:pt idx="155">
                  <c:v>41627</c:v>
                </c:pt>
                <c:pt idx="156">
                  <c:v>41628</c:v>
                </c:pt>
                <c:pt idx="157">
                  <c:v>41629</c:v>
                </c:pt>
                <c:pt idx="158">
                  <c:v>41630</c:v>
                </c:pt>
                <c:pt idx="159">
                  <c:v>41631</c:v>
                </c:pt>
                <c:pt idx="160">
                  <c:v>41632</c:v>
                </c:pt>
                <c:pt idx="161">
                  <c:v>41633</c:v>
                </c:pt>
                <c:pt idx="162">
                  <c:v>41634</c:v>
                </c:pt>
                <c:pt idx="163">
                  <c:v>41635</c:v>
                </c:pt>
                <c:pt idx="164">
                  <c:v>41636</c:v>
                </c:pt>
                <c:pt idx="165">
                  <c:v>41637</c:v>
                </c:pt>
                <c:pt idx="166">
                  <c:v>41638</c:v>
                </c:pt>
                <c:pt idx="167">
                  <c:v>41639</c:v>
                </c:pt>
                <c:pt idx="168">
                  <c:v>41640</c:v>
                </c:pt>
                <c:pt idx="169">
                  <c:v>41641</c:v>
                </c:pt>
                <c:pt idx="170">
                  <c:v>41642</c:v>
                </c:pt>
                <c:pt idx="171">
                  <c:v>41643</c:v>
                </c:pt>
                <c:pt idx="172">
                  <c:v>41644</c:v>
                </c:pt>
                <c:pt idx="173">
                  <c:v>41645</c:v>
                </c:pt>
                <c:pt idx="174">
                  <c:v>41646</c:v>
                </c:pt>
                <c:pt idx="175">
                  <c:v>41647</c:v>
                </c:pt>
                <c:pt idx="176">
                  <c:v>41648</c:v>
                </c:pt>
                <c:pt idx="177">
                  <c:v>41649</c:v>
                </c:pt>
                <c:pt idx="178">
                  <c:v>41650</c:v>
                </c:pt>
                <c:pt idx="179">
                  <c:v>41651</c:v>
                </c:pt>
                <c:pt idx="180">
                  <c:v>41652</c:v>
                </c:pt>
                <c:pt idx="181">
                  <c:v>41653</c:v>
                </c:pt>
                <c:pt idx="182">
                  <c:v>41654</c:v>
                </c:pt>
                <c:pt idx="183">
                  <c:v>41655</c:v>
                </c:pt>
                <c:pt idx="184">
                  <c:v>41656</c:v>
                </c:pt>
                <c:pt idx="185">
                  <c:v>41657</c:v>
                </c:pt>
                <c:pt idx="186">
                  <c:v>41658</c:v>
                </c:pt>
                <c:pt idx="187">
                  <c:v>41659</c:v>
                </c:pt>
                <c:pt idx="188">
                  <c:v>41660</c:v>
                </c:pt>
                <c:pt idx="189">
                  <c:v>41661</c:v>
                </c:pt>
                <c:pt idx="190">
                  <c:v>41662</c:v>
                </c:pt>
                <c:pt idx="191">
                  <c:v>41663</c:v>
                </c:pt>
                <c:pt idx="192">
                  <c:v>41664</c:v>
                </c:pt>
                <c:pt idx="193">
                  <c:v>41665</c:v>
                </c:pt>
                <c:pt idx="194">
                  <c:v>41666</c:v>
                </c:pt>
                <c:pt idx="195">
                  <c:v>41667</c:v>
                </c:pt>
                <c:pt idx="196">
                  <c:v>41668</c:v>
                </c:pt>
                <c:pt idx="197">
                  <c:v>41669</c:v>
                </c:pt>
                <c:pt idx="198">
                  <c:v>41670</c:v>
                </c:pt>
                <c:pt idx="199">
                  <c:v>41671</c:v>
                </c:pt>
                <c:pt idx="200">
                  <c:v>41672</c:v>
                </c:pt>
                <c:pt idx="201">
                  <c:v>41673</c:v>
                </c:pt>
                <c:pt idx="202">
                  <c:v>41674</c:v>
                </c:pt>
                <c:pt idx="203">
                  <c:v>41675</c:v>
                </c:pt>
                <c:pt idx="204">
                  <c:v>41676</c:v>
                </c:pt>
                <c:pt idx="205">
                  <c:v>41677</c:v>
                </c:pt>
                <c:pt idx="206">
                  <c:v>41678</c:v>
                </c:pt>
                <c:pt idx="207">
                  <c:v>41679</c:v>
                </c:pt>
                <c:pt idx="208">
                  <c:v>41680</c:v>
                </c:pt>
                <c:pt idx="209">
                  <c:v>41681</c:v>
                </c:pt>
                <c:pt idx="210">
                  <c:v>41682</c:v>
                </c:pt>
                <c:pt idx="211">
                  <c:v>41683</c:v>
                </c:pt>
                <c:pt idx="212">
                  <c:v>41684</c:v>
                </c:pt>
                <c:pt idx="213">
                  <c:v>41685</c:v>
                </c:pt>
                <c:pt idx="214">
                  <c:v>41686</c:v>
                </c:pt>
                <c:pt idx="215">
                  <c:v>41687</c:v>
                </c:pt>
                <c:pt idx="216">
                  <c:v>41688</c:v>
                </c:pt>
                <c:pt idx="217">
                  <c:v>41689</c:v>
                </c:pt>
                <c:pt idx="218">
                  <c:v>41690</c:v>
                </c:pt>
                <c:pt idx="219">
                  <c:v>41691</c:v>
                </c:pt>
                <c:pt idx="220">
                  <c:v>41692</c:v>
                </c:pt>
                <c:pt idx="221">
                  <c:v>41693</c:v>
                </c:pt>
                <c:pt idx="222">
                  <c:v>41694</c:v>
                </c:pt>
                <c:pt idx="223">
                  <c:v>41695</c:v>
                </c:pt>
                <c:pt idx="224">
                  <c:v>41696</c:v>
                </c:pt>
                <c:pt idx="225">
                  <c:v>41697</c:v>
                </c:pt>
                <c:pt idx="226">
                  <c:v>41698</c:v>
                </c:pt>
                <c:pt idx="227">
                  <c:v>41699</c:v>
                </c:pt>
                <c:pt idx="228">
                  <c:v>41700</c:v>
                </c:pt>
                <c:pt idx="229">
                  <c:v>41701</c:v>
                </c:pt>
                <c:pt idx="230">
                  <c:v>41702</c:v>
                </c:pt>
                <c:pt idx="231">
                  <c:v>41703</c:v>
                </c:pt>
                <c:pt idx="232">
                  <c:v>41704</c:v>
                </c:pt>
                <c:pt idx="233">
                  <c:v>41705</c:v>
                </c:pt>
                <c:pt idx="234">
                  <c:v>41706</c:v>
                </c:pt>
                <c:pt idx="235">
                  <c:v>41707</c:v>
                </c:pt>
                <c:pt idx="236">
                  <c:v>41708</c:v>
                </c:pt>
                <c:pt idx="237">
                  <c:v>41709</c:v>
                </c:pt>
                <c:pt idx="238">
                  <c:v>41710</c:v>
                </c:pt>
                <c:pt idx="239">
                  <c:v>41711</c:v>
                </c:pt>
                <c:pt idx="240">
                  <c:v>41712</c:v>
                </c:pt>
                <c:pt idx="241">
                  <c:v>41713</c:v>
                </c:pt>
                <c:pt idx="242">
                  <c:v>41714</c:v>
                </c:pt>
                <c:pt idx="243">
                  <c:v>41715</c:v>
                </c:pt>
                <c:pt idx="244">
                  <c:v>41716</c:v>
                </c:pt>
                <c:pt idx="245">
                  <c:v>41717</c:v>
                </c:pt>
                <c:pt idx="246">
                  <c:v>41718</c:v>
                </c:pt>
                <c:pt idx="247">
                  <c:v>41719</c:v>
                </c:pt>
                <c:pt idx="248">
                  <c:v>41720</c:v>
                </c:pt>
                <c:pt idx="249">
                  <c:v>41721</c:v>
                </c:pt>
                <c:pt idx="250">
                  <c:v>41722</c:v>
                </c:pt>
                <c:pt idx="251">
                  <c:v>41723</c:v>
                </c:pt>
                <c:pt idx="252">
                  <c:v>41724</c:v>
                </c:pt>
                <c:pt idx="253">
                  <c:v>41725</c:v>
                </c:pt>
                <c:pt idx="254">
                  <c:v>41726</c:v>
                </c:pt>
                <c:pt idx="255">
                  <c:v>41727</c:v>
                </c:pt>
                <c:pt idx="256">
                  <c:v>41728</c:v>
                </c:pt>
                <c:pt idx="257">
                  <c:v>41729</c:v>
                </c:pt>
                <c:pt idx="258">
                  <c:v>41730</c:v>
                </c:pt>
                <c:pt idx="259">
                  <c:v>41731</c:v>
                </c:pt>
                <c:pt idx="260">
                  <c:v>41732</c:v>
                </c:pt>
                <c:pt idx="261">
                  <c:v>41733</c:v>
                </c:pt>
                <c:pt idx="262">
                  <c:v>41734</c:v>
                </c:pt>
                <c:pt idx="263">
                  <c:v>41735</c:v>
                </c:pt>
                <c:pt idx="264">
                  <c:v>41736</c:v>
                </c:pt>
                <c:pt idx="265">
                  <c:v>41737</c:v>
                </c:pt>
                <c:pt idx="266">
                  <c:v>41738</c:v>
                </c:pt>
                <c:pt idx="267">
                  <c:v>41739</c:v>
                </c:pt>
                <c:pt idx="268">
                  <c:v>41740</c:v>
                </c:pt>
                <c:pt idx="269">
                  <c:v>41741</c:v>
                </c:pt>
                <c:pt idx="270">
                  <c:v>41742</c:v>
                </c:pt>
                <c:pt idx="271">
                  <c:v>41743</c:v>
                </c:pt>
                <c:pt idx="272">
                  <c:v>41744</c:v>
                </c:pt>
                <c:pt idx="273">
                  <c:v>41745</c:v>
                </c:pt>
                <c:pt idx="274">
                  <c:v>41746</c:v>
                </c:pt>
                <c:pt idx="275">
                  <c:v>41747</c:v>
                </c:pt>
                <c:pt idx="276">
                  <c:v>41748</c:v>
                </c:pt>
                <c:pt idx="277">
                  <c:v>41749</c:v>
                </c:pt>
                <c:pt idx="278">
                  <c:v>41750</c:v>
                </c:pt>
                <c:pt idx="279">
                  <c:v>41751</c:v>
                </c:pt>
                <c:pt idx="280">
                  <c:v>41752</c:v>
                </c:pt>
                <c:pt idx="281">
                  <c:v>41753</c:v>
                </c:pt>
                <c:pt idx="282">
                  <c:v>41754</c:v>
                </c:pt>
                <c:pt idx="283">
                  <c:v>41755</c:v>
                </c:pt>
                <c:pt idx="284">
                  <c:v>41756</c:v>
                </c:pt>
                <c:pt idx="285">
                  <c:v>41757</c:v>
                </c:pt>
                <c:pt idx="286">
                  <c:v>41758</c:v>
                </c:pt>
                <c:pt idx="287">
                  <c:v>41759</c:v>
                </c:pt>
                <c:pt idx="288">
                  <c:v>41760</c:v>
                </c:pt>
                <c:pt idx="289">
                  <c:v>41761</c:v>
                </c:pt>
                <c:pt idx="290">
                  <c:v>41762</c:v>
                </c:pt>
                <c:pt idx="291">
                  <c:v>41763</c:v>
                </c:pt>
                <c:pt idx="292">
                  <c:v>41764</c:v>
                </c:pt>
                <c:pt idx="293">
                  <c:v>41765</c:v>
                </c:pt>
                <c:pt idx="294">
                  <c:v>41766</c:v>
                </c:pt>
                <c:pt idx="295">
                  <c:v>41767</c:v>
                </c:pt>
                <c:pt idx="296">
                  <c:v>41768</c:v>
                </c:pt>
                <c:pt idx="297">
                  <c:v>41769</c:v>
                </c:pt>
                <c:pt idx="298">
                  <c:v>41770</c:v>
                </c:pt>
                <c:pt idx="299">
                  <c:v>41771</c:v>
                </c:pt>
                <c:pt idx="300">
                  <c:v>41772</c:v>
                </c:pt>
                <c:pt idx="301">
                  <c:v>41773</c:v>
                </c:pt>
                <c:pt idx="302">
                  <c:v>41774</c:v>
                </c:pt>
                <c:pt idx="303">
                  <c:v>41775</c:v>
                </c:pt>
                <c:pt idx="304">
                  <c:v>41776</c:v>
                </c:pt>
                <c:pt idx="305">
                  <c:v>41777</c:v>
                </c:pt>
                <c:pt idx="306">
                  <c:v>41778</c:v>
                </c:pt>
                <c:pt idx="307">
                  <c:v>41779</c:v>
                </c:pt>
                <c:pt idx="308">
                  <c:v>41780</c:v>
                </c:pt>
                <c:pt idx="309">
                  <c:v>41781</c:v>
                </c:pt>
                <c:pt idx="310">
                  <c:v>41782</c:v>
                </c:pt>
                <c:pt idx="311">
                  <c:v>41783</c:v>
                </c:pt>
                <c:pt idx="312">
                  <c:v>41784</c:v>
                </c:pt>
                <c:pt idx="313">
                  <c:v>41785</c:v>
                </c:pt>
                <c:pt idx="314">
                  <c:v>41786</c:v>
                </c:pt>
                <c:pt idx="315">
                  <c:v>41787</c:v>
                </c:pt>
                <c:pt idx="316">
                  <c:v>41788</c:v>
                </c:pt>
                <c:pt idx="317">
                  <c:v>41789</c:v>
                </c:pt>
                <c:pt idx="318">
                  <c:v>41790</c:v>
                </c:pt>
                <c:pt idx="319">
                  <c:v>41791</c:v>
                </c:pt>
                <c:pt idx="320">
                  <c:v>41792</c:v>
                </c:pt>
                <c:pt idx="321">
                  <c:v>41793</c:v>
                </c:pt>
                <c:pt idx="322">
                  <c:v>41794</c:v>
                </c:pt>
                <c:pt idx="323">
                  <c:v>41795</c:v>
                </c:pt>
                <c:pt idx="324">
                  <c:v>41796</c:v>
                </c:pt>
                <c:pt idx="325">
                  <c:v>41797</c:v>
                </c:pt>
                <c:pt idx="326">
                  <c:v>41798</c:v>
                </c:pt>
                <c:pt idx="327">
                  <c:v>41799</c:v>
                </c:pt>
                <c:pt idx="328">
                  <c:v>41800</c:v>
                </c:pt>
                <c:pt idx="329">
                  <c:v>41801</c:v>
                </c:pt>
                <c:pt idx="330">
                  <c:v>41802</c:v>
                </c:pt>
                <c:pt idx="331">
                  <c:v>41803</c:v>
                </c:pt>
                <c:pt idx="332">
                  <c:v>41804</c:v>
                </c:pt>
                <c:pt idx="333">
                  <c:v>41805</c:v>
                </c:pt>
                <c:pt idx="334">
                  <c:v>41806</c:v>
                </c:pt>
                <c:pt idx="335">
                  <c:v>41807</c:v>
                </c:pt>
                <c:pt idx="336">
                  <c:v>41808</c:v>
                </c:pt>
                <c:pt idx="337">
                  <c:v>41809</c:v>
                </c:pt>
                <c:pt idx="338">
                  <c:v>41810</c:v>
                </c:pt>
                <c:pt idx="339">
                  <c:v>41811</c:v>
                </c:pt>
                <c:pt idx="340">
                  <c:v>41812</c:v>
                </c:pt>
                <c:pt idx="341">
                  <c:v>41813</c:v>
                </c:pt>
                <c:pt idx="342">
                  <c:v>41814</c:v>
                </c:pt>
                <c:pt idx="343">
                  <c:v>41815</c:v>
                </c:pt>
                <c:pt idx="344">
                  <c:v>41816</c:v>
                </c:pt>
                <c:pt idx="345">
                  <c:v>41817</c:v>
                </c:pt>
                <c:pt idx="346">
                  <c:v>41818</c:v>
                </c:pt>
                <c:pt idx="347">
                  <c:v>41819</c:v>
                </c:pt>
                <c:pt idx="348">
                  <c:v>41820</c:v>
                </c:pt>
                <c:pt idx="349">
                  <c:v>41821</c:v>
                </c:pt>
                <c:pt idx="350">
                  <c:v>41822</c:v>
                </c:pt>
                <c:pt idx="351">
                  <c:v>41823</c:v>
                </c:pt>
                <c:pt idx="352">
                  <c:v>41824</c:v>
                </c:pt>
                <c:pt idx="353">
                  <c:v>41825</c:v>
                </c:pt>
                <c:pt idx="354">
                  <c:v>41826</c:v>
                </c:pt>
                <c:pt idx="355">
                  <c:v>41827</c:v>
                </c:pt>
                <c:pt idx="356">
                  <c:v>41828</c:v>
                </c:pt>
                <c:pt idx="357">
                  <c:v>41829</c:v>
                </c:pt>
                <c:pt idx="358">
                  <c:v>41830</c:v>
                </c:pt>
                <c:pt idx="359">
                  <c:v>41831</c:v>
                </c:pt>
                <c:pt idx="360">
                  <c:v>41832</c:v>
                </c:pt>
                <c:pt idx="361">
                  <c:v>41833</c:v>
                </c:pt>
                <c:pt idx="362">
                  <c:v>41834</c:v>
                </c:pt>
              </c:numCache>
            </c:numRef>
          </c:cat>
          <c:val>
            <c:numRef>
              <c:f>[0]!rngTemperatureColumn</c:f>
              <c:numCache>
                <c:formatCode>0.00</c:formatCode>
                <c:ptCount val="363"/>
                <c:pt idx="0">
                  <c:v>18.3</c:v>
                </c:pt>
                <c:pt idx="1">
                  <c:v>17.899999999999999</c:v>
                </c:pt>
                <c:pt idx="2">
                  <c:v>17.3</c:v>
                </c:pt>
                <c:pt idx="3">
                  <c:v>21.2</c:v>
                </c:pt>
                <c:pt idx="4">
                  <c:v>20.399999999999999</c:v>
                </c:pt>
                <c:pt idx="5">
                  <c:v>20.100000000000001</c:v>
                </c:pt>
                <c:pt idx="6">
                  <c:v>20.399999999999999</c:v>
                </c:pt>
                <c:pt idx="7">
                  <c:v>21.8</c:v>
                </c:pt>
                <c:pt idx="8">
                  <c:v>21.6</c:v>
                </c:pt>
                <c:pt idx="9">
                  <c:v>19.600000000000001</c:v>
                </c:pt>
                <c:pt idx="10">
                  <c:v>20.100000000000001</c:v>
                </c:pt>
                <c:pt idx="11">
                  <c:v>20.3</c:v>
                </c:pt>
                <c:pt idx="12">
                  <c:v>20.5</c:v>
                </c:pt>
                <c:pt idx="13">
                  <c:v>21.6</c:v>
                </c:pt>
                <c:pt idx="14">
                  <c:v>21.3</c:v>
                </c:pt>
                <c:pt idx="15">
                  <c:v>21.8</c:v>
                </c:pt>
                <c:pt idx="16">
                  <c:v>21.1</c:v>
                </c:pt>
                <c:pt idx="17">
                  <c:v>19.899999999999999</c:v>
                </c:pt>
                <c:pt idx="18">
                  <c:v>20.3</c:v>
                </c:pt>
                <c:pt idx="19">
                  <c:v>20.9</c:v>
                </c:pt>
                <c:pt idx="20">
                  <c:v>20.6</c:v>
                </c:pt>
                <c:pt idx="21">
                  <c:v>19.600000000000001</c:v>
                </c:pt>
                <c:pt idx="22">
                  <c:v>20.6</c:v>
                </c:pt>
                <c:pt idx="23">
                  <c:v>23.2</c:v>
                </c:pt>
                <c:pt idx="24">
                  <c:v>24.5</c:v>
                </c:pt>
                <c:pt idx="25">
                  <c:v>23.7</c:v>
                </c:pt>
                <c:pt idx="26">
                  <c:v>22</c:v>
                </c:pt>
                <c:pt idx="27">
                  <c:v>23.2</c:v>
                </c:pt>
                <c:pt idx="28">
                  <c:v>23.7</c:v>
                </c:pt>
                <c:pt idx="29">
                  <c:v>22.2</c:v>
                </c:pt>
                <c:pt idx="30">
                  <c:v>19.600000000000001</c:v>
                </c:pt>
                <c:pt idx="31">
                  <c:v>21.2</c:v>
                </c:pt>
                <c:pt idx="32">
                  <c:v>20.6</c:v>
                </c:pt>
                <c:pt idx="33">
                  <c:v>22.2</c:v>
                </c:pt>
                <c:pt idx="34">
                  <c:v>23.4</c:v>
                </c:pt>
                <c:pt idx="35">
                  <c:v>21.4</c:v>
                </c:pt>
                <c:pt idx="36">
                  <c:v>21.3</c:v>
                </c:pt>
                <c:pt idx="37">
                  <c:v>20.399999999999999</c:v>
                </c:pt>
                <c:pt idx="38">
                  <c:v>20.3</c:v>
                </c:pt>
                <c:pt idx="39">
                  <c:v>20</c:v>
                </c:pt>
                <c:pt idx="40">
                  <c:v>19.7</c:v>
                </c:pt>
                <c:pt idx="41">
                  <c:v>21.5</c:v>
                </c:pt>
                <c:pt idx="42">
                  <c:v>21.4</c:v>
                </c:pt>
                <c:pt idx="43">
                  <c:v>21.2</c:v>
                </c:pt>
                <c:pt idx="44">
                  <c:v>21.8</c:v>
                </c:pt>
                <c:pt idx="45">
                  <c:v>17.3</c:v>
                </c:pt>
                <c:pt idx="46">
                  <c:v>22.5</c:v>
                </c:pt>
                <c:pt idx="47">
                  <c:v>22.9</c:v>
                </c:pt>
                <c:pt idx="48">
                  <c:v>22.9</c:v>
                </c:pt>
                <c:pt idx="49">
                  <c:v>21.3</c:v>
                </c:pt>
                <c:pt idx="50">
                  <c:v>20.3</c:v>
                </c:pt>
                <c:pt idx="51">
                  <c:v>19.600000000000001</c:v>
                </c:pt>
                <c:pt idx="52">
                  <c:v>17.5</c:v>
                </c:pt>
                <c:pt idx="53">
                  <c:v>18.399999999999999</c:v>
                </c:pt>
                <c:pt idx="54">
                  <c:v>23</c:v>
                </c:pt>
                <c:pt idx="55">
                  <c:v>23</c:v>
                </c:pt>
                <c:pt idx="56">
                  <c:v>22.7</c:v>
                </c:pt>
                <c:pt idx="57">
                  <c:v>23.5</c:v>
                </c:pt>
                <c:pt idx="58">
                  <c:v>22.2</c:v>
                </c:pt>
                <c:pt idx="59">
                  <c:v>18.600000000000001</c:v>
                </c:pt>
                <c:pt idx="60">
                  <c:v>19.7</c:v>
                </c:pt>
                <c:pt idx="61">
                  <c:v>18</c:v>
                </c:pt>
                <c:pt idx="62">
                  <c:v>18.7</c:v>
                </c:pt>
                <c:pt idx="63">
                  <c:v>17.600000000000001</c:v>
                </c:pt>
                <c:pt idx="64">
                  <c:v>20.100000000000001</c:v>
                </c:pt>
                <c:pt idx="65">
                  <c:v>21.2</c:v>
                </c:pt>
                <c:pt idx="66">
                  <c:v>23.2</c:v>
                </c:pt>
                <c:pt idx="67">
                  <c:v>22.7</c:v>
                </c:pt>
                <c:pt idx="68">
                  <c:v>21.7</c:v>
                </c:pt>
                <c:pt idx="69">
                  <c:v>21.5</c:v>
                </c:pt>
                <c:pt idx="70">
                  <c:v>18.899999999999999</c:v>
                </c:pt>
                <c:pt idx="71">
                  <c:v>19.899999999999999</c:v>
                </c:pt>
                <c:pt idx="72">
                  <c:v>20.399999999999999</c:v>
                </c:pt>
                <c:pt idx="73">
                  <c:v>19.399999999999999</c:v>
                </c:pt>
                <c:pt idx="74">
                  <c:v>19</c:v>
                </c:pt>
                <c:pt idx="75">
                  <c:v>19.600000000000001</c:v>
                </c:pt>
                <c:pt idx="76">
                  <c:v>20</c:v>
                </c:pt>
                <c:pt idx="77">
                  <c:v>19.2</c:v>
                </c:pt>
                <c:pt idx="78">
                  <c:v>19.899999999999999</c:v>
                </c:pt>
                <c:pt idx="79">
                  <c:v>18.100000000000001</c:v>
                </c:pt>
                <c:pt idx="80">
                  <c:v>17.5</c:v>
                </c:pt>
                <c:pt idx="81">
                  <c:v>18.8</c:v>
                </c:pt>
                <c:pt idx="82">
                  <c:v>17.899999999999999</c:v>
                </c:pt>
                <c:pt idx="83">
                  <c:v>17.5</c:v>
                </c:pt>
                <c:pt idx="84">
                  <c:v>18.7</c:v>
                </c:pt>
                <c:pt idx="85">
                  <c:v>18.3</c:v>
                </c:pt>
                <c:pt idx="86">
                  <c:v>16.600000000000001</c:v>
                </c:pt>
                <c:pt idx="87">
                  <c:v>16.899999999999999</c:v>
                </c:pt>
                <c:pt idx="88">
                  <c:v>16.3</c:v>
                </c:pt>
                <c:pt idx="89">
                  <c:v>17.600000000000001</c:v>
                </c:pt>
                <c:pt idx="90">
                  <c:v>19</c:v>
                </c:pt>
                <c:pt idx="91">
                  <c:v>19.100000000000001</c:v>
                </c:pt>
                <c:pt idx="92">
                  <c:v>18.8</c:v>
                </c:pt>
                <c:pt idx="93">
                  <c:v>18.100000000000001</c:v>
                </c:pt>
                <c:pt idx="94">
                  <c:v>17.899999999999999</c:v>
                </c:pt>
                <c:pt idx="95">
                  <c:v>17.5</c:v>
                </c:pt>
                <c:pt idx="96">
                  <c:v>19.399999999999999</c:v>
                </c:pt>
                <c:pt idx="97">
                  <c:v>18.600000000000001</c:v>
                </c:pt>
                <c:pt idx="98">
                  <c:v>18</c:v>
                </c:pt>
                <c:pt idx="99">
                  <c:v>18.7</c:v>
                </c:pt>
                <c:pt idx="100">
                  <c:v>16.5</c:v>
                </c:pt>
                <c:pt idx="101">
                  <c:v>15.6</c:v>
                </c:pt>
                <c:pt idx="102">
                  <c:v>15.6</c:v>
                </c:pt>
                <c:pt idx="103">
                  <c:v>13.5</c:v>
                </c:pt>
                <c:pt idx="104">
                  <c:v>12.2</c:v>
                </c:pt>
                <c:pt idx="105">
                  <c:v>11</c:v>
                </c:pt>
                <c:pt idx="106">
                  <c:v>11.1</c:v>
                </c:pt>
                <c:pt idx="107">
                  <c:v>14.3</c:v>
                </c:pt>
                <c:pt idx="108">
                  <c:v>16.8</c:v>
                </c:pt>
                <c:pt idx="109">
                  <c:v>15.4</c:v>
                </c:pt>
                <c:pt idx="110">
                  <c:v>16.2</c:v>
                </c:pt>
                <c:pt idx="111">
                  <c:v>16.600000000000001</c:v>
                </c:pt>
                <c:pt idx="112">
                  <c:v>16.399999999999999</c:v>
                </c:pt>
                <c:pt idx="113">
                  <c:v>16.8</c:v>
                </c:pt>
                <c:pt idx="114">
                  <c:v>15.4</c:v>
                </c:pt>
                <c:pt idx="115">
                  <c:v>12.8</c:v>
                </c:pt>
                <c:pt idx="116">
                  <c:v>15.2</c:v>
                </c:pt>
                <c:pt idx="117">
                  <c:v>13.2</c:v>
                </c:pt>
                <c:pt idx="118">
                  <c:v>12</c:v>
                </c:pt>
                <c:pt idx="119">
                  <c:v>13.1</c:v>
                </c:pt>
                <c:pt idx="120">
                  <c:v>12.2</c:v>
                </c:pt>
                <c:pt idx="121">
                  <c:v>9.6</c:v>
                </c:pt>
                <c:pt idx="122">
                  <c:v>9.1</c:v>
                </c:pt>
                <c:pt idx="123">
                  <c:v>9</c:v>
                </c:pt>
                <c:pt idx="124">
                  <c:v>9.1</c:v>
                </c:pt>
                <c:pt idx="125">
                  <c:v>9.6999999999999993</c:v>
                </c:pt>
                <c:pt idx="126">
                  <c:v>6.6</c:v>
                </c:pt>
                <c:pt idx="127">
                  <c:v>7.8</c:v>
                </c:pt>
                <c:pt idx="128">
                  <c:v>10.1</c:v>
                </c:pt>
                <c:pt idx="129">
                  <c:v>8.4</c:v>
                </c:pt>
                <c:pt idx="130">
                  <c:v>6.1</c:v>
                </c:pt>
                <c:pt idx="131">
                  <c:v>6.7</c:v>
                </c:pt>
                <c:pt idx="132">
                  <c:v>6.4</c:v>
                </c:pt>
                <c:pt idx="133">
                  <c:v>6.4</c:v>
                </c:pt>
                <c:pt idx="134">
                  <c:v>6.9</c:v>
                </c:pt>
                <c:pt idx="135">
                  <c:v>7.7</c:v>
                </c:pt>
                <c:pt idx="136">
                  <c:v>5.8</c:v>
                </c:pt>
                <c:pt idx="137">
                  <c:v>6</c:v>
                </c:pt>
                <c:pt idx="138">
                  <c:v>5.9</c:v>
                </c:pt>
                <c:pt idx="139">
                  <c:v>6.9</c:v>
                </c:pt>
                <c:pt idx="140">
                  <c:v>9.6</c:v>
                </c:pt>
                <c:pt idx="141">
                  <c:v>9.3000000000000007</c:v>
                </c:pt>
                <c:pt idx="142">
                  <c:v>8.6</c:v>
                </c:pt>
                <c:pt idx="143">
                  <c:v>7.8</c:v>
                </c:pt>
                <c:pt idx="144">
                  <c:v>6.2</c:v>
                </c:pt>
                <c:pt idx="145">
                  <c:v>7.7</c:v>
                </c:pt>
                <c:pt idx="146">
                  <c:v>10.9</c:v>
                </c:pt>
                <c:pt idx="147">
                  <c:v>12.7</c:v>
                </c:pt>
                <c:pt idx="148">
                  <c:v>14</c:v>
                </c:pt>
                <c:pt idx="149">
                  <c:v>13.4</c:v>
                </c:pt>
                <c:pt idx="150">
                  <c:v>12.1</c:v>
                </c:pt>
                <c:pt idx="151">
                  <c:v>12.7</c:v>
                </c:pt>
                <c:pt idx="152">
                  <c:v>10.8</c:v>
                </c:pt>
                <c:pt idx="153">
                  <c:v>11.2</c:v>
                </c:pt>
                <c:pt idx="154">
                  <c:v>10.1</c:v>
                </c:pt>
                <c:pt idx="155">
                  <c:v>11.6</c:v>
                </c:pt>
                <c:pt idx="156">
                  <c:v>6.9</c:v>
                </c:pt>
                <c:pt idx="157">
                  <c:v>5.4</c:v>
                </c:pt>
                <c:pt idx="158">
                  <c:v>7.4</c:v>
                </c:pt>
                <c:pt idx="159">
                  <c:v>11.2</c:v>
                </c:pt>
                <c:pt idx="160">
                  <c:v>14.2</c:v>
                </c:pt>
                <c:pt idx="161">
                  <c:v>10.6</c:v>
                </c:pt>
                <c:pt idx="162">
                  <c:v>12.4</c:v>
                </c:pt>
                <c:pt idx="163">
                  <c:v>14.4</c:v>
                </c:pt>
                <c:pt idx="164">
                  <c:v>10.1</c:v>
                </c:pt>
                <c:pt idx="165">
                  <c:v>7.6</c:v>
                </c:pt>
                <c:pt idx="166">
                  <c:v>8.6</c:v>
                </c:pt>
                <c:pt idx="167">
                  <c:v>12.6</c:v>
                </c:pt>
                <c:pt idx="168">
                  <c:v>13.8</c:v>
                </c:pt>
                <c:pt idx="169">
                  <c:v>15.1</c:v>
                </c:pt>
                <c:pt idx="170">
                  <c:v>13.5</c:v>
                </c:pt>
                <c:pt idx="171">
                  <c:v>10.9</c:v>
                </c:pt>
                <c:pt idx="172">
                  <c:v>13.9</c:v>
                </c:pt>
                <c:pt idx="173">
                  <c:v>13.9</c:v>
                </c:pt>
                <c:pt idx="174">
                  <c:v>13.7</c:v>
                </c:pt>
                <c:pt idx="175">
                  <c:v>13.7</c:v>
                </c:pt>
                <c:pt idx="176">
                  <c:v>14.5</c:v>
                </c:pt>
                <c:pt idx="177">
                  <c:v>11.6</c:v>
                </c:pt>
                <c:pt idx="178">
                  <c:v>10.4</c:v>
                </c:pt>
                <c:pt idx="179">
                  <c:v>11.1</c:v>
                </c:pt>
                <c:pt idx="180">
                  <c:v>9.6999999999999993</c:v>
                </c:pt>
                <c:pt idx="181">
                  <c:v>13.1</c:v>
                </c:pt>
                <c:pt idx="182">
                  <c:v>12.1</c:v>
                </c:pt>
                <c:pt idx="183">
                  <c:v>9.9</c:v>
                </c:pt>
                <c:pt idx="184">
                  <c:v>9</c:v>
                </c:pt>
                <c:pt idx="185">
                  <c:v>9.1999999999999993</c:v>
                </c:pt>
                <c:pt idx="186">
                  <c:v>8.6999999999999993</c:v>
                </c:pt>
                <c:pt idx="187">
                  <c:v>9.1999999999999993</c:v>
                </c:pt>
                <c:pt idx="188">
                  <c:v>11.1</c:v>
                </c:pt>
                <c:pt idx="189">
                  <c:v>11.1</c:v>
                </c:pt>
                <c:pt idx="190">
                  <c:v>8.6999999999999993</c:v>
                </c:pt>
                <c:pt idx="191">
                  <c:v>9.3000000000000007</c:v>
                </c:pt>
                <c:pt idx="192">
                  <c:v>12.6</c:v>
                </c:pt>
                <c:pt idx="193">
                  <c:v>12.7</c:v>
                </c:pt>
                <c:pt idx="194">
                  <c:v>11.2</c:v>
                </c:pt>
                <c:pt idx="195">
                  <c:v>11.2</c:v>
                </c:pt>
                <c:pt idx="196">
                  <c:v>9.4</c:v>
                </c:pt>
                <c:pt idx="197">
                  <c:v>9.1</c:v>
                </c:pt>
                <c:pt idx="198">
                  <c:v>12.6</c:v>
                </c:pt>
                <c:pt idx="199">
                  <c:v>10.7</c:v>
                </c:pt>
                <c:pt idx="200">
                  <c:v>9</c:v>
                </c:pt>
                <c:pt idx="201">
                  <c:v>9.5</c:v>
                </c:pt>
                <c:pt idx="202">
                  <c:v>10.9</c:v>
                </c:pt>
                <c:pt idx="203">
                  <c:v>12.7</c:v>
                </c:pt>
                <c:pt idx="204">
                  <c:v>12.8</c:v>
                </c:pt>
                <c:pt idx="205">
                  <c:v>10.9</c:v>
                </c:pt>
                <c:pt idx="206">
                  <c:v>11.8</c:v>
                </c:pt>
                <c:pt idx="207">
                  <c:v>10.7</c:v>
                </c:pt>
                <c:pt idx="208">
                  <c:v>9.1999999999999993</c:v>
                </c:pt>
                <c:pt idx="209">
                  <c:v>11.1</c:v>
                </c:pt>
                <c:pt idx="210">
                  <c:v>11.4</c:v>
                </c:pt>
                <c:pt idx="211">
                  <c:v>14.9</c:v>
                </c:pt>
                <c:pt idx="212">
                  <c:v>13.4</c:v>
                </c:pt>
                <c:pt idx="213">
                  <c:v>9.4</c:v>
                </c:pt>
                <c:pt idx="214">
                  <c:v>4.2</c:v>
                </c:pt>
                <c:pt idx="215">
                  <c:v>8.6</c:v>
                </c:pt>
                <c:pt idx="216">
                  <c:v>8.8000000000000007</c:v>
                </c:pt>
                <c:pt idx="217">
                  <c:v>11.7</c:v>
                </c:pt>
                <c:pt idx="218">
                  <c:v>12.1</c:v>
                </c:pt>
                <c:pt idx="219">
                  <c:v>9.9</c:v>
                </c:pt>
                <c:pt idx="220">
                  <c:v>11.5</c:v>
                </c:pt>
                <c:pt idx="221">
                  <c:v>11.8</c:v>
                </c:pt>
                <c:pt idx="222">
                  <c:v>10.7</c:v>
                </c:pt>
                <c:pt idx="223">
                  <c:v>12.5</c:v>
                </c:pt>
                <c:pt idx="224">
                  <c:v>11.8</c:v>
                </c:pt>
                <c:pt idx="225">
                  <c:v>11.9</c:v>
                </c:pt>
                <c:pt idx="226">
                  <c:v>11.7</c:v>
                </c:pt>
                <c:pt idx="227">
                  <c:v>12.9</c:v>
                </c:pt>
                <c:pt idx="228">
                  <c:v>12.7</c:v>
                </c:pt>
                <c:pt idx="229">
                  <c:v>11.4</c:v>
                </c:pt>
                <c:pt idx="230">
                  <c:v>11.4</c:v>
                </c:pt>
                <c:pt idx="231">
                  <c:v>12.7</c:v>
                </c:pt>
                <c:pt idx="232">
                  <c:v>13.4</c:v>
                </c:pt>
                <c:pt idx="233">
                  <c:v>14.5</c:v>
                </c:pt>
                <c:pt idx="234">
                  <c:v>17.100000000000001</c:v>
                </c:pt>
                <c:pt idx="235">
                  <c:v>17.100000000000001</c:v>
                </c:pt>
                <c:pt idx="236">
                  <c:v>15.9</c:v>
                </c:pt>
                <c:pt idx="237">
                  <c:v>13.8</c:v>
                </c:pt>
                <c:pt idx="238">
                  <c:v>14.2</c:v>
                </c:pt>
                <c:pt idx="239">
                  <c:v>13.1</c:v>
                </c:pt>
                <c:pt idx="240">
                  <c:v>12.9</c:v>
                </c:pt>
                <c:pt idx="241">
                  <c:v>13.7</c:v>
                </c:pt>
                <c:pt idx="242">
                  <c:v>12.8</c:v>
                </c:pt>
                <c:pt idx="243">
                  <c:v>12.4</c:v>
                </c:pt>
                <c:pt idx="244">
                  <c:v>13.2</c:v>
                </c:pt>
                <c:pt idx="245">
                  <c:v>13.7</c:v>
                </c:pt>
                <c:pt idx="246">
                  <c:v>13.2</c:v>
                </c:pt>
                <c:pt idx="247">
                  <c:v>12.7</c:v>
                </c:pt>
                <c:pt idx="248">
                  <c:v>11.2</c:v>
                </c:pt>
                <c:pt idx="249">
                  <c:v>10.5</c:v>
                </c:pt>
                <c:pt idx="250">
                  <c:v>10.7</c:v>
                </c:pt>
                <c:pt idx="251">
                  <c:v>12.1</c:v>
                </c:pt>
                <c:pt idx="252">
                  <c:v>10.7</c:v>
                </c:pt>
                <c:pt idx="253">
                  <c:v>9.6</c:v>
                </c:pt>
                <c:pt idx="254">
                  <c:v>10.4</c:v>
                </c:pt>
                <c:pt idx="255">
                  <c:v>10.199999999999999</c:v>
                </c:pt>
                <c:pt idx="256">
                  <c:v>11.2</c:v>
                </c:pt>
                <c:pt idx="257">
                  <c:v>13.2</c:v>
                </c:pt>
                <c:pt idx="258">
                  <c:v>12.5</c:v>
                </c:pt>
                <c:pt idx="259">
                  <c:v>12</c:v>
                </c:pt>
                <c:pt idx="260">
                  <c:v>11.5</c:v>
                </c:pt>
                <c:pt idx="261">
                  <c:v>12.3</c:v>
                </c:pt>
                <c:pt idx="262">
                  <c:v>16</c:v>
                </c:pt>
                <c:pt idx="263">
                  <c:v>16.399999999999999</c:v>
                </c:pt>
                <c:pt idx="264">
                  <c:v>14.8</c:v>
                </c:pt>
                <c:pt idx="265">
                  <c:v>17.100000000000001</c:v>
                </c:pt>
                <c:pt idx="266">
                  <c:v>19.2</c:v>
                </c:pt>
                <c:pt idx="267">
                  <c:v>16.7</c:v>
                </c:pt>
                <c:pt idx="268">
                  <c:v>14.1</c:v>
                </c:pt>
                <c:pt idx="269">
                  <c:v>15.7</c:v>
                </c:pt>
                <c:pt idx="270">
                  <c:v>17.100000000000001</c:v>
                </c:pt>
                <c:pt idx="271">
                  <c:v>16.7</c:v>
                </c:pt>
                <c:pt idx="272">
                  <c:v>18.600000000000001</c:v>
                </c:pt>
                <c:pt idx="273">
                  <c:v>16.100000000000001</c:v>
                </c:pt>
                <c:pt idx="274">
                  <c:v>17</c:v>
                </c:pt>
                <c:pt idx="275">
                  <c:v>14.7</c:v>
                </c:pt>
                <c:pt idx="276">
                  <c:v>15</c:v>
                </c:pt>
                <c:pt idx="277">
                  <c:v>13.8</c:v>
                </c:pt>
                <c:pt idx="278">
                  <c:v>14.7</c:v>
                </c:pt>
                <c:pt idx="279">
                  <c:v>15.1</c:v>
                </c:pt>
                <c:pt idx="280">
                  <c:v>15.1</c:v>
                </c:pt>
                <c:pt idx="281">
                  <c:v>12.4</c:v>
                </c:pt>
                <c:pt idx="282">
                  <c:v>13.3</c:v>
                </c:pt>
                <c:pt idx="283">
                  <c:v>14.8</c:v>
                </c:pt>
                <c:pt idx="284">
                  <c:v>13.9</c:v>
                </c:pt>
                <c:pt idx="285">
                  <c:v>14.2</c:v>
                </c:pt>
                <c:pt idx="286">
                  <c:v>16.899999999999999</c:v>
                </c:pt>
                <c:pt idx="287">
                  <c:v>17.3</c:v>
                </c:pt>
                <c:pt idx="288">
                  <c:v>16.899999999999999</c:v>
                </c:pt>
                <c:pt idx="289">
                  <c:v>18.7</c:v>
                </c:pt>
                <c:pt idx="290">
                  <c:v>19.5</c:v>
                </c:pt>
                <c:pt idx="291">
                  <c:v>19.5</c:v>
                </c:pt>
                <c:pt idx="292">
                  <c:v>17.399999999999999</c:v>
                </c:pt>
                <c:pt idx="293">
                  <c:v>17.100000000000001</c:v>
                </c:pt>
                <c:pt idx="294">
                  <c:v>17.399999999999999</c:v>
                </c:pt>
                <c:pt idx="295">
                  <c:v>16.8</c:v>
                </c:pt>
                <c:pt idx="296">
                  <c:v>17.399999999999999</c:v>
                </c:pt>
                <c:pt idx="297">
                  <c:v>17.100000000000001</c:v>
                </c:pt>
                <c:pt idx="298">
                  <c:v>17.3</c:v>
                </c:pt>
                <c:pt idx="299">
                  <c:v>15.6</c:v>
                </c:pt>
                <c:pt idx="300">
                  <c:v>16.8</c:v>
                </c:pt>
                <c:pt idx="301">
                  <c:v>20.8</c:v>
                </c:pt>
                <c:pt idx="302">
                  <c:v>22.1</c:v>
                </c:pt>
                <c:pt idx="303">
                  <c:v>19</c:v>
                </c:pt>
                <c:pt idx="304">
                  <c:v>19.600000000000001</c:v>
                </c:pt>
                <c:pt idx="305">
                  <c:v>18.3</c:v>
                </c:pt>
                <c:pt idx="306">
                  <c:v>14.5</c:v>
                </c:pt>
                <c:pt idx="307">
                  <c:v>13</c:v>
                </c:pt>
                <c:pt idx="308">
                  <c:v>11.5</c:v>
                </c:pt>
                <c:pt idx="309">
                  <c:v>14.3</c:v>
                </c:pt>
                <c:pt idx="310">
                  <c:v>14.7</c:v>
                </c:pt>
                <c:pt idx="311">
                  <c:v>13.6</c:v>
                </c:pt>
                <c:pt idx="312">
                  <c:v>14</c:v>
                </c:pt>
                <c:pt idx="313">
                  <c:v>14</c:v>
                </c:pt>
                <c:pt idx="314">
                  <c:v>14.9</c:v>
                </c:pt>
                <c:pt idx="315">
                  <c:v>16.2</c:v>
                </c:pt>
                <c:pt idx="316">
                  <c:v>15.8</c:v>
                </c:pt>
                <c:pt idx="317">
                  <c:v>16.8</c:v>
                </c:pt>
                <c:pt idx="318">
                  <c:v>17.7</c:v>
                </c:pt>
                <c:pt idx="319">
                  <c:v>17.7</c:v>
                </c:pt>
                <c:pt idx="320">
                  <c:v>17.100000000000001</c:v>
                </c:pt>
                <c:pt idx="321">
                  <c:v>16.7</c:v>
                </c:pt>
                <c:pt idx="322">
                  <c:v>16.5</c:v>
                </c:pt>
                <c:pt idx="323">
                  <c:v>16.899999999999999</c:v>
                </c:pt>
                <c:pt idx="324">
                  <c:v>16.7</c:v>
                </c:pt>
                <c:pt idx="325">
                  <c:v>17.600000000000001</c:v>
                </c:pt>
                <c:pt idx="326">
                  <c:v>18.2</c:v>
                </c:pt>
                <c:pt idx="327">
                  <c:v>18.2</c:v>
                </c:pt>
                <c:pt idx="328">
                  <c:v>17.8</c:v>
                </c:pt>
                <c:pt idx="329">
                  <c:v>19.3</c:v>
                </c:pt>
                <c:pt idx="330">
                  <c:v>22</c:v>
                </c:pt>
                <c:pt idx="331">
                  <c:v>21</c:v>
                </c:pt>
                <c:pt idx="332">
                  <c:v>23.2</c:v>
                </c:pt>
                <c:pt idx="333">
                  <c:v>24.8</c:v>
                </c:pt>
                <c:pt idx="334">
                  <c:v>25.2</c:v>
                </c:pt>
                <c:pt idx="335">
                  <c:v>22.6</c:v>
                </c:pt>
                <c:pt idx="336">
                  <c:v>19.2</c:v>
                </c:pt>
                <c:pt idx="337">
                  <c:v>19.399999999999999</c:v>
                </c:pt>
                <c:pt idx="338">
                  <c:v>19.5</c:v>
                </c:pt>
                <c:pt idx="339">
                  <c:v>19.7</c:v>
                </c:pt>
                <c:pt idx="340">
                  <c:v>17</c:v>
                </c:pt>
                <c:pt idx="341">
                  <c:v>17</c:v>
                </c:pt>
                <c:pt idx="342">
                  <c:v>18.5</c:v>
                </c:pt>
                <c:pt idx="343">
                  <c:v>18.5</c:v>
                </c:pt>
                <c:pt idx="344">
                  <c:v>19.2</c:v>
                </c:pt>
                <c:pt idx="345">
                  <c:v>19.3</c:v>
                </c:pt>
                <c:pt idx="346">
                  <c:v>18</c:v>
                </c:pt>
                <c:pt idx="347">
                  <c:v>18.3</c:v>
                </c:pt>
                <c:pt idx="348">
                  <c:v>18.2</c:v>
                </c:pt>
                <c:pt idx="349">
                  <c:v>18.600000000000001</c:v>
                </c:pt>
                <c:pt idx="350">
                  <c:v>18.5</c:v>
                </c:pt>
                <c:pt idx="351">
                  <c:v>20.7</c:v>
                </c:pt>
                <c:pt idx="352">
                  <c:v>18.8</c:v>
                </c:pt>
                <c:pt idx="353">
                  <c:v>19.2</c:v>
                </c:pt>
                <c:pt idx="354">
                  <c:v>19.100000000000001</c:v>
                </c:pt>
                <c:pt idx="355">
                  <c:v>18.100000000000001</c:v>
                </c:pt>
                <c:pt idx="356">
                  <c:v>18.5</c:v>
                </c:pt>
                <c:pt idx="357">
                  <c:v>20.8</c:v>
                </c:pt>
                <c:pt idx="358">
                  <c:v>21.9</c:v>
                </c:pt>
                <c:pt idx="359">
                  <c:v>21.9</c:v>
                </c:pt>
                <c:pt idx="360">
                  <c:v>20</c:v>
                </c:pt>
                <c:pt idx="361">
                  <c:v>19.2</c:v>
                </c:pt>
                <c:pt idx="362">
                  <c:v>20.399999999999999</c:v>
                </c:pt>
              </c:numCache>
            </c:numRef>
          </c:val>
        </c:ser>
        <c:marker val="1"/>
        <c:axId val="204346496"/>
        <c:axId val="204348032"/>
      </c:lineChart>
      <c:dateAx>
        <c:axId val="204346496"/>
        <c:scaling>
          <c:orientation val="minMax"/>
        </c:scaling>
        <c:axPos val="b"/>
        <c:numFmt formatCode="dd/mm/yyyy" sourceLinked="1"/>
        <c:tickLblPos val="nextTo"/>
        <c:crossAx val="204348032"/>
        <c:crosses val="autoZero"/>
        <c:auto val="1"/>
        <c:lblOffset val="100"/>
      </c:dateAx>
      <c:valAx>
        <c:axId val="204348032"/>
        <c:scaling>
          <c:orientation val="minMax"/>
        </c:scaling>
        <c:axPos val="l"/>
        <c:numFmt formatCode="0.00" sourceLinked="1"/>
        <c:tickLblPos val="nextTo"/>
        <c:crossAx val="204346496"/>
        <c:crosses val="autoZero"/>
        <c:crossBetween val="between"/>
      </c:valAx>
    </c:plotArea>
    <c:plotVisOnly val="1"/>
  </c:chart>
  <c:spPr>
    <a:noFill/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[0]!rngRainFall</c:f>
              <c:strCache>
                <c:ptCount val="1"/>
                <c:pt idx="0">
                  <c:v>Rain Fall (mm)</c:v>
                </c:pt>
              </c:strCache>
            </c:strRef>
          </c:tx>
          <c:spPr>
            <a:ln w="0"/>
          </c:spPr>
          <c:marker>
            <c:symbol val="none"/>
          </c:marker>
          <c:cat>
            <c:numRef>
              <c:f>[0]!rngTimeColumn</c:f>
              <c:numCache>
                <c:formatCode>dd/mm/yyyy</c:formatCode>
                <c:ptCount val="363"/>
                <c:pt idx="0">
                  <c:v>41472</c:v>
                </c:pt>
                <c:pt idx="1">
                  <c:v>41473</c:v>
                </c:pt>
                <c:pt idx="2">
                  <c:v>41474</c:v>
                </c:pt>
                <c:pt idx="3">
                  <c:v>41475</c:v>
                </c:pt>
                <c:pt idx="4">
                  <c:v>41476</c:v>
                </c:pt>
                <c:pt idx="5">
                  <c:v>41477</c:v>
                </c:pt>
                <c:pt idx="6">
                  <c:v>41478</c:v>
                </c:pt>
                <c:pt idx="7">
                  <c:v>41479</c:v>
                </c:pt>
                <c:pt idx="8">
                  <c:v>41480</c:v>
                </c:pt>
                <c:pt idx="9">
                  <c:v>41481</c:v>
                </c:pt>
                <c:pt idx="10">
                  <c:v>41482</c:v>
                </c:pt>
                <c:pt idx="11">
                  <c:v>41483</c:v>
                </c:pt>
                <c:pt idx="12">
                  <c:v>41484</c:v>
                </c:pt>
                <c:pt idx="13">
                  <c:v>41485</c:v>
                </c:pt>
                <c:pt idx="14">
                  <c:v>41486</c:v>
                </c:pt>
                <c:pt idx="15">
                  <c:v>41487</c:v>
                </c:pt>
                <c:pt idx="16">
                  <c:v>41488</c:v>
                </c:pt>
                <c:pt idx="17">
                  <c:v>41489</c:v>
                </c:pt>
                <c:pt idx="18">
                  <c:v>41490</c:v>
                </c:pt>
                <c:pt idx="19">
                  <c:v>41491</c:v>
                </c:pt>
                <c:pt idx="20">
                  <c:v>41492</c:v>
                </c:pt>
                <c:pt idx="21">
                  <c:v>41493</c:v>
                </c:pt>
                <c:pt idx="22">
                  <c:v>41494</c:v>
                </c:pt>
                <c:pt idx="23">
                  <c:v>41495</c:v>
                </c:pt>
                <c:pt idx="24">
                  <c:v>41496</c:v>
                </c:pt>
                <c:pt idx="25">
                  <c:v>41497</c:v>
                </c:pt>
                <c:pt idx="26">
                  <c:v>41498</c:v>
                </c:pt>
                <c:pt idx="27">
                  <c:v>41499</c:v>
                </c:pt>
                <c:pt idx="28">
                  <c:v>41500</c:v>
                </c:pt>
                <c:pt idx="29">
                  <c:v>41501</c:v>
                </c:pt>
                <c:pt idx="30">
                  <c:v>41502</c:v>
                </c:pt>
                <c:pt idx="31">
                  <c:v>41503</c:v>
                </c:pt>
                <c:pt idx="32">
                  <c:v>41504</c:v>
                </c:pt>
                <c:pt idx="33">
                  <c:v>41505</c:v>
                </c:pt>
                <c:pt idx="34">
                  <c:v>41506</c:v>
                </c:pt>
                <c:pt idx="35">
                  <c:v>41507</c:v>
                </c:pt>
                <c:pt idx="36">
                  <c:v>41508</c:v>
                </c:pt>
                <c:pt idx="37">
                  <c:v>41509</c:v>
                </c:pt>
                <c:pt idx="38">
                  <c:v>41510</c:v>
                </c:pt>
                <c:pt idx="39">
                  <c:v>41511</c:v>
                </c:pt>
                <c:pt idx="40">
                  <c:v>41512</c:v>
                </c:pt>
                <c:pt idx="41">
                  <c:v>41513</c:v>
                </c:pt>
                <c:pt idx="42">
                  <c:v>41514</c:v>
                </c:pt>
                <c:pt idx="43">
                  <c:v>41515</c:v>
                </c:pt>
                <c:pt idx="44">
                  <c:v>41516</c:v>
                </c:pt>
                <c:pt idx="45">
                  <c:v>41517</c:v>
                </c:pt>
                <c:pt idx="46">
                  <c:v>41518</c:v>
                </c:pt>
                <c:pt idx="47">
                  <c:v>41519</c:v>
                </c:pt>
                <c:pt idx="48">
                  <c:v>41520</c:v>
                </c:pt>
                <c:pt idx="49">
                  <c:v>41521</c:v>
                </c:pt>
                <c:pt idx="50">
                  <c:v>41522</c:v>
                </c:pt>
                <c:pt idx="51">
                  <c:v>41523</c:v>
                </c:pt>
                <c:pt idx="52">
                  <c:v>41524</c:v>
                </c:pt>
                <c:pt idx="53">
                  <c:v>41525</c:v>
                </c:pt>
                <c:pt idx="54">
                  <c:v>41526</c:v>
                </c:pt>
                <c:pt idx="55">
                  <c:v>41527</c:v>
                </c:pt>
                <c:pt idx="56">
                  <c:v>41528</c:v>
                </c:pt>
                <c:pt idx="57">
                  <c:v>41529</c:v>
                </c:pt>
                <c:pt idx="58">
                  <c:v>41530</c:v>
                </c:pt>
                <c:pt idx="59">
                  <c:v>41531</c:v>
                </c:pt>
                <c:pt idx="60">
                  <c:v>41532</c:v>
                </c:pt>
                <c:pt idx="61">
                  <c:v>41533</c:v>
                </c:pt>
                <c:pt idx="62">
                  <c:v>41534</c:v>
                </c:pt>
                <c:pt idx="63">
                  <c:v>41535</c:v>
                </c:pt>
                <c:pt idx="64">
                  <c:v>41536</c:v>
                </c:pt>
                <c:pt idx="65">
                  <c:v>41537</c:v>
                </c:pt>
                <c:pt idx="66">
                  <c:v>41538</c:v>
                </c:pt>
                <c:pt idx="67">
                  <c:v>41539</c:v>
                </c:pt>
                <c:pt idx="68">
                  <c:v>41540</c:v>
                </c:pt>
                <c:pt idx="69">
                  <c:v>41541</c:v>
                </c:pt>
                <c:pt idx="70">
                  <c:v>41542</c:v>
                </c:pt>
                <c:pt idx="71">
                  <c:v>41543</c:v>
                </c:pt>
                <c:pt idx="72">
                  <c:v>41544</c:v>
                </c:pt>
                <c:pt idx="73">
                  <c:v>41545</c:v>
                </c:pt>
                <c:pt idx="74">
                  <c:v>41546</c:v>
                </c:pt>
                <c:pt idx="75">
                  <c:v>41547</c:v>
                </c:pt>
                <c:pt idx="76">
                  <c:v>41548</c:v>
                </c:pt>
                <c:pt idx="77">
                  <c:v>41549</c:v>
                </c:pt>
                <c:pt idx="78">
                  <c:v>41550</c:v>
                </c:pt>
                <c:pt idx="79">
                  <c:v>41551</c:v>
                </c:pt>
                <c:pt idx="80">
                  <c:v>41552</c:v>
                </c:pt>
                <c:pt idx="81">
                  <c:v>41553</c:v>
                </c:pt>
                <c:pt idx="82">
                  <c:v>41554</c:v>
                </c:pt>
                <c:pt idx="83">
                  <c:v>41555</c:v>
                </c:pt>
                <c:pt idx="84">
                  <c:v>41556</c:v>
                </c:pt>
                <c:pt idx="85">
                  <c:v>41557</c:v>
                </c:pt>
                <c:pt idx="86">
                  <c:v>41558</c:v>
                </c:pt>
                <c:pt idx="87">
                  <c:v>41559</c:v>
                </c:pt>
                <c:pt idx="88">
                  <c:v>41560</c:v>
                </c:pt>
                <c:pt idx="89">
                  <c:v>41561</c:v>
                </c:pt>
                <c:pt idx="90">
                  <c:v>41562</c:v>
                </c:pt>
                <c:pt idx="91">
                  <c:v>41563</c:v>
                </c:pt>
                <c:pt idx="92">
                  <c:v>41564</c:v>
                </c:pt>
                <c:pt idx="93">
                  <c:v>41565</c:v>
                </c:pt>
                <c:pt idx="94">
                  <c:v>41566</c:v>
                </c:pt>
                <c:pt idx="95">
                  <c:v>41567</c:v>
                </c:pt>
                <c:pt idx="96">
                  <c:v>41568</c:v>
                </c:pt>
                <c:pt idx="97">
                  <c:v>41569</c:v>
                </c:pt>
                <c:pt idx="98">
                  <c:v>41570</c:v>
                </c:pt>
                <c:pt idx="99">
                  <c:v>41571</c:v>
                </c:pt>
                <c:pt idx="100">
                  <c:v>41572</c:v>
                </c:pt>
                <c:pt idx="101">
                  <c:v>41573</c:v>
                </c:pt>
                <c:pt idx="102">
                  <c:v>41574</c:v>
                </c:pt>
                <c:pt idx="103">
                  <c:v>41575</c:v>
                </c:pt>
                <c:pt idx="104">
                  <c:v>41576</c:v>
                </c:pt>
                <c:pt idx="105">
                  <c:v>41577</c:v>
                </c:pt>
                <c:pt idx="106">
                  <c:v>41578</c:v>
                </c:pt>
                <c:pt idx="107">
                  <c:v>41579</c:v>
                </c:pt>
                <c:pt idx="108">
                  <c:v>41580</c:v>
                </c:pt>
                <c:pt idx="109">
                  <c:v>41581</c:v>
                </c:pt>
                <c:pt idx="110">
                  <c:v>41582</c:v>
                </c:pt>
                <c:pt idx="111">
                  <c:v>41583</c:v>
                </c:pt>
                <c:pt idx="112">
                  <c:v>41584</c:v>
                </c:pt>
                <c:pt idx="113">
                  <c:v>41585</c:v>
                </c:pt>
                <c:pt idx="114">
                  <c:v>41586</c:v>
                </c:pt>
                <c:pt idx="115">
                  <c:v>41587</c:v>
                </c:pt>
                <c:pt idx="116">
                  <c:v>41588</c:v>
                </c:pt>
                <c:pt idx="117">
                  <c:v>41589</c:v>
                </c:pt>
                <c:pt idx="118">
                  <c:v>41590</c:v>
                </c:pt>
                <c:pt idx="119">
                  <c:v>41591</c:v>
                </c:pt>
                <c:pt idx="120">
                  <c:v>41592</c:v>
                </c:pt>
                <c:pt idx="121">
                  <c:v>41593</c:v>
                </c:pt>
                <c:pt idx="122">
                  <c:v>41594</c:v>
                </c:pt>
                <c:pt idx="123">
                  <c:v>41595</c:v>
                </c:pt>
                <c:pt idx="124">
                  <c:v>41596</c:v>
                </c:pt>
                <c:pt idx="125">
                  <c:v>41597</c:v>
                </c:pt>
                <c:pt idx="126">
                  <c:v>41598</c:v>
                </c:pt>
                <c:pt idx="127">
                  <c:v>41599</c:v>
                </c:pt>
                <c:pt idx="128">
                  <c:v>41600</c:v>
                </c:pt>
                <c:pt idx="129">
                  <c:v>41601</c:v>
                </c:pt>
                <c:pt idx="130">
                  <c:v>41602</c:v>
                </c:pt>
                <c:pt idx="131">
                  <c:v>41603</c:v>
                </c:pt>
                <c:pt idx="132">
                  <c:v>41604</c:v>
                </c:pt>
                <c:pt idx="133">
                  <c:v>41605</c:v>
                </c:pt>
                <c:pt idx="134">
                  <c:v>41606</c:v>
                </c:pt>
                <c:pt idx="135">
                  <c:v>41607</c:v>
                </c:pt>
                <c:pt idx="136">
                  <c:v>41608</c:v>
                </c:pt>
                <c:pt idx="137">
                  <c:v>41609</c:v>
                </c:pt>
                <c:pt idx="138">
                  <c:v>41610</c:v>
                </c:pt>
                <c:pt idx="139">
                  <c:v>41611</c:v>
                </c:pt>
                <c:pt idx="140">
                  <c:v>41612</c:v>
                </c:pt>
                <c:pt idx="141">
                  <c:v>41613</c:v>
                </c:pt>
                <c:pt idx="142">
                  <c:v>41614</c:v>
                </c:pt>
                <c:pt idx="143">
                  <c:v>41615</c:v>
                </c:pt>
                <c:pt idx="144">
                  <c:v>41616</c:v>
                </c:pt>
                <c:pt idx="145">
                  <c:v>41617</c:v>
                </c:pt>
                <c:pt idx="146">
                  <c:v>41618</c:v>
                </c:pt>
                <c:pt idx="147">
                  <c:v>41619</c:v>
                </c:pt>
                <c:pt idx="148">
                  <c:v>41620</c:v>
                </c:pt>
                <c:pt idx="149">
                  <c:v>41621</c:v>
                </c:pt>
                <c:pt idx="150">
                  <c:v>41622</c:v>
                </c:pt>
                <c:pt idx="151">
                  <c:v>41623</c:v>
                </c:pt>
                <c:pt idx="152">
                  <c:v>41624</c:v>
                </c:pt>
                <c:pt idx="153">
                  <c:v>41625</c:v>
                </c:pt>
                <c:pt idx="154">
                  <c:v>41626</c:v>
                </c:pt>
                <c:pt idx="155">
                  <c:v>41627</c:v>
                </c:pt>
                <c:pt idx="156">
                  <c:v>41628</c:v>
                </c:pt>
                <c:pt idx="157">
                  <c:v>41629</c:v>
                </c:pt>
                <c:pt idx="158">
                  <c:v>41630</c:v>
                </c:pt>
                <c:pt idx="159">
                  <c:v>41631</c:v>
                </c:pt>
                <c:pt idx="160">
                  <c:v>41632</c:v>
                </c:pt>
                <c:pt idx="161">
                  <c:v>41633</c:v>
                </c:pt>
                <c:pt idx="162">
                  <c:v>41634</c:v>
                </c:pt>
                <c:pt idx="163">
                  <c:v>41635</c:v>
                </c:pt>
                <c:pt idx="164">
                  <c:v>41636</c:v>
                </c:pt>
                <c:pt idx="165">
                  <c:v>41637</c:v>
                </c:pt>
                <c:pt idx="166">
                  <c:v>41638</c:v>
                </c:pt>
                <c:pt idx="167">
                  <c:v>41639</c:v>
                </c:pt>
                <c:pt idx="168">
                  <c:v>41640</c:v>
                </c:pt>
                <c:pt idx="169">
                  <c:v>41641</c:v>
                </c:pt>
                <c:pt idx="170">
                  <c:v>41642</c:v>
                </c:pt>
                <c:pt idx="171">
                  <c:v>41643</c:v>
                </c:pt>
                <c:pt idx="172">
                  <c:v>41644</c:v>
                </c:pt>
                <c:pt idx="173">
                  <c:v>41645</c:v>
                </c:pt>
                <c:pt idx="174">
                  <c:v>41646</c:v>
                </c:pt>
                <c:pt idx="175">
                  <c:v>41647</c:v>
                </c:pt>
                <c:pt idx="176">
                  <c:v>41648</c:v>
                </c:pt>
                <c:pt idx="177">
                  <c:v>41649</c:v>
                </c:pt>
                <c:pt idx="178">
                  <c:v>41650</c:v>
                </c:pt>
                <c:pt idx="179">
                  <c:v>41651</c:v>
                </c:pt>
                <c:pt idx="180">
                  <c:v>41652</c:v>
                </c:pt>
                <c:pt idx="181">
                  <c:v>41653</c:v>
                </c:pt>
                <c:pt idx="182">
                  <c:v>41654</c:v>
                </c:pt>
                <c:pt idx="183">
                  <c:v>41655</c:v>
                </c:pt>
                <c:pt idx="184">
                  <c:v>41656</c:v>
                </c:pt>
                <c:pt idx="185">
                  <c:v>41657</c:v>
                </c:pt>
                <c:pt idx="186">
                  <c:v>41658</c:v>
                </c:pt>
                <c:pt idx="187">
                  <c:v>41659</c:v>
                </c:pt>
                <c:pt idx="188">
                  <c:v>41660</c:v>
                </c:pt>
                <c:pt idx="189">
                  <c:v>41661</c:v>
                </c:pt>
                <c:pt idx="190">
                  <c:v>41662</c:v>
                </c:pt>
                <c:pt idx="191">
                  <c:v>41663</c:v>
                </c:pt>
                <c:pt idx="192">
                  <c:v>41664</c:v>
                </c:pt>
                <c:pt idx="193">
                  <c:v>41665</c:v>
                </c:pt>
                <c:pt idx="194">
                  <c:v>41666</c:v>
                </c:pt>
                <c:pt idx="195">
                  <c:v>41667</c:v>
                </c:pt>
                <c:pt idx="196">
                  <c:v>41668</c:v>
                </c:pt>
                <c:pt idx="197">
                  <c:v>41669</c:v>
                </c:pt>
                <c:pt idx="198">
                  <c:v>41670</c:v>
                </c:pt>
                <c:pt idx="199">
                  <c:v>41671</c:v>
                </c:pt>
                <c:pt idx="200">
                  <c:v>41672</c:v>
                </c:pt>
                <c:pt idx="201">
                  <c:v>41673</c:v>
                </c:pt>
                <c:pt idx="202">
                  <c:v>41674</c:v>
                </c:pt>
                <c:pt idx="203">
                  <c:v>41675</c:v>
                </c:pt>
                <c:pt idx="204">
                  <c:v>41676</c:v>
                </c:pt>
                <c:pt idx="205">
                  <c:v>41677</c:v>
                </c:pt>
                <c:pt idx="206">
                  <c:v>41678</c:v>
                </c:pt>
                <c:pt idx="207">
                  <c:v>41679</c:v>
                </c:pt>
                <c:pt idx="208">
                  <c:v>41680</c:v>
                </c:pt>
                <c:pt idx="209">
                  <c:v>41681</c:v>
                </c:pt>
                <c:pt idx="210">
                  <c:v>41682</c:v>
                </c:pt>
                <c:pt idx="211">
                  <c:v>41683</c:v>
                </c:pt>
                <c:pt idx="212">
                  <c:v>41684</c:v>
                </c:pt>
                <c:pt idx="213">
                  <c:v>41685</c:v>
                </c:pt>
                <c:pt idx="214">
                  <c:v>41686</c:v>
                </c:pt>
                <c:pt idx="215">
                  <c:v>41687</c:v>
                </c:pt>
                <c:pt idx="216">
                  <c:v>41688</c:v>
                </c:pt>
                <c:pt idx="217">
                  <c:v>41689</c:v>
                </c:pt>
                <c:pt idx="218">
                  <c:v>41690</c:v>
                </c:pt>
                <c:pt idx="219">
                  <c:v>41691</c:v>
                </c:pt>
                <c:pt idx="220">
                  <c:v>41692</c:v>
                </c:pt>
                <c:pt idx="221">
                  <c:v>41693</c:v>
                </c:pt>
                <c:pt idx="222">
                  <c:v>41694</c:v>
                </c:pt>
                <c:pt idx="223">
                  <c:v>41695</c:v>
                </c:pt>
                <c:pt idx="224">
                  <c:v>41696</c:v>
                </c:pt>
                <c:pt idx="225">
                  <c:v>41697</c:v>
                </c:pt>
                <c:pt idx="226">
                  <c:v>41698</c:v>
                </c:pt>
                <c:pt idx="227">
                  <c:v>41699</c:v>
                </c:pt>
                <c:pt idx="228">
                  <c:v>41700</c:v>
                </c:pt>
                <c:pt idx="229">
                  <c:v>41701</c:v>
                </c:pt>
                <c:pt idx="230">
                  <c:v>41702</c:v>
                </c:pt>
                <c:pt idx="231">
                  <c:v>41703</c:v>
                </c:pt>
                <c:pt idx="232">
                  <c:v>41704</c:v>
                </c:pt>
                <c:pt idx="233">
                  <c:v>41705</c:v>
                </c:pt>
                <c:pt idx="234">
                  <c:v>41706</c:v>
                </c:pt>
                <c:pt idx="235">
                  <c:v>41707</c:v>
                </c:pt>
                <c:pt idx="236">
                  <c:v>41708</c:v>
                </c:pt>
                <c:pt idx="237">
                  <c:v>41709</c:v>
                </c:pt>
                <c:pt idx="238">
                  <c:v>41710</c:v>
                </c:pt>
                <c:pt idx="239">
                  <c:v>41711</c:v>
                </c:pt>
                <c:pt idx="240">
                  <c:v>41712</c:v>
                </c:pt>
                <c:pt idx="241">
                  <c:v>41713</c:v>
                </c:pt>
                <c:pt idx="242">
                  <c:v>41714</c:v>
                </c:pt>
                <c:pt idx="243">
                  <c:v>41715</c:v>
                </c:pt>
                <c:pt idx="244">
                  <c:v>41716</c:v>
                </c:pt>
                <c:pt idx="245">
                  <c:v>41717</c:v>
                </c:pt>
                <c:pt idx="246">
                  <c:v>41718</c:v>
                </c:pt>
                <c:pt idx="247">
                  <c:v>41719</c:v>
                </c:pt>
                <c:pt idx="248">
                  <c:v>41720</c:v>
                </c:pt>
                <c:pt idx="249">
                  <c:v>41721</c:v>
                </c:pt>
                <c:pt idx="250">
                  <c:v>41722</c:v>
                </c:pt>
                <c:pt idx="251">
                  <c:v>41723</c:v>
                </c:pt>
                <c:pt idx="252">
                  <c:v>41724</c:v>
                </c:pt>
                <c:pt idx="253">
                  <c:v>41725</c:v>
                </c:pt>
                <c:pt idx="254">
                  <c:v>41726</c:v>
                </c:pt>
                <c:pt idx="255">
                  <c:v>41727</c:v>
                </c:pt>
                <c:pt idx="256">
                  <c:v>41728</c:v>
                </c:pt>
                <c:pt idx="257">
                  <c:v>41729</c:v>
                </c:pt>
                <c:pt idx="258">
                  <c:v>41730</c:v>
                </c:pt>
                <c:pt idx="259">
                  <c:v>41731</c:v>
                </c:pt>
                <c:pt idx="260">
                  <c:v>41732</c:v>
                </c:pt>
                <c:pt idx="261">
                  <c:v>41733</c:v>
                </c:pt>
                <c:pt idx="262">
                  <c:v>41734</c:v>
                </c:pt>
                <c:pt idx="263">
                  <c:v>41735</c:v>
                </c:pt>
                <c:pt idx="264">
                  <c:v>41736</c:v>
                </c:pt>
                <c:pt idx="265">
                  <c:v>41737</c:v>
                </c:pt>
                <c:pt idx="266">
                  <c:v>41738</c:v>
                </c:pt>
                <c:pt idx="267">
                  <c:v>41739</c:v>
                </c:pt>
                <c:pt idx="268">
                  <c:v>41740</c:v>
                </c:pt>
                <c:pt idx="269">
                  <c:v>41741</c:v>
                </c:pt>
                <c:pt idx="270">
                  <c:v>41742</c:v>
                </c:pt>
                <c:pt idx="271">
                  <c:v>41743</c:v>
                </c:pt>
                <c:pt idx="272">
                  <c:v>41744</c:v>
                </c:pt>
                <c:pt idx="273">
                  <c:v>41745</c:v>
                </c:pt>
                <c:pt idx="274">
                  <c:v>41746</c:v>
                </c:pt>
                <c:pt idx="275">
                  <c:v>41747</c:v>
                </c:pt>
                <c:pt idx="276">
                  <c:v>41748</c:v>
                </c:pt>
                <c:pt idx="277">
                  <c:v>41749</c:v>
                </c:pt>
                <c:pt idx="278">
                  <c:v>41750</c:v>
                </c:pt>
                <c:pt idx="279">
                  <c:v>41751</c:v>
                </c:pt>
                <c:pt idx="280">
                  <c:v>41752</c:v>
                </c:pt>
                <c:pt idx="281">
                  <c:v>41753</c:v>
                </c:pt>
                <c:pt idx="282">
                  <c:v>41754</c:v>
                </c:pt>
                <c:pt idx="283">
                  <c:v>41755</c:v>
                </c:pt>
                <c:pt idx="284">
                  <c:v>41756</c:v>
                </c:pt>
                <c:pt idx="285">
                  <c:v>41757</c:v>
                </c:pt>
                <c:pt idx="286">
                  <c:v>41758</c:v>
                </c:pt>
                <c:pt idx="287">
                  <c:v>41759</c:v>
                </c:pt>
                <c:pt idx="288">
                  <c:v>41760</c:v>
                </c:pt>
                <c:pt idx="289">
                  <c:v>41761</c:v>
                </c:pt>
                <c:pt idx="290">
                  <c:v>41762</c:v>
                </c:pt>
                <c:pt idx="291">
                  <c:v>41763</c:v>
                </c:pt>
                <c:pt idx="292">
                  <c:v>41764</c:v>
                </c:pt>
                <c:pt idx="293">
                  <c:v>41765</c:v>
                </c:pt>
                <c:pt idx="294">
                  <c:v>41766</c:v>
                </c:pt>
                <c:pt idx="295">
                  <c:v>41767</c:v>
                </c:pt>
                <c:pt idx="296">
                  <c:v>41768</c:v>
                </c:pt>
                <c:pt idx="297">
                  <c:v>41769</c:v>
                </c:pt>
                <c:pt idx="298">
                  <c:v>41770</c:v>
                </c:pt>
                <c:pt idx="299">
                  <c:v>41771</c:v>
                </c:pt>
                <c:pt idx="300">
                  <c:v>41772</c:v>
                </c:pt>
                <c:pt idx="301">
                  <c:v>41773</c:v>
                </c:pt>
                <c:pt idx="302">
                  <c:v>41774</c:v>
                </c:pt>
                <c:pt idx="303">
                  <c:v>41775</c:v>
                </c:pt>
                <c:pt idx="304">
                  <c:v>41776</c:v>
                </c:pt>
                <c:pt idx="305">
                  <c:v>41777</c:v>
                </c:pt>
                <c:pt idx="306">
                  <c:v>41778</c:v>
                </c:pt>
                <c:pt idx="307">
                  <c:v>41779</c:v>
                </c:pt>
                <c:pt idx="308">
                  <c:v>41780</c:v>
                </c:pt>
                <c:pt idx="309">
                  <c:v>41781</c:v>
                </c:pt>
                <c:pt idx="310">
                  <c:v>41782</c:v>
                </c:pt>
                <c:pt idx="311">
                  <c:v>41783</c:v>
                </c:pt>
                <c:pt idx="312">
                  <c:v>41784</c:v>
                </c:pt>
                <c:pt idx="313">
                  <c:v>41785</c:v>
                </c:pt>
                <c:pt idx="314">
                  <c:v>41786</c:v>
                </c:pt>
                <c:pt idx="315">
                  <c:v>41787</c:v>
                </c:pt>
                <c:pt idx="316">
                  <c:v>41788</c:v>
                </c:pt>
                <c:pt idx="317">
                  <c:v>41789</c:v>
                </c:pt>
                <c:pt idx="318">
                  <c:v>41790</c:v>
                </c:pt>
                <c:pt idx="319">
                  <c:v>41791</c:v>
                </c:pt>
                <c:pt idx="320">
                  <c:v>41792</c:v>
                </c:pt>
                <c:pt idx="321">
                  <c:v>41793</c:v>
                </c:pt>
                <c:pt idx="322">
                  <c:v>41794</c:v>
                </c:pt>
                <c:pt idx="323">
                  <c:v>41795</c:v>
                </c:pt>
                <c:pt idx="324">
                  <c:v>41796</c:v>
                </c:pt>
                <c:pt idx="325">
                  <c:v>41797</c:v>
                </c:pt>
                <c:pt idx="326">
                  <c:v>41798</c:v>
                </c:pt>
                <c:pt idx="327">
                  <c:v>41799</c:v>
                </c:pt>
                <c:pt idx="328">
                  <c:v>41800</c:v>
                </c:pt>
                <c:pt idx="329">
                  <c:v>41801</c:v>
                </c:pt>
                <c:pt idx="330">
                  <c:v>41802</c:v>
                </c:pt>
                <c:pt idx="331">
                  <c:v>41803</c:v>
                </c:pt>
                <c:pt idx="332">
                  <c:v>41804</c:v>
                </c:pt>
                <c:pt idx="333">
                  <c:v>41805</c:v>
                </c:pt>
                <c:pt idx="334">
                  <c:v>41806</c:v>
                </c:pt>
                <c:pt idx="335">
                  <c:v>41807</c:v>
                </c:pt>
                <c:pt idx="336">
                  <c:v>41808</c:v>
                </c:pt>
                <c:pt idx="337">
                  <c:v>41809</c:v>
                </c:pt>
                <c:pt idx="338">
                  <c:v>41810</c:v>
                </c:pt>
                <c:pt idx="339">
                  <c:v>41811</c:v>
                </c:pt>
                <c:pt idx="340">
                  <c:v>41812</c:v>
                </c:pt>
                <c:pt idx="341">
                  <c:v>41813</c:v>
                </c:pt>
                <c:pt idx="342">
                  <c:v>41814</c:v>
                </c:pt>
                <c:pt idx="343">
                  <c:v>41815</c:v>
                </c:pt>
                <c:pt idx="344">
                  <c:v>41816</c:v>
                </c:pt>
                <c:pt idx="345">
                  <c:v>41817</c:v>
                </c:pt>
                <c:pt idx="346">
                  <c:v>41818</c:v>
                </c:pt>
                <c:pt idx="347">
                  <c:v>41819</c:v>
                </c:pt>
                <c:pt idx="348">
                  <c:v>41820</c:v>
                </c:pt>
                <c:pt idx="349">
                  <c:v>41821</c:v>
                </c:pt>
                <c:pt idx="350">
                  <c:v>41822</c:v>
                </c:pt>
                <c:pt idx="351">
                  <c:v>41823</c:v>
                </c:pt>
                <c:pt idx="352">
                  <c:v>41824</c:v>
                </c:pt>
                <c:pt idx="353">
                  <c:v>41825</c:v>
                </c:pt>
                <c:pt idx="354">
                  <c:v>41826</c:v>
                </c:pt>
                <c:pt idx="355">
                  <c:v>41827</c:v>
                </c:pt>
                <c:pt idx="356">
                  <c:v>41828</c:v>
                </c:pt>
                <c:pt idx="357">
                  <c:v>41829</c:v>
                </c:pt>
                <c:pt idx="358">
                  <c:v>41830</c:v>
                </c:pt>
                <c:pt idx="359">
                  <c:v>41831</c:v>
                </c:pt>
                <c:pt idx="360">
                  <c:v>41832</c:v>
                </c:pt>
                <c:pt idx="361">
                  <c:v>41833</c:v>
                </c:pt>
                <c:pt idx="362">
                  <c:v>41834</c:v>
                </c:pt>
              </c:numCache>
            </c:numRef>
          </c:cat>
          <c:val>
            <c:numRef>
              <c:f>[0]!rngRainFallColumn</c:f>
              <c:numCache>
                <c:formatCode>0.00</c:formatCode>
                <c:ptCount val="3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4</c:v>
                </c:pt>
                <c:pt idx="71">
                  <c:v>0</c:v>
                </c:pt>
                <c:pt idx="72">
                  <c:v>3</c:v>
                </c:pt>
                <c:pt idx="73">
                  <c:v>15.4</c:v>
                </c:pt>
                <c:pt idx="74">
                  <c:v>4</c:v>
                </c:pt>
                <c:pt idx="75">
                  <c:v>0</c:v>
                </c:pt>
                <c:pt idx="76">
                  <c:v>12.3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19.7</c:v>
                </c:pt>
                <c:pt idx="94">
                  <c:v>1</c:v>
                </c:pt>
                <c:pt idx="95">
                  <c:v>3</c:v>
                </c:pt>
                <c:pt idx="96">
                  <c:v>1</c:v>
                </c:pt>
                <c:pt idx="97">
                  <c:v>12.4</c:v>
                </c:pt>
                <c:pt idx="98">
                  <c:v>0</c:v>
                </c:pt>
                <c:pt idx="99">
                  <c:v>35.9</c:v>
                </c:pt>
                <c:pt idx="100">
                  <c:v>36</c:v>
                </c:pt>
                <c:pt idx="101">
                  <c:v>0</c:v>
                </c:pt>
                <c:pt idx="102">
                  <c:v>0</c:v>
                </c:pt>
                <c:pt idx="103">
                  <c:v>8.3000000000000007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5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</c:v>
                </c:pt>
                <c:pt idx="154">
                  <c:v>2</c:v>
                </c:pt>
                <c:pt idx="155">
                  <c:v>35.9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7</c:v>
                </c:pt>
                <c:pt idx="160">
                  <c:v>48.2</c:v>
                </c:pt>
                <c:pt idx="161">
                  <c:v>24.9</c:v>
                </c:pt>
                <c:pt idx="162">
                  <c:v>1</c:v>
                </c:pt>
                <c:pt idx="163">
                  <c:v>13.3</c:v>
                </c:pt>
                <c:pt idx="164">
                  <c:v>0</c:v>
                </c:pt>
                <c:pt idx="165">
                  <c:v>1</c:v>
                </c:pt>
                <c:pt idx="166">
                  <c:v>2</c:v>
                </c:pt>
                <c:pt idx="167">
                  <c:v>16.399999999999999</c:v>
                </c:pt>
                <c:pt idx="168">
                  <c:v>33.200000000000003</c:v>
                </c:pt>
                <c:pt idx="169">
                  <c:v>29.9</c:v>
                </c:pt>
                <c:pt idx="170">
                  <c:v>17.600000000000001</c:v>
                </c:pt>
                <c:pt idx="171">
                  <c:v>17.899999999999999</c:v>
                </c:pt>
                <c:pt idx="172">
                  <c:v>0</c:v>
                </c:pt>
                <c:pt idx="173">
                  <c:v>32</c:v>
                </c:pt>
                <c:pt idx="174">
                  <c:v>7.3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4</c:v>
                </c:pt>
                <c:pt idx="180">
                  <c:v>1</c:v>
                </c:pt>
                <c:pt idx="181">
                  <c:v>4</c:v>
                </c:pt>
                <c:pt idx="182">
                  <c:v>9.3000000000000007</c:v>
                </c:pt>
                <c:pt idx="183">
                  <c:v>7.3</c:v>
                </c:pt>
                <c:pt idx="184">
                  <c:v>19.7</c:v>
                </c:pt>
                <c:pt idx="185">
                  <c:v>16.3</c:v>
                </c:pt>
                <c:pt idx="186">
                  <c:v>7</c:v>
                </c:pt>
                <c:pt idx="187">
                  <c:v>1</c:v>
                </c:pt>
                <c:pt idx="188">
                  <c:v>5.3</c:v>
                </c:pt>
                <c:pt idx="189">
                  <c:v>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4</c:v>
                </c:pt>
                <c:pt idx="194">
                  <c:v>2</c:v>
                </c:pt>
                <c:pt idx="195">
                  <c:v>3</c:v>
                </c:pt>
                <c:pt idx="196">
                  <c:v>11.6</c:v>
                </c:pt>
                <c:pt idx="197">
                  <c:v>3</c:v>
                </c:pt>
                <c:pt idx="198">
                  <c:v>4</c:v>
                </c:pt>
                <c:pt idx="199">
                  <c:v>10.6</c:v>
                </c:pt>
                <c:pt idx="200">
                  <c:v>3</c:v>
                </c:pt>
                <c:pt idx="201">
                  <c:v>15.3</c:v>
                </c:pt>
                <c:pt idx="202">
                  <c:v>25</c:v>
                </c:pt>
                <c:pt idx="203">
                  <c:v>0</c:v>
                </c:pt>
                <c:pt idx="204">
                  <c:v>18.7</c:v>
                </c:pt>
                <c:pt idx="205">
                  <c:v>2</c:v>
                </c:pt>
                <c:pt idx="206">
                  <c:v>9.3000000000000007</c:v>
                </c:pt>
                <c:pt idx="207">
                  <c:v>11.3</c:v>
                </c:pt>
                <c:pt idx="208">
                  <c:v>2</c:v>
                </c:pt>
                <c:pt idx="209">
                  <c:v>33.9</c:v>
                </c:pt>
                <c:pt idx="210">
                  <c:v>9</c:v>
                </c:pt>
                <c:pt idx="211">
                  <c:v>10.3</c:v>
                </c:pt>
                <c:pt idx="212">
                  <c:v>10</c:v>
                </c:pt>
                <c:pt idx="213">
                  <c:v>1</c:v>
                </c:pt>
                <c:pt idx="214">
                  <c:v>0</c:v>
                </c:pt>
                <c:pt idx="215">
                  <c:v>3</c:v>
                </c:pt>
                <c:pt idx="216">
                  <c:v>0</c:v>
                </c:pt>
                <c:pt idx="217">
                  <c:v>1</c:v>
                </c:pt>
                <c:pt idx="218">
                  <c:v>4</c:v>
                </c:pt>
                <c:pt idx="219">
                  <c:v>0</c:v>
                </c:pt>
                <c:pt idx="220">
                  <c:v>2</c:v>
                </c:pt>
                <c:pt idx="221">
                  <c:v>5</c:v>
                </c:pt>
                <c:pt idx="222">
                  <c:v>12.3</c:v>
                </c:pt>
                <c:pt idx="223">
                  <c:v>1</c:v>
                </c:pt>
                <c:pt idx="224">
                  <c:v>0</c:v>
                </c:pt>
                <c:pt idx="225">
                  <c:v>3</c:v>
                </c:pt>
                <c:pt idx="226">
                  <c:v>0</c:v>
                </c:pt>
                <c:pt idx="227">
                  <c:v>8.3000000000000007</c:v>
                </c:pt>
                <c:pt idx="228">
                  <c:v>7</c:v>
                </c:pt>
                <c:pt idx="229">
                  <c:v>1</c:v>
                </c:pt>
                <c:pt idx="230">
                  <c:v>4</c:v>
                </c:pt>
                <c:pt idx="231">
                  <c:v>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5</c:v>
                </c:pt>
                <c:pt idx="248">
                  <c:v>2</c:v>
                </c:pt>
                <c:pt idx="249">
                  <c:v>0</c:v>
                </c:pt>
                <c:pt idx="250">
                  <c:v>3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4</c:v>
                </c:pt>
                <c:pt idx="255">
                  <c:v>0</c:v>
                </c:pt>
                <c:pt idx="256">
                  <c:v>8.4</c:v>
                </c:pt>
                <c:pt idx="257">
                  <c:v>23.7</c:v>
                </c:pt>
                <c:pt idx="258">
                  <c:v>45.3</c:v>
                </c:pt>
                <c:pt idx="259">
                  <c:v>8.6</c:v>
                </c:pt>
                <c:pt idx="260">
                  <c:v>5</c:v>
                </c:pt>
                <c:pt idx="261">
                  <c:v>27.5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</c:v>
                </c:pt>
                <c:pt idx="281">
                  <c:v>0</c:v>
                </c:pt>
                <c:pt idx="282">
                  <c:v>0</c:v>
                </c:pt>
                <c:pt idx="283">
                  <c:v>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7.3</c:v>
                </c:pt>
                <c:pt idx="304">
                  <c:v>0</c:v>
                </c:pt>
                <c:pt idx="305">
                  <c:v>0</c:v>
                </c:pt>
                <c:pt idx="306">
                  <c:v>1</c:v>
                </c:pt>
                <c:pt idx="307">
                  <c:v>19.600000000000001</c:v>
                </c:pt>
                <c:pt idx="308">
                  <c:v>35.9</c:v>
                </c:pt>
                <c:pt idx="309">
                  <c:v>19.5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</c:v>
                </c:pt>
                <c:pt idx="316">
                  <c:v>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5.3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</c:v>
                </c:pt>
                <c:pt idx="340">
                  <c:v>4</c:v>
                </c:pt>
                <c:pt idx="341">
                  <c:v>8.6</c:v>
                </c:pt>
                <c:pt idx="342">
                  <c:v>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</c:numCache>
            </c:numRef>
          </c:val>
        </c:ser>
        <c:marker val="1"/>
        <c:axId val="204384128"/>
        <c:axId val="204385664"/>
      </c:lineChart>
      <c:dateAx>
        <c:axId val="204384128"/>
        <c:scaling>
          <c:orientation val="minMax"/>
        </c:scaling>
        <c:axPos val="b"/>
        <c:numFmt formatCode="dd/mm/yyyy" sourceLinked="1"/>
        <c:tickLblPos val="nextTo"/>
        <c:crossAx val="204385664"/>
        <c:crosses val="autoZero"/>
        <c:auto val="1"/>
        <c:lblOffset val="100"/>
      </c:dateAx>
      <c:valAx>
        <c:axId val="204385664"/>
        <c:scaling>
          <c:orientation val="minMax"/>
        </c:scaling>
        <c:axPos val="l"/>
        <c:numFmt formatCode="0.00" sourceLinked="1"/>
        <c:tickLblPos val="nextTo"/>
        <c:crossAx val="204384128"/>
        <c:crosses val="autoZero"/>
        <c:crossBetween val="between"/>
      </c:valAx>
    </c:plotArea>
    <c:plotVisOnly val="1"/>
  </c:chart>
  <c:spPr>
    <a:noFill/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[0]!rngHumidity</c:f>
              <c:strCache>
                <c:ptCount val="1"/>
                <c:pt idx="0">
                  <c:v>Humidity (%)</c:v>
                </c:pt>
              </c:strCache>
            </c:strRef>
          </c:tx>
          <c:spPr>
            <a:ln w="0"/>
          </c:spPr>
          <c:marker>
            <c:symbol val="none"/>
          </c:marker>
          <c:cat>
            <c:numRef>
              <c:f>[0]!rngTimeColumn</c:f>
              <c:numCache>
                <c:formatCode>dd/mm/yyyy</c:formatCode>
                <c:ptCount val="363"/>
                <c:pt idx="0">
                  <c:v>41472</c:v>
                </c:pt>
                <c:pt idx="1">
                  <c:v>41473</c:v>
                </c:pt>
                <c:pt idx="2">
                  <c:v>41474</c:v>
                </c:pt>
                <c:pt idx="3">
                  <c:v>41475</c:v>
                </c:pt>
                <c:pt idx="4">
                  <c:v>41476</c:v>
                </c:pt>
                <c:pt idx="5">
                  <c:v>41477</c:v>
                </c:pt>
                <c:pt idx="6">
                  <c:v>41478</c:v>
                </c:pt>
                <c:pt idx="7">
                  <c:v>41479</c:v>
                </c:pt>
                <c:pt idx="8">
                  <c:v>41480</c:v>
                </c:pt>
                <c:pt idx="9">
                  <c:v>41481</c:v>
                </c:pt>
                <c:pt idx="10">
                  <c:v>41482</c:v>
                </c:pt>
                <c:pt idx="11">
                  <c:v>41483</c:v>
                </c:pt>
                <c:pt idx="12">
                  <c:v>41484</c:v>
                </c:pt>
                <c:pt idx="13">
                  <c:v>41485</c:v>
                </c:pt>
                <c:pt idx="14">
                  <c:v>41486</c:v>
                </c:pt>
                <c:pt idx="15">
                  <c:v>41487</c:v>
                </c:pt>
                <c:pt idx="16">
                  <c:v>41488</c:v>
                </c:pt>
                <c:pt idx="17">
                  <c:v>41489</c:v>
                </c:pt>
                <c:pt idx="18">
                  <c:v>41490</c:v>
                </c:pt>
                <c:pt idx="19">
                  <c:v>41491</c:v>
                </c:pt>
                <c:pt idx="20">
                  <c:v>41492</c:v>
                </c:pt>
                <c:pt idx="21">
                  <c:v>41493</c:v>
                </c:pt>
                <c:pt idx="22">
                  <c:v>41494</c:v>
                </c:pt>
                <c:pt idx="23">
                  <c:v>41495</c:v>
                </c:pt>
                <c:pt idx="24">
                  <c:v>41496</c:v>
                </c:pt>
                <c:pt idx="25">
                  <c:v>41497</c:v>
                </c:pt>
                <c:pt idx="26">
                  <c:v>41498</c:v>
                </c:pt>
                <c:pt idx="27">
                  <c:v>41499</c:v>
                </c:pt>
                <c:pt idx="28">
                  <c:v>41500</c:v>
                </c:pt>
                <c:pt idx="29">
                  <c:v>41501</c:v>
                </c:pt>
                <c:pt idx="30">
                  <c:v>41502</c:v>
                </c:pt>
                <c:pt idx="31">
                  <c:v>41503</c:v>
                </c:pt>
                <c:pt idx="32">
                  <c:v>41504</c:v>
                </c:pt>
                <c:pt idx="33">
                  <c:v>41505</c:v>
                </c:pt>
                <c:pt idx="34">
                  <c:v>41506</c:v>
                </c:pt>
                <c:pt idx="35">
                  <c:v>41507</c:v>
                </c:pt>
                <c:pt idx="36">
                  <c:v>41508</c:v>
                </c:pt>
                <c:pt idx="37">
                  <c:v>41509</c:v>
                </c:pt>
                <c:pt idx="38">
                  <c:v>41510</c:v>
                </c:pt>
                <c:pt idx="39">
                  <c:v>41511</c:v>
                </c:pt>
                <c:pt idx="40">
                  <c:v>41512</c:v>
                </c:pt>
                <c:pt idx="41">
                  <c:v>41513</c:v>
                </c:pt>
                <c:pt idx="42">
                  <c:v>41514</c:v>
                </c:pt>
                <c:pt idx="43">
                  <c:v>41515</c:v>
                </c:pt>
                <c:pt idx="44">
                  <c:v>41516</c:v>
                </c:pt>
                <c:pt idx="45">
                  <c:v>41517</c:v>
                </c:pt>
                <c:pt idx="46">
                  <c:v>41518</c:v>
                </c:pt>
                <c:pt idx="47">
                  <c:v>41519</c:v>
                </c:pt>
                <c:pt idx="48">
                  <c:v>41520</c:v>
                </c:pt>
                <c:pt idx="49">
                  <c:v>41521</c:v>
                </c:pt>
                <c:pt idx="50">
                  <c:v>41522</c:v>
                </c:pt>
                <c:pt idx="51">
                  <c:v>41523</c:v>
                </c:pt>
                <c:pt idx="52">
                  <c:v>41524</c:v>
                </c:pt>
                <c:pt idx="53">
                  <c:v>41525</c:v>
                </c:pt>
                <c:pt idx="54">
                  <c:v>41526</c:v>
                </c:pt>
                <c:pt idx="55">
                  <c:v>41527</c:v>
                </c:pt>
                <c:pt idx="56">
                  <c:v>41528</c:v>
                </c:pt>
                <c:pt idx="57">
                  <c:v>41529</c:v>
                </c:pt>
                <c:pt idx="58">
                  <c:v>41530</c:v>
                </c:pt>
                <c:pt idx="59">
                  <c:v>41531</c:v>
                </c:pt>
                <c:pt idx="60">
                  <c:v>41532</c:v>
                </c:pt>
                <c:pt idx="61">
                  <c:v>41533</c:v>
                </c:pt>
                <c:pt idx="62">
                  <c:v>41534</c:v>
                </c:pt>
                <c:pt idx="63">
                  <c:v>41535</c:v>
                </c:pt>
                <c:pt idx="64">
                  <c:v>41536</c:v>
                </c:pt>
                <c:pt idx="65">
                  <c:v>41537</c:v>
                </c:pt>
                <c:pt idx="66">
                  <c:v>41538</c:v>
                </c:pt>
                <c:pt idx="67">
                  <c:v>41539</c:v>
                </c:pt>
                <c:pt idx="68">
                  <c:v>41540</c:v>
                </c:pt>
                <c:pt idx="69">
                  <c:v>41541</c:v>
                </c:pt>
                <c:pt idx="70">
                  <c:v>41542</c:v>
                </c:pt>
                <c:pt idx="71">
                  <c:v>41543</c:v>
                </c:pt>
                <c:pt idx="72">
                  <c:v>41544</c:v>
                </c:pt>
                <c:pt idx="73">
                  <c:v>41545</c:v>
                </c:pt>
                <c:pt idx="74">
                  <c:v>41546</c:v>
                </c:pt>
                <c:pt idx="75">
                  <c:v>41547</c:v>
                </c:pt>
                <c:pt idx="76">
                  <c:v>41548</c:v>
                </c:pt>
                <c:pt idx="77">
                  <c:v>41549</c:v>
                </c:pt>
                <c:pt idx="78">
                  <c:v>41550</c:v>
                </c:pt>
                <c:pt idx="79">
                  <c:v>41551</c:v>
                </c:pt>
                <c:pt idx="80">
                  <c:v>41552</c:v>
                </c:pt>
                <c:pt idx="81">
                  <c:v>41553</c:v>
                </c:pt>
                <c:pt idx="82">
                  <c:v>41554</c:v>
                </c:pt>
                <c:pt idx="83">
                  <c:v>41555</c:v>
                </c:pt>
                <c:pt idx="84">
                  <c:v>41556</c:v>
                </c:pt>
                <c:pt idx="85">
                  <c:v>41557</c:v>
                </c:pt>
                <c:pt idx="86">
                  <c:v>41558</c:v>
                </c:pt>
                <c:pt idx="87">
                  <c:v>41559</c:v>
                </c:pt>
                <c:pt idx="88">
                  <c:v>41560</c:v>
                </c:pt>
                <c:pt idx="89">
                  <c:v>41561</c:v>
                </c:pt>
                <c:pt idx="90">
                  <c:v>41562</c:v>
                </c:pt>
                <c:pt idx="91">
                  <c:v>41563</c:v>
                </c:pt>
                <c:pt idx="92">
                  <c:v>41564</c:v>
                </c:pt>
                <c:pt idx="93">
                  <c:v>41565</c:v>
                </c:pt>
                <c:pt idx="94">
                  <c:v>41566</c:v>
                </c:pt>
                <c:pt idx="95">
                  <c:v>41567</c:v>
                </c:pt>
                <c:pt idx="96">
                  <c:v>41568</c:v>
                </c:pt>
                <c:pt idx="97">
                  <c:v>41569</c:v>
                </c:pt>
                <c:pt idx="98">
                  <c:v>41570</c:v>
                </c:pt>
                <c:pt idx="99">
                  <c:v>41571</c:v>
                </c:pt>
                <c:pt idx="100">
                  <c:v>41572</c:v>
                </c:pt>
                <c:pt idx="101">
                  <c:v>41573</c:v>
                </c:pt>
                <c:pt idx="102">
                  <c:v>41574</c:v>
                </c:pt>
                <c:pt idx="103">
                  <c:v>41575</c:v>
                </c:pt>
                <c:pt idx="104">
                  <c:v>41576</c:v>
                </c:pt>
                <c:pt idx="105">
                  <c:v>41577</c:v>
                </c:pt>
                <c:pt idx="106">
                  <c:v>41578</c:v>
                </c:pt>
                <c:pt idx="107">
                  <c:v>41579</c:v>
                </c:pt>
                <c:pt idx="108">
                  <c:v>41580</c:v>
                </c:pt>
                <c:pt idx="109">
                  <c:v>41581</c:v>
                </c:pt>
                <c:pt idx="110">
                  <c:v>41582</c:v>
                </c:pt>
                <c:pt idx="111">
                  <c:v>41583</c:v>
                </c:pt>
                <c:pt idx="112">
                  <c:v>41584</c:v>
                </c:pt>
                <c:pt idx="113">
                  <c:v>41585</c:v>
                </c:pt>
                <c:pt idx="114">
                  <c:v>41586</c:v>
                </c:pt>
                <c:pt idx="115">
                  <c:v>41587</c:v>
                </c:pt>
                <c:pt idx="116">
                  <c:v>41588</c:v>
                </c:pt>
                <c:pt idx="117">
                  <c:v>41589</c:v>
                </c:pt>
                <c:pt idx="118">
                  <c:v>41590</c:v>
                </c:pt>
                <c:pt idx="119">
                  <c:v>41591</c:v>
                </c:pt>
                <c:pt idx="120">
                  <c:v>41592</c:v>
                </c:pt>
                <c:pt idx="121">
                  <c:v>41593</c:v>
                </c:pt>
                <c:pt idx="122">
                  <c:v>41594</c:v>
                </c:pt>
                <c:pt idx="123">
                  <c:v>41595</c:v>
                </c:pt>
                <c:pt idx="124">
                  <c:v>41596</c:v>
                </c:pt>
                <c:pt idx="125">
                  <c:v>41597</c:v>
                </c:pt>
                <c:pt idx="126">
                  <c:v>41598</c:v>
                </c:pt>
                <c:pt idx="127">
                  <c:v>41599</c:v>
                </c:pt>
                <c:pt idx="128">
                  <c:v>41600</c:v>
                </c:pt>
                <c:pt idx="129">
                  <c:v>41601</c:v>
                </c:pt>
                <c:pt idx="130">
                  <c:v>41602</c:v>
                </c:pt>
                <c:pt idx="131">
                  <c:v>41603</c:v>
                </c:pt>
                <c:pt idx="132">
                  <c:v>41604</c:v>
                </c:pt>
                <c:pt idx="133">
                  <c:v>41605</c:v>
                </c:pt>
                <c:pt idx="134">
                  <c:v>41606</c:v>
                </c:pt>
                <c:pt idx="135">
                  <c:v>41607</c:v>
                </c:pt>
                <c:pt idx="136">
                  <c:v>41608</c:v>
                </c:pt>
                <c:pt idx="137">
                  <c:v>41609</c:v>
                </c:pt>
                <c:pt idx="138">
                  <c:v>41610</c:v>
                </c:pt>
                <c:pt idx="139">
                  <c:v>41611</c:v>
                </c:pt>
                <c:pt idx="140">
                  <c:v>41612</c:v>
                </c:pt>
                <c:pt idx="141">
                  <c:v>41613</c:v>
                </c:pt>
                <c:pt idx="142">
                  <c:v>41614</c:v>
                </c:pt>
                <c:pt idx="143">
                  <c:v>41615</c:v>
                </c:pt>
                <c:pt idx="144">
                  <c:v>41616</c:v>
                </c:pt>
                <c:pt idx="145">
                  <c:v>41617</c:v>
                </c:pt>
                <c:pt idx="146">
                  <c:v>41618</c:v>
                </c:pt>
                <c:pt idx="147">
                  <c:v>41619</c:v>
                </c:pt>
                <c:pt idx="148">
                  <c:v>41620</c:v>
                </c:pt>
                <c:pt idx="149">
                  <c:v>41621</c:v>
                </c:pt>
                <c:pt idx="150">
                  <c:v>41622</c:v>
                </c:pt>
                <c:pt idx="151">
                  <c:v>41623</c:v>
                </c:pt>
                <c:pt idx="152">
                  <c:v>41624</c:v>
                </c:pt>
                <c:pt idx="153">
                  <c:v>41625</c:v>
                </c:pt>
                <c:pt idx="154">
                  <c:v>41626</c:v>
                </c:pt>
                <c:pt idx="155">
                  <c:v>41627</c:v>
                </c:pt>
                <c:pt idx="156">
                  <c:v>41628</c:v>
                </c:pt>
                <c:pt idx="157">
                  <c:v>41629</c:v>
                </c:pt>
                <c:pt idx="158">
                  <c:v>41630</c:v>
                </c:pt>
                <c:pt idx="159">
                  <c:v>41631</c:v>
                </c:pt>
                <c:pt idx="160">
                  <c:v>41632</c:v>
                </c:pt>
                <c:pt idx="161">
                  <c:v>41633</c:v>
                </c:pt>
                <c:pt idx="162">
                  <c:v>41634</c:v>
                </c:pt>
                <c:pt idx="163">
                  <c:v>41635</c:v>
                </c:pt>
                <c:pt idx="164">
                  <c:v>41636</c:v>
                </c:pt>
                <c:pt idx="165">
                  <c:v>41637</c:v>
                </c:pt>
                <c:pt idx="166">
                  <c:v>41638</c:v>
                </c:pt>
                <c:pt idx="167">
                  <c:v>41639</c:v>
                </c:pt>
                <c:pt idx="168">
                  <c:v>41640</c:v>
                </c:pt>
                <c:pt idx="169">
                  <c:v>41641</c:v>
                </c:pt>
                <c:pt idx="170">
                  <c:v>41642</c:v>
                </c:pt>
                <c:pt idx="171">
                  <c:v>41643</c:v>
                </c:pt>
                <c:pt idx="172">
                  <c:v>41644</c:v>
                </c:pt>
                <c:pt idx="173">
                  <c:v>41645</c:v>
                </c:pt>
                <c:pt idx="174">
                  <c:v>41646</c:v>
                </c:pt>
                <c:pt idx="175">
                  <c:v>41647</c:v>
                </c:pt>
                <c:pt idx="176">
                  <c:v>41648</c:v>
                </c:pt>
                <c:pt idx="177">
                  <c:v>41649</c:v>
                </c:pt>
                <c:pt idx="178">
                  <c:v>41650</c:v>
                </c:pt>
                <c:pt idx="179">
                  <c:v>41651</c:v>
                </c:pt>
                <c:pt idx="180">
                  <c:v>41652</c:v>
                </c:pt>
                <c:pt idx="181">
                  <c:v>41653</c:v>
                </c:pt>
                <c:pt idx="182">
                  <c:v>41654</c:v>
                </c:pt>
                <c:pt idx="183">
                  <c:v>41655</c:v>
                </c:pt>
                <c:pt idx="184">
                  <c:v>41656</c:v>
                </c:pt>
                <c:pt idx="185">
                  <c:v>41657</c:v>
                </c:pt>
                <c:pt idx="186">
                  <c:v>41658</c:v>
                </c:pt>
                <c:pt idx="187">
                  <c:v>41659</c:v>
                </c:pt>
                <c:pt idx="188">
                  <c:v>41660</c:v>
                </c:pt>
                <c:pt idx="189">
                  <c:v>41661</c:v>
                </c:pt>
                <c:pt idx="190">
                  <c:v>41662</c:v>
                </c:pt>
                <c:pt idx="191">
                  <c:v>41663</c:v>
                </c:pt>
                <c:pt idx="192">
                  <c:v>41664</c:v>
                </c:pt>
                <c:pt idx="193">
                  <c:v>41665</c:v>
                </c:pt>
                <c:pt idx="194">
                  <c:v>41666</c:v>
                </c:pt>
                <c:pt idx="195">
                  <c:v>41667</c:v>
                </c:pt>
                <c:pt idx="196">
                  <c:v>41668</c:v>
                </c:pt>
                <c:pt idx="197">
                  <c:v>41669</c:v>
                </c:pt>
                <c:pt idx="198">
                  <c:v>41670</c:v>
                </c:pt>
                <c:pt idx="199">
                  <c:v>41671</c:v>
                </c:pt>
                <c:pt idx="200">
                  <c:v>41672</c:v>
                </c:pt>
                <c:pt idx="201">
                  <c:v>41673</c:v>
                </c:pt>
                <c:pt idx="202">
                  <c:v>41674</c:v>
                </c:pt>
                <c:pt idx="203">
                  <c:v>41675</c:v>
                </c:pt>
                <c:pt idx="204">
                  <c:v>41676</c:v>
                </c:pt>
                <c:pt idx="205">
                  <c:v>41677</c:v>
                </c:pt>
                <c:pt idx="206">
                  <c:v>41678</c:v>
                </c:pt>
                <c:pt idx="207">
                  <c:v>41679</c:v>
                </c:pt>
                <c:pt idx="208">
                  <c:v>41680</c:v>
                </c:pt>
                <c:pt idx="209">
                  <c:v>41681</c:v>
                </c:pt>
                <c:pt idx="210">
                  <c:v>41682</c:v>
                </c:pt>
                <c:pt idx="211">
                  <c:v>41683</c:v>
                </c:pt>
                <c:pt idx="212">
                  <c:v>41684</c:v>
                </c:pt>
                <c:pt idx="213">
                  <c:v>41685</c:v>
                </c:pt>
                <c:pt idx="214">
                  <c:v>41686</c:v>
                </c:pt>
                <c:pt idx="215">
                  <c:v>41687</c:v>
                </c:pt>
                <c:pt idx="216">
                  <c:v>41688</c:v>
                </c:pt>
                <c:pt idx="217">
                  <c:v>41689</c:v>
                </c:pt>
                <c:pt idx="218">
                  <c:v>41690</c:v>
                </c:pt>
                <c:pt idx="219">
                  <c:v>41691</c:v>
                </c:pt>
                <c:pt idx="220">
                  <c:v>41692</c:v>
                </c:pt>
                <c:pt idx="221">
                  <c:v>41693</c:v>
                </c:pt>
                <c:pt idx="222">
                  <c:v>41694</c:v>
                </c:pt>
                <c:pt idx="223">
                  <c:v>41695</c:v>
                </c:pt>
                <c:pt idx="224">
                  <c:v>41696</c:v>
                </c:pt>
                <c:pt idx="225">
                  <c:v>41697</c:v>
                </c:pt>
                <c:pt idx="226">
                  <c:v>41698</c:v>
                </c:pt>
                <c:pt idx="227">
                  <c:v>41699</c:v>
                </c:pt>
                <c:pt idx="228">
                  <c:v>41700</c:v>
                </c:pt>
                <c:pt idx="229">
                  <c:v>41701</c:v>
                </c:pt>
                <c:pt idx="230">
                  <c:v>41702</c:v>
                </c:pt>
                <c:pt idx="231">
                  <c:v>41703</c:v>
                </c:pt>
                <c:pt idx="232">
                  <c:v>41704</c:v>
                </c:pt>
                <c:pt idx="233">
                  <c:v>41705</c:v>
                </c:pt>
                <c:pt idx="234">
                  <c:v>41706</c:v>
                </c:pt>
                <c:pt idx="235">
                  <c:v>41707</c:v>
                </c:pt>
                <c:pt idx="236">
                  <c:v>41708</c:v>
                </c:pt>
                <c:pt idx="237">
                  <c:v>41709</c:v>
                </c:pt>
                <c:pt idx="238">
                  <c:v>41710</c:v>
                </c:pt>
                <c:pt idx="239">
                  <c:v>41711</c:v>
                </c:pt>
                <c:pt idx="240">
                  <c:v>41712</c:v>
                </c:pt>
                <c:pt idx="241">
                  <c:v>41713</c:v>
                </c:pt>
                <c:pt idx="242">
                  <c:v>41714</c:v>
                </c:pt>
                <c:pt idx="243">
                  <c:v>41715</c:v>
                </c:pt>
                <c:pt idx="244">
                  <c:v>41716</c:v>
                </c:pt>
                <c:pt idx="245">
                  <c:v>41717</c:v>
                </c:pt>
                <c:pt idx="246">
                  <c:v>41718</c:v>
                </c:pt>
                <c:pt idx="247">
                  <c:v>41719</c:v>
                </c:pt>
                <c:pt idx="248">
                  <c:v>41720</c:v>
                </c:pt>
                <c:pt idx="249">
                  <c:v>41721</c:v>
                </c:pt>
                <c:pt idx="250">
                  <c:v>41722</c:v>
                </c:pt>
                <c:pt idx="251">
                  <c:v>41723</c:v>
                </c:pt>
                <c:pt idx="252">
                  <c:v>41724</c:v>
                </c:pt>
                <c:pt idx="253">
                  <c:v>41725</c:v>
                </c:pt>
                <c:pt idx="254">
                  <c:v>41726</c:v>
                </c:pt>
                <c:pt idx="255">
                  <c:v>41727</c:v>
                </c:pt>
                <c:pt idx="256">
                  <c:v>41728</c:v>
                </c:pt>
                <c:pt idx="257">
                  <c:v>41729</c:v>
                </c:pt>
                <c:pt idx="258">
                  <c:v>41730</c:v>
                </c:pt>
                <c:pt idx="259">
                  <c:v>41731</c:v>
                </c:pt>
                <c:pt idx="260">
                  <c:v>41732</c:v>
                </c:pt>
                <c:pt idx="261">
                  <c:v>41733</c:v>
                </c:pt>
                <c:pt idx="262">
                  <c:v>41734</c:v>
                </c:pt>
                <c:pt idx="263">
                  <c:v>41735</c:v>
                </c:pt>
                <c:pt idx="264">
                  <c:v>41736</c:v>
                </c:pt>
                <c:pt idx="265">
                  <c:v>41737</c:v>
                </c:pt>
                <c:pt idx="266">
                  <c:v>41738</c:v>
                </c:pt>
                <c:pt idx="267">
                  <c:v>41739</c:v>
                </c:pt>
                <c:pt idx="268">
                  <c:v>41740</c:v>
                </c:pt>
                <c:pt idx="269">
                  <c:v>41741</c:v>
                </c:pt>
                <c:pt idx="270">
                  <c:v>41742</c:v>
                </c:pt>
                <c:pt idx="271">
                  <c:v>41743</c:v>
                </c:pt>
                <c:pt idx="272">
                  <c:v>41744</c:v>
                </c:pt>
                <c:pt idx="273">
                  <c:v>41745</c:v>
                </c:pt>
                <c:pt idx="274">
                  <c:v>41746</c:v>
                </c:pt>
                <c:pt idx="275">
                  <c:v>41747</c:v>
                </c:pt>
                <c:pt idx="276">
                  <c:v>41748</c:v>
                </c:pt>
                <c:pt idx="277">
                  <c:v>41749</c:v>
                </c:pt>
                <c:pt idx="278">
                  <c:v>41750</c:v>
                </c:pt>
                <c:pt idx="279">
                  <c:v>41751</c:v>
                </c:pt>
                <c:pt idx="280">
                  <c:v>41752</c:v>
                </c:pt>
                <c:pt idx="281">
                  <c:v>41753</c:v>
                </c:pt>
                <c:pt idx="282">
                  <c:v>41754</c:v>
                </c:pt>
                <c:pt idx="283">
                  <c:v>41755</c:v>
                </c:pt>
                <c:pt idx="284">
                  <c:v>41756</c:v>
                </c:pt>
                <c:pt idx="285">
                  <c:v>41757</c:v>
                </c:pt>
                <c:pt idx="286">
                  <c:v>41758</c:v>
                </c:pt>
                <c:pt idx="287">
                  <c:v>41759</c:v>
                </c:pt>
                <c:pt idx="288">
                  <c:v>41760</c:v>
                </c:pt>
                <c:pt idx="289">
                  <c:v>41761</c:v>
                </c:pt>
                <c:pt idx="290">
                  <c:v>41762</c:v>
                </c:pt>
                <c:pt idx="291">
                  <c:v>41763</c:v>
                </c:pt>
                <c:pt idx="292">
                  <c:v>41764</c:v>
                </c:pt>
                <c:pt idx="293">
                  <c:v>41765</c:v>
                </c:pt>
                <c:pt idx="294">
                  <c:v>41766</c:v>
                </c:pt>
                <c:pt idx="295">
                  <c:v>41767</c:v>
                </c:pt>
                <c:pt idx="296">
                  <c:v>41768</c:v>
                </c:pt>
                <c:pt idx="297">
                  <c:v>41769</c:v>
                </c:pt>
                <c:pt idx="298">
                  <c:v>41770</c:v>
                </c:pt>
                <c:pt idx="299">
                  <c:v>41771</c:v>
                </c:pt>
                <c:pt idx="300">
                  <c:v>41772</c:v>
                </c:pt>
                <c:pt idx="301">
                  <c:v>41773</c:v>
                </c:pt>
                <c:pt idx="302">
                  <c:v>41774</c:v>
                </c:pt>
                <c:pt idx="303">
                  <c:v>41775</c:v>
                </c:pt>
                <c:pt idx="304">
                  <c:v>41776</c:v>
                </c:pt>
                <c:pt idx="305">
                  <c:v>41777</c:v>
                </c:pt>
                <c:pt idx="306">
                  <c:v>41778</c:v>
                </c:pt>
                <c:pt idx="307">
                  <c:v>41779</c:v>
                </c:pt>
                <c:pt idx="308">
                  <c:v>41780</c:v>
                </c:pt>
                <c:pt idx="309">
                  <c:v>41781</c:v>
                </c:pt>
                <c:pt idx="310">
                  <c:v>41782</c:v>
                </c:pt>
                <c:pt idx="311">
                  <c:v>41783</c:v>
                </c:pt>
                <c:pt idx="312">
                  <c:v>41784</c:v>
                </c:pt>
                <c:pt idx="313">
                  <c:v>41785</c:v>
                </c:pt>
                <c:pt idx="314">
                  <c:v>41786</c:v>
                </c:pt>
                <c:pt idx="315">
                  <c:v>41787</c:v>
                </c:pt>
                <c:pt idx="316">
                  <c:v>41788</c:v>
                </c:pt>
                <c:pt idx="317">
                  <c:v>41789</c:v>
                </c:pt>
                <c:pt idx="318">
                  <c:v>41790</c:v>
                </c:pt>
                <c:pt idx="319">
                  <c:v>41791</c:v>
                </c:pt>
                <c:pt idx="320">
                  <c:v>41792</c:v>
                </c:pt>
                <c:pt idx="321">
                  <c:v>41793</c:v>
                </c:pt>
                <c:pt idx="322">
                  <c:v>41794</c:v>
                </c:pt>
                <c:pt idx="323">
                  <c:v>41795</c:v>
                </c:pt>
                <c:pt idx="324">
                  <c:v>41796</c:v>
                </c:pt>
                <c:pt idx="325">
                  <c:v>41797</c:v>
                </c:pt>
                <c:pt idx="326">
                  <c:v>41798</c:v>
                </c:pt>
                <c:pt idx="327">
                  <c:v>41799</c:v>
                </c:pt>
                <c:pt idx="328">
                  <c:v>41800</c:v>
                </c:pt>
                <c:pt idx="329">
                  <c:v>41801</c:v>
                </c:pt>
                <c:pt idx="330">
                  <c:v>41802</c:v>
                </c:pt>
                <c:pt idx="331">
                  <c:v>41803</c:v>
                </c:pt>
                <c:pt idx="332">
                  <c:v>41804</c:v>
                </c:pt>
                <c:pt idx="333">
                  <c:v>41805</c:v>
                </c:pt>
                <c:pt idx="334">
                  <c:v>41806</c:v>
                </c:pt>
                <c:pt idx="335">
                  <c:v>41807</c:v>
                </c:pt>
                <c:pt idx="336">
                  <c:v>41808</c:v>
                </c:pt>
                <c:pt idx="337">
                  <c:v>41809</c:v>
                </c:pt>
                <c:pt idx="338">
                  <c:v>41810</c:v>
                </c:pt>
                <c:pt idx="339">
                  <c:v>41811</c:v>
                </c:pt>
                <c:pt idx="340">
                  <c:v>41812</c:v>
                </c:pt>
                <c:pt idx="341">
                  <c:v>41813</c:v>
                </c:pt>
                <c:pt idx="342">
                  <c:v>41814</c:v>
                </c:pt>
                <c:pt idx="343">
                  <c:v>41815</c:v>
                </c:pt>
                <c:pt idx="344">
                  <c:v>41816</c:v>
                </c:pt>
                <c:pt idx="345">
                  <c:v>41817</c:v>
                </c:pt>
                <c:pt idx="346">
                  <c:v>41818</c:v>
                </c:pt>
                <c:pt idx="347">
                  <c:v>41819</c:v>
                </c:pt>
                <c:pt idx="348">
                  <c:v>41820</c:v>
                </c:pt>
                <c:pt idx="349">
                  <c:v>41821</c:v>
                </c:pt>
                <c:pt idx="350">
                  <c:v>41822</c:v>
                </c:pt>
                <c:pt idx="351">
                  <c:v>41823</c:v>
                </c:pt>
                <c:pt idx="352">
                  <c:v>41824</c:v>
                </c:pt>
                <c:pt idx="353">
                  <c:v>41825</c:v>
                </c:pt>
                <c:pt idx="354">
                  <c:v>41826</c:v>
                </c:pt>
                <c:pt idx="355">
                  <c:v>41827</c:v>
                </c:pt>
                <c:pt idx="356">
                  <c:v>41828</c:v>
                </c:pt>
                <c:pt idx="357">
                  <c:v>41829</c:v>
                </c:pt>
                <c:pt idx="358">
                  <c:v>41830</c:v>
                </c:pt>
                <c:pt idx="359">
                  <c:v>41831</c:v>
                </c:pt>
                <c:pt idx="360">
                  <c:v>41832</c:v>
                </c:pt>
                <c:pt idx="361">
                  <c:v>41833</c:v>
                </c:pt>
                <c:pt idx="362">
                  <c:v>41834</c:v>
                </c:pt>
              </c:numCache>
            </c:numRef>
          </c:cat>
          <c:val>
            <c:numRef>
              <c:f>[0]!rngHumidityColumn</c:f>
              <c:numCache>
                <c:formatCode>0</c:formatCode>
                <c:ptCount val="363"/>
                <c:pt idx="0">
                  <c:v>0</c:v>
                </c:pt>
                <c:pt idx="1">
                  <c:v>27</c:v>
                </c:pt>
                <c:pt idx="2">
                  <c:v>86</c:v>
                </c:pt>
                <c:pt idx="3">
                  <c:v>63</c:v>
                </c:pt>
                <c:pt idx="4">
                  <c:v>65</c:v>
                </c:pt>
                <c:pt idx="5">
                  <c:v>71</c:v>
                </c:pt>
                <c:pt idx="6">
                  <c:v>68</c:v>
                </c:pt>
                <c:pt idx="7">
                  <c:v>71</c:v>
                </c:pt>
                <c:pt idx="8">
                  <c:v>75</c:v>
                </c:pt>
                <c:pt idx="9">
                  <c:v>70</c:v>
                </c:pt>
                <c:pt idx="10">
                  <c:v>64</c:v>
                </c:pt>
                <c:pt idx="11">
                  <c:v>68</c:v>
                </c:pt>
                <c:pt idx="12">
                  <c:v>71</c:v>
                </c:pt>
                <c:pt idx="13">
                  <c:v>68</c:v>
                </c:pt>
                <c:pt idx="14">
                  <c:v>74</c:v>
                </c:pt>
                <c:pt idx="15">
                  <c:v>68</c:v>
                </c:pt>
                <c:pt idx="16">
                  <c:v>69</c:v>
                </c:pt>
                <c:pt idx="17">
                  <c:v>68</c:v>
                </c:pt>
                <c:pt idx="18">
                  <c:v>70</c:v>
                </c:pt>
                <c:pt idx="19">
                  <c:v>74</c:v>
                </c:pt>
                <c:pt idx="20">
                  <c:v>74</c:v>
                </c:pt>
                <c:pt idx="21">
                  <c:v>72</c:v>
                </c:pt>
                <c:pt idx="22">
                  <c:v>67</c:v>
                </c:pt>
                <c:pt idx="23">
                  <c:v>59</c:v>
                </c:pt>
                <c:pt idx="24">
                  <c:v>57.999999999999993</c:v>
                </c:pt>
                <c:pt idx="25">
                  <c:v>70</c:v>
                </c:pt>
                <c:pt idx="26">
                  <c:v>71</c:v>
                </c:pt>
                <c:pt idx="27">
                  <c:v>70</c:v>
                </c:pt>
                <c:pt idx="28">
                  <c:v>70</c:v>
                </c:pt>
                <c:pt idx="29">
                  <c:v>77</c:v>
                </c:pt>
                <c:pt idx="30">
                  <c:v>84</c:v>
                </c:pt>
                <c:pt idx="31">
                  <c:v>77</c:v>
                </c:pt>
                <c:pt idx="32">
                  <c:v>81</c:v>
                </c:pt>
                <c:pt idx="33">
                  <c:v>72</c:v>
                </c:pt>
                <c:pt idx="34">
                  <c:v>62</c:v>
                </c:pt>
                <c:pt idx="35">
                  <c:v>71</c:v>
                </c:pt>
                <c:pt idx="36">
                  <c:v>69</c:v>
                </c:pt>
                <c:pt idx="37">
                  <c:v>75</c:v>
                </c:pt>
                <c:pt idx="38">
                  <c:v>73</c:v>
                </c:pt>
                <c:pt idx="39">
                  <c:v>66</c:v>
                </c:pt>
                <c:pt idx="40">
                  <c:v>67</c:v>
                </c:pt>
                <c:pt idx="41">
                  <c:v>57.999999999999993</c:v>
                </c:pt>
                <c:pt idx="42">
                  <c:v>60</c:v>
                </c:pt>
                <c:pt idx="43">
                  <c:v>56.000000000000007</c:v>
                </c:pt>
                <c:pt idx="44">
                  <c:v>50</c:v>
                </c:pt>
                <c:pt idx="45">
                  <c:v>56.999999999999993</c:v>
                </c:pt>
                <c:pt idx="46">
                  <c:v>49</c:v>
                </c:pt>
                <c:pt idx="47">
                  <c:v>48</c:v>
                </c:pt>
                <c:pt idx="48">
                  <c:v>53</c:v>
                </c:pt>
                <c:pt idx="49">
                  <c:v>61</c:v>
                </c:pt>
                <c:pt idx="50">
                  <c:v>76</c:v>
                </c:pt>
                <c:pt idx="51">
                  <c:v>75</c:v>
                </c:pt>
                <c:pt idx="52">
                  <c:v>75</c:v>
                </c:pt>
                <c:pt idx="53">
                  <c:v>64</c:v>
                </c:pt>
                <c:pt idx="54">
                  <c:v>43</c:v>
                </c:pt>
                <c:pt idx="55">
                  <c:v>43</c:v>
                </c:pt>
                <c:pt idx="56">
                  <c:v>44</c:v>
                </c:pt>
                <c:pt idx="57">
                  <c:v>42</c:v>
                </c:pt>
                <c:pt idx="58">
                  <c:v>41</c:v>
                </c:pt>
                <c:pt idx="59">
                  <c:v>67</c:v>
                </c:pt>
                <c:pt idx="60">
                  <c:v>75</c:v>
                </c:pt>
                <c:pt idx="61">
                  <c:v>78</c:v>
                </c:pt>
                <c:pt idx="62">
                  <c:v>72</c:v>
                </c:pt>
                <c:pt idx="63">
                  <c:v>79</c:v>
                </c:pt>
                <c:pt idx="64">
                  <c:v>72</c:v>
                </c:pt>
                <c:pt idx="65">
                  <c:v>61</c:v>
                </c:pt>
                <c:pt idx="66">
                  <c:v>49</c:v>
                </c:pt>
                <c:pt idx="67">
                  <c:v>48</c:v>
                </c:pt>
                <c:pt idx="68">
                  <c:v>57.999999999999993</c:v>
                </c:pt>
                <c:pt idx="69">
                  <c:v>70</c:v>
                </c:pt>
                <c:pt idx="70">
                  <c:v>87</c:v>
                </c:pt>
                <c:pt idx="71">
                  <c:v>75</c:v>
                </c:pt>
                <c:pt idx="72">
                  <c:v>80</c:v>
                </c:pt>
                <c:pt idx="73">
                  <c:v>85</c:v>
                </c:pt>
                <c:pt idx="74">
                  <c:v>92</c:v>
                </c:pt>
                <c:pt idx="75">
                  <c:v>97</c:v>
                </c:pt>
                <c:pt idx="76">
                  <c:v>94</c:v>
                </c:pt>
                <c:pt idx="77">
                  <c:v>91</c:v>
                </c:pt>
                <c:pt idx="78">
                  <c:v>78</c:v>
                </c:pt>
                <c:pt idx="79">
                  <c:v>83</c:v>
                </c:pt>
                <c:pt idx="80">
                  <c:v>86</c:v>
                </c:pt>
                <c:pt idx="81">
                  <c:v>78</c:v>
                </c:pt>
                <c:pt idx="82">
                  <c:v>73</c:v>
                </c:pt>
                <c:pt idx="83">
                  <c:v>72</c:v>
                </c:pt>
                <c:pt idx="84">
                  <c:v>67</c:v>
                </c:pt>
                <c:pt idx="85">
                  <c:v>67</c:v>
                </c:pt>
                <c:pt idx="86">
                  <c:v>78</c:v>
                </c:pt>
                <c:pt idx="87">
                  <c:v>71</c:v>
                </c:pt>
                <c:pt idx="88">
                  <c:v>79</c:v>
                </c:pt>
                <c:pt idx="89">
                  <c:v>84</c:v>
                </c:pt>
                <c:pt idx="90">
                  <c:v>86</c:v>
                </c:pt>
                <c:pt idx="91">
                  <c:v>85</c:v>
                </c:pt>
                <c:pt idx="92">
                  <c:v>86</c:v>
                </c:pt>
                <c:pt idx="93">
                  <c:v>90</c:v>
                </c:pt>
                <c:pt idx="94">
                  <c:v>86</c:v>
                </c:pt>
                <c:pt idx="95">
                  <c:v>87</c:v>
                </c:pt>
                <c:pt idx="96">
                  <c:v>80</c:v>
                </c:pt>
                <c:pt idx="97">
                  <c:v>85</c:v>
                </c:pt>
                <c:pt idx="98">
                  <c:v>87</c:v>
                </c:pt>
                <c:pt idx="99">
                  <c:v>91</c:v>
                </c:pt>
                <c:pt idx="100">
                  <c:v>94</c:v>
                </c:pt>
                <c:pt idx="101">
                  <c:v>87</c:v>
                </c:pt>
                <c:pt idx="102">
                  <c:v>81</c:v>
                </c:pt>
                <c:pt idx="103">
                  <c:v>92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89</c:v>
                </c:pt>
                <c:pt idx="108">
                  <c:v>86</c:v>
                </c:pt>
                <c:pt idx="109">
                  <c:v>81</c:v>
                </c:pt>
                <c:pt idx="110">
                  <c:v>85</c:v>
                </c:pt>
                <c:pt idx="111">
                  <c:v>94</c:v>
                </c:pt>
                <c:pt idx="112">
                  <c:v>87</c:v>
                </c:pt>
                <c:pt idx="113">
                  <c:v>81</c:v>
                </c:pt>
                <c:pt idx="114">
                  <c:v>85</c:v>
                </c:pt>
                <c:pt idx="115">
                  <c:v>88</c:v>
                </c:pt>
                <c:pt idx="116">
                  <c:v>87</c:v>
                </c:pt>
                <c:pt idx="117">
                  <c:v>84</c:v>
                </c:pt>
                <c:pt idx="118">
                  <c:v>86</c:v>
                </c:pt>
                <c:pt idx="119">
                  <c:v>82</c:v>
                </c:pt>
                <c:pt idx="120">
                  <c:v>73</c:v>
                </c:pt>
                <c:pt idx="121">
                  <c:v>71</c:v>
                </c:pt>
                <c:pt idx="122">
                  <c:v>65</c:v>
                </c:pt>
                <c:pt idx="123">
                  <c:v>71</c:v>
                </c:pt>
                <c:pt idx="124">
                  <c:v>82</c:v>
                </c:pt>
                <c:pt idx="125">
                  <c:v>83</c:v>
                </c:pt>
                <c:pt idx="126">
                  <c:v>77</c:v>
                </c:pt>
                <c:pt idx="127">
                  <c:v>81</c:v>
                </c:pt>
                <c:pt idx="128">
                  <c:v>91</c:v>
                </c:pt>
                <c:pt idx="129">
                  <c:v>69</c:v>
                </c:pt>
                <c:pt idx="130">
                  <c:v>75</c:v>
                </c:pt>
                <c:pt idx="131">
                  <c:v>71</c:v>
                </c:pt>
                <c:pt idx="132">
                  <c:v>69</c:v>
                </c:pt>
                <c:pt idx="133">
                  <c:v>61</c:v>
                </c:pt>
                <c:pt idx="134">
                  <c:v>60</c:v>
                </c:pt>
                <c:pt idx="135">
                  <c:v>63</c:v>
                </c:pt>
                <c:pt idx="136">
                  <c:v>75</c:v>
                </c:pt>
                <c:pt idx="137">
                  <c:v>69</c:v>
                </c:pt>
                <c:pt idx="138">
                  <c:v>65</c:v>
                </c:pt>
                <c:pt idx="139">
                  <c:v>61</c:v>
                </c:pt>
                <c:pt idx="140">
                  <c:v>63</c:v>
                </c:pt>
                <c:pt idx="141">
                  <c:v>72</c:v>
                </c:pt>
                <c:pt idx="142">
                  <c:v>67</c:v>
                </c:pt>
                <c:pt idx="143">
                  <c:v>66</c:v>
                </c:pt>
                <c:pt idx="144">
                  <c:v>76</c:v>
                </c:pt>
                <c:pt idx="145">
                  <c:v>68</c:v>
                </c:pt>
                <c:pt idx="146">
                  <c:v>55.000000000000007</c:v>
                </c:pt>
                <c:pt idx="147">
                  <c:v>51</c:v>
                </c:pt>
                <c:pt idx="148">
                  <c:v>52</c:v>
                </c:pt>
                <c:pt idx="149">
                  <c:v>84</c:v>
                </c:pt>
                <c:pt idx="150">
                  <c:v>78</c:v>
                </c:pt>
                <c:pt idx="151">
                  <c:v>65</c:v>
                </c:pt>
                <c:pt idx="152">
                  <c:v>73</c:v>
                </c:pt>
                <c:pt idx="153">
                  <c:v>89</c:v>
                </c:pt>
                <c:pt idx="154">
                  <c:v>94</c:v>
                </c:pt>
                <c:pt idx="155">
                  <c:v>90</c:v>
                </c:pt>
                <c:pt idx="156">
                  <c:v>80</c:v>
                </c:pt>
                <c:pt idx="157">
                  <c:v>81</c:v>
                </c:pt>
                <c:pt idx="158">
                  <c:v>80</c:v>
                </c:pt>
                <c:pt idx="159">
                  <c:v>95</c:v>
                </c:pt>
                <c:pt idx="160">
                  <c:v>96</c:v>
                </c:pt>
                <c:pt idx="161">
                  <c:v>88</c:v>
                </c:pt>
                <c:pt idx="162">
                  <c:v>86</c:v>
                </c:pt>
                <c:pt idx="163">
                  <c:v>93</c:v>
                </c:pt>
                <c:pt idx="164">
                  <c:v>69</c:v>
                </c:pt>
                <c:pt idx="165">
                  <c:v>84</c:v>
                </c:pt>
                <c:pt idx="166">
                  <c:v>83</c:v>
                </c:pt>
                <c:pt idx="167">
                  <c:v>89</c:v>
                </c:pt>
                <c:pt idx="168">
                  <c:v>96</c:v>
                </c:pt>
                <c:pt idx="169">
                  <c:v>97</c:v>
                </c:pt>
                <c:pt idx="170">
                  <c:v>98</c:v>
                </c:pt>
                <c:pt idx="171">
                  <c:v>83</c:v>
                </c:pt>
                <c:pt idx="172">
                  <c:v>80</c:v>
                </c:pt>
                <c:pt idx="173">
                  <c:v>92</c:v>
                </c:pt>
                <c:pt idx="174">
                  <c:v>94</c:v>
                </c:pt>
                <c:pt idx="175">
                  <c:v>78</c:v>
                </c:pt>
                <c:pt idx="176">
                  <c:v>57.999999999999993</c:v>
                </c:pt>
                <c:pt idx="177">
                  <c:v>81</c:v>
                </c:pt>
                <c:pt idx="178">
                  <c:v>88</c:v>
                </c:pt>
                <c:pt idx="179">
                  <c:v>92</c:v>
                </c:pt>
                <c:pt idx="180">
                  <c:v>87</c:v>
                </c:pt>
                <c:pt idx="181">
                  <c:v>94</c:v>
                </c:pt>
                <c:pt idx="182">
                  <c:v>97</c:v>
                </c:pt>
                <c:pt idx="183">
                  <c:v>85</c:v>
                </c:pt>
                <c:pt idx="184">
                  <c:v>87</c:v>
                </c:pt>
                <c:pt idx="185">
                  <c:v>91</c:v>
                </c:pt>
                <c:pt idx="186">
                  <c:v>83</c:v>
                </c:pt>
                <c:pt idx="187">
                  <c:v>87</c:v>
                </c:pt>
                <c:pt idx="188">
                  <c:v>97</c:v>
                </c:pt>
                <c:pt idx="189">
                  <c:v>86</c:v>
                </c:pt>
                <c:pt idx="190">
                  <c:v>83</c:v>
                </c:pt>
                <c:pt idx="191">
                  <c:v>93</c:v>
                </c:pt>
                <c:pt idx="192">
                  <c:v>94</c:v>
                </c:pt>
                <c:pt idx="193">
                  <c:v>97</c:v>
                </c:pt>
                <c:pt idx="194">
                  <c:v>81</c:v>
                </c:pt>
                <c:pt idx="195">
                  <c:v>80</c:v>
                </c:pt>
                <c:pt idx="196">
                  <c:v>80</c:v>
                </c:pt>
                <c:pt idx="197">
                  <c:v>87</c:v>
                </c:pt>
                <c:pt idx="198">
                  <c:v>97</c:v>
                </c:pt>
                <c:pt idx="199">
                  <c:v>78</c:v>
                </c:pt>
                <c:pt idx="200">
                  <c:v>77</c:v>
                </c:pt>
                <c:pt idx="201">
                  <c:v>79</c:v>
                </c:pt>
                <c:pt idx="202">
                  <c:v>93</c:v>
                </c:pt>
                <c:pt idx="203">
                  <c:v>79</c:v>
                </c:pt>
                <c:pt idx="204">
                  <c:v>84</c:v>
                </c:pt>
                <c:pt idx="205">
                  <c:v>85</c:v>
                </c:pt>
                <c:pt idx="206">
                  <c:v>82</c:v>
                </c:pt>
                <c:pt idx="207">
                  <c:v>87</c:v>
                </c:pt>
                <c:pt idx="208">
                  <c:v>64</c:v>
                </c:pt>
                <c:pt idx="209">
                  <c:v>94</c:v>
                </c:pt>
                <c:pt idx="210">
                  <c:v>98</c:v>
                </c:pt>
                <c:pt idx="211">
                  <c:v>94</c:v>
                </c:pt>
                <c:pt idx="212">
                  <c:v>89</c:v>
                </c:pt>
                <c:pt idx="213">
                  <c:v>82</c:v>
                </c:pt>
                <c:pt idx="214">
                  <c:v>96</c:v>
                </c:pt>
                <c:pt idx="215">
                  <c:v>79</c:v>
                </c:pt>
                <c:pt idx="216">
                  <c:v>85</c:v>
                </c:pt>
                <c:pt idx="217">
                  <c:v>84</c:v>
                </c:pt>
                <c:pt idx="218">
                  <c:v>95</c:v>
                </c:pt>
                <c:pt idx="219">
                  <c:v>71</c:v>
                </c:pt>
                <c:pt idx="220">
                  <c:v>79</c:v>
                </c:pt>
                <c:pt idx="221">
                  <c:v>71</c:v>
                </c:pt>
                <c:pt idx="222">
                  <c:v>78</c:v>
                </c:pt>
                <c:pt idx="223">
                  <c:v>80</c:v>
                </c:pt>
                <c:pt idx="224">
                  <c:v>71</c:v>
                </c:pt>
                <c:pt idx="225">
                  <c:v>94</c:v>
                </c:pt>
                <c:pt idx="226">
                  <c:v>87</c:v>
                </c:pt>
                <c:pt idx="227">
                  <c:v>97</c:v>
                </c:pt>
                <c:pt idx="228">
                  <c:v>98</c:v>
                </c:pt>
                <c:pt idx="229">
                  <c:v>70</c:v>
                </c:pt>
                <c:pt idx="230">
                  <c:v>80</c:v>
                </c:pt>
                <c:pt idx="231">
                  <c:v>84</c:v>
                </c:pt>
                <c:pt idx="232">
                  <c:v>82</c:v>
                </c:pt>
                <c:pt idx="233">
                  <c:v>77</c:v>
                </c:pt>
                <c:pt idx="234">
                  <c:v>54</c:v>
                </c:pt>
                <c:pt idx="235">
                  <c:v>54</c:v>
                </c:pt>
                <c:pt idx="236">
                  <c:v>37</c:v>
                </c:pt>
                <c:pt idx="237">
                  <c:v>51</c:v>
                </c:pt>
                <c:pt idx="238">
                  <c:v>50</c:v>
                </c:pt>
                <c:pt idx="239">
                  <c:v>70</c:v>
                </c:pt>
                <c:pt idx="240">
                  <c:v>69</c:v>
                </c:pt>
                <c:pt idx="241">
                  <c:v>71</c:v>
                </c:pt>
                <c:pt idx="242">
                  <c:v>66</c:v>
                </c:pt>
                <c:pt idx="243">
                  <c:v>74</c:v>
                </c:pt>
                <c:pt idx="244">
                  <c:v>69</c:v>
                </c:pt>
                <c:pt idx="245">
                  <c:v>76</c:v>
                </c:pt>
                <c:pt idx="246">
                  <c:v>80</c:v>
                </c:pt>
                <c:pt idx="247">
                  <c:v>87</c:v>
                </c:pt>
                <c:pt idx="248">
                  <c:v>78</c:v>
                </c:pt>
                <c:pt idx="249">
                  <c:v>67</c:v>
                </c:pt>
                <c:pt idx="250">
                  <c:v>79</c:v>
                </c:pt>
                <c:pt idx="251">
                  <c:v>74</c:v>
                </c:pt>
                <c:pt idx="252">
                  <c:v>67</c:v>
                </c:pt>
                <c:pt idx="253">
                  <c:v>75</c:v>
                </c:pt>
                <c:pt idx="254">
                  <c:v>75</c:v>
                </c:pt>
                <c:pt idx="255">
                  <c:v>70</c:v>
                </c:pt>
                <c:pt idx="256">
                  <c:v>79</c:v>
                </c:pt>
                <c:pt idx="257">
                  <c:v>87</c:v>
                </c:pt>
                <c:pt idx="258">
                  <c:v>88</c:v>
                </c:pt>
                <c:pt idx="259">
                  <c:v>81</c:v>
                </c:pt>
                <c:pt idx="260">
                  <c:v>81</c:v>
                </c:pt>
                <c:pt idx="261">
                  <c:v>93</c:v>
                </c:pt>
                <c:pt idx="262">
                  <c:v>92</c:v>
                </c:pt>
                <c:pt idx="263">
                  <c:v>79</c:v>
                </c:pt>
                <c:pt idx="264">
                  <c:v>78</c:v>
                </c:pt>
                <c:pt idx="265">
                  <c:v>78</c:v>
                </c:pt>
                <c:pt idx="266">
                  <c:v>62</c:v>
                </c:pt>
                <c:pt idx="267">
                  <c:v>70</c:v>
                </c:pt>
                <c:pt idx="268">
                  <c:v>82</c:v>
                </c:pt>
                <c:pt idx="269">
                  <c:v>80</c:v>
                </c:pt>
                <c:pt idx="270">
                  <c:v>76</c:v>
                </c:pt>
                <c:pt idx="271">
                  <c:v>76</c:v>
                </c:pt>
                <c:pt idx="272">
                  <c:v>67</c:v>
                </c:pt>
                <c:pt idx="273">
                  <c:v>79</c:v>
                </c:pt>
                <c:pt idx="274">
                  <c:v>82</c:v>
                </c:pt>
                <c:pt idx="275">
                  <c:v>87</c:v>
                </c:pt>
                <c:pt idx="276">
                  <c:v>71</c:v>
                </c:pt>
                <c:pt idx="277">
                  <c:v>76</c:v>
                </c:pt>
                <c:pt idx="278">
                  <c:v>71</c:v>
                </c:pt>
                <c:pt idx="279">
                  <c:v>70</c:v>
                </c:pt>
                <c:pt idx="280">
                  <c:v>68</c:v>
                </c:pt>
                <c:pt idx="281">
                  <c:v>71</c:v>
                </c:pt>
                <c:pt idx="282">
                  <c:v>67</c:v>
                </c:pt>
                <c:pt idx="283">
                  <c:v>92</c:v>
                </c:pt>
                <c:pt idx="284">
                  <c:v>75</c:v>
                </c:pt>
                <c:pt idx="285">
                  <c:v>76</c:v>
                </c:pt>
                <c:pt idx="286">
                  <c:v>69</c:v>
                </c:pt>
                <c:pt idx="287">
                  <c:v>79</c:v>
                </c:pt>
                <c:pt idx="288">
                  <c:v>71</c:v>
                </c:pt>
                <c:pt idx="289">
                  <c:v>65</c:v>
                </c:pt>
                <c:pt idx="290">
                  <c:v>53</c:v>
                </c:pt>
                <c:pt idx="291">
                  <c:v>49</c:v>
                </c:pt>
                <c:pt idx="292">
                  <c:v>65</c:v>
                </c:pt>
                <c:pt idx="293">
                  <c:v>72</c:v>
                </c:pt>
                <c:pt idx="294">
                  <c:v>73</c:v>
                </c:pt>
                <c:pt idx="295">
                  <c:v>73</c:v>
                </c:pt>
                <c:pt idx="296">
                  <c:v>80</c:v>
                </c:pt>
                <c:pt idx="297">
                  <c:v>81</c:v>
                </c:pt>
                <c:pt idx="298">
                  <c:v>69</c:v>
                </c:pt>
                <c:pt idx="299">
                  <c:v>66</c:v>
                </c:pt>
                <c:pt idx="300">
                  <c:v>61</c:v>
                </c:pt>
                <c:pt idx="301">
                  <c:v>46</c:v>
                </c:pt>
                <c:pt idx="302">
                  <c:v>42</c:v>
                </c:pt>
                <c:pt idx="303">
                  <c:v>56.999999999999993</c:v>
                </c:pt>
                <c:pt idx="304">
                  <c:v>49</c:v>
                </c:pt>
                <c:pt idx="305">
                  <c:v>53</c:v>
                </c:pt>
                <c:pt idx="306">
                  <c:v>70</c:v>
                </c:pt>
                <c:pt idx="307">
                  <c:v>77</c:v>
                </c:pt>
                <c:pt idx="308">
                  <c:v>88</c:v>
                </c:pt>
                <c:pt idx="309">
                  <c:v>82</c:v>
                </c:pt>
                <c:pt idx="310">
                  <c:v>72</c:v>
                </c:pt>
                <c:pt idx="311">
                  <c:v>61</c:v>
                </c:pt>
                <c:pt idx="312">
                  <c:v>60</c:v>
                </c:pt>
                <c:pt idx="313">
                  <c:v>61</c:v>
                </c:pt>
                <c:pt idx="314">
                  <c:v>72</c:v>
                </c:pt>
                <c:pt idx="315">
                  <c:v>80</c:v>
                </c:pt>
                <c:pt idx="316">
                  <c:v>91</c:v>
                </c:pt>
                <c:pt idx="317">
                  <c:v>77</c:v>
                </c:pt>
                <c:pt idx="318">
                  <c:v>67</c:v>
                </c:pt>
                <c:pt idx="319">
                  <c:v>61</c:v>
                </c:pt>
                <c:pt idx="320">
                  <c:v>78</c:v>
                </c:pt>
                <c:pt idx="321">
                  <c:v>74</c:v>
                </c:pt>
                <c:pt idx="322">
                  <c:v>71</c:v>
                </c:pt>
                <c:pt idx="323">
                  <c:v>70</c:v>
                </c:pt>
                <c:pt idx="324">
                  <c:v>84</c:v>
                </c:pt>
                <c:pt idx="325">
                  <c:v>68</c:v>
                </c:pt>
                <c:pt idx="326">
                  <c:v>67</c:v>
                </c:pt>
                <c:pt idx="327">
                  <c:v>67</c:v>
                </c:pt>
                <c:pt idx="328">
                  <c:v>68</c:v>
                </c:pt>
                <c:pt idx="329">
                  <c:v>67</c:v>
                </c:pt>
                <c:pt idx="330">
                  <c:v>64</c:v>
                </c:pt>
                <c:pt idx="331">
                  <c:v>74</c:v>
                </c:pt>
                <c:pt idx="332">
                  <c:v>66</c:v>
                </c:pt>
                <c:pt idx="333">
                  <c:v>49</c:v>
                </c:pt>
                <c:pt idx="334">
                  <c:v>38</c:v>
                </c:pt>
                <c:pt idx="335">
                  <c:v>48</c:v>
                </c:pt>
                <c:pt idx="336">
                  <c:v>73</c:v>
                </c:pt>
                <c:pt idx="337">
                  <c:v>69</c:v>
                </c:pt>
                <c:pt idx="338">
                  <c:v>65</c:v>
                </c:pt>
                <c:pt idx="339">
                  <c:v>70</c:v>
                </c:pt>
                <c:pt idx="340">
                  <c:v>85</c:v>
                </c:pt>
                <c:pt idx="341">
                  <c:v>91</c:v>
                </c:pt>
                <c:pt idx="342">
                  <c:v>83</c:v>
                </c:pt>
                <c:pt idx="343">
                  <c:v>79</c:v>
                </c:pt>
                <c:pt idx="344">
                  <c:v>70</c:v>
                </c:pt>
                <c:pt idx="345">
                  <c:v>67</c:v>
                </c:pt>
                <c:pt idx="346">
                  <c:v>76</c:v>
                </c:pt>
                <c:pt idx="347">
                  <c:v>67</c:v>
                </c:pt>
                <c:pt idx="348">
                  <c:v>69</c:v>
                </c:pt>
                <c:pt idx="349">
                  <c:v>73</c:v>
                </c:pt>
                <c:pt idx="350">
                  <c:v>76</c:v>
                </c:pt>
                <c:pt idx="351">
                  <c:v>73</c:v>
                </c:pt>
                <c:pt idx="352">
                  <c:v>82</c:v>
                </c:pt>
                <c:pt idx="353">
                  <c:v>81</c:v>
                </c:pt>
                <c:pt idx="354">
                  <c:v>81</c:v>
                </c:pt>
                <c:pt idx="355">
                  <c:v>66</c:v>
                </c:pt>
                <c:pt idx="356">
                  <c:v>71</c:v>
                </c:pt>
                <c:pt idx="357">
                  <c:v>63</c:v>
                </c:pt>
                <c:pt idx="358">
                  <c:v>53</c:v>
                </c:pt>
                <c:pt idx="359">
                  <c:v>52</c:v>
                </c:pt>
                <c:pt idx="360">
                  <c:v>67</c:v>
                </c:pt>
                <c:pt idx="361">
                  <c:v>76</c:v>
                </c:pt>
                <c:pt idx="362">
                  <c:v>77</c:v>
                </c:pt>
              </c:numCache>
            </c:numRef>
          </c:val>
        </c:ser>
        <c:marker val="1"/>
        <c:axId val="137042560"/>
        <c:axId val="137073024"/>
      </c:lineChart>
      <c:dateAx>
        <c:axId val="137042560"/>
        <c:scaling>
          <c:orientation val="minMax"/>
        </c:scaling>
        <c:axPos val="b"/>
        <c:numFmt formatCode="dd/mm/yyyy" sourceLinked="1"/>
        <c:tickLblPos val="nextTo"/>
        <c:crossAx val="137073024"/>
        <c:crosses val="autoZero"/>
        <c:auto val="1"/>
        <c:lblOffset val="100"/>
      </c:dateAx>
      <c:valAx>
        <c:axId val="137073024"/>
        <c:scaling>
          <c:orientation val="minMax"/>
        </c:scaling>
        <c:axPos val="l"/>
        <c:numFmt formatCode="0" sourceLinked="1"/>
        <c:tickLblPos val="nextTo"/>
        <c:crossAx val="137042560"/>
        <c:crosses val="autoZero"/>
        <c:crossBetween val="between"/>
      </c:valAx>
    </c:plotArea>
    <c:plotVisOnly val="1"/>
  </c:chart>
  <c:spPr>
    <a:noFill/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[0]!rngPressure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0"/>
          </c:spPr>
          <c:marker>
            <c:symbol val="none"/>
          </c:marker>
          <c:cat>
            <c:numRef>
              <c:f>[0]!rngTimeColumn</c:f>
              <c:numCache>
                <c:formatCode>dd/mm/yyyy</c:formatCode>
                <c:ptCount val="363"/>
                <c:pt idx="0">
                  <c:v>41472</c:v>
                </c:pt>
                <c:pt idx="1">
                  <c:v>41473</c:v>
                </c:pt>
                <c:pt idx="2">
                  <c:v>41474</c:v>
                </c:pt>
                <c:pt idx="3">
                  <c:v>41475</c:v>
                </c:pt>
                <c:pt idx="4">
                  <c:v>41476</c:v>
                </c:pt>
                <c:pt idx="5">
                  <c:v>41477</c:v>
                </c:pt>
                <c:pt idx="6">
                  <c:v>41478</c:v>
                </c:pt>
                <c:pt idx="7">
                  <c:v>41479</c:v>
                </c:pt>
                <c:pt idx="8">
                  <c:v>41480</c:v>
                </c:pt>
                <c:pt idx="9">
                  <c:v>41481</c:v>
                </c:pt>
                <c:pt idx="10">
                  <c:v>41482</c:v>
                </c:pt>
                <c:pt idx="11">
                  <c:v>41483</c:v>
                </c:pt>
                <c:pt idx="12">
                  <c:v>41484</c:v>
                </c:pt>
                <c:pt idx="13">
                  <c:v>41485</c:v>
                </c:pt>
                <c:pt idx="14">
                  <c:v>41486</c:v>
                </c:pt>
                <c:pt idx="15">
                  <c:v>41487</c:v>
                </c:pt>
                <c:pt idx="16">
                  <c:v>41488</c:v>
                </c:pt>
                <c:pt idx="17">
                  <c:v>41489</c:v>
                </c:pt>
                <c:pt idx="18">
                  <c:v>41490</c:v>
                </c:pt>
                <c:pt idx="19">
                  <c:v>41491</c:v>
                </c:pt>
                <c:pt idx="20">
                  <c:v>41492</c:v>
                </c:pt>
                <c:pt idx="21">
                  <c:v>41493</c:v>
                </c:pt>
                <c:pt idx="22">
                  <c:v>41494</c:v>
                </c:pt>
                <c:pt idx="23">
                  <c:v>41495</c:v>
                </c:pt>
                <c:pt idx="24">
                  <c:v>41496</c:v>
                </c:pt>
                <c:pt idx="25">
                  <c:v>41497</c:v>
                </c:pt>
                <c:pt idx="26">
                  <c:v>41498</c:v>
                </c:pt>
                <c:pt idx="27">
                  <c:v>41499</c:v>
                </c:pt>
                <c:pt idx="28">
                  <c:v>41500</c:v>
                </c:pt>
                <c:pt idx="29">
                  <c:v>41501</c:v>
                </c:pt>
                <c:pt idx="30">
                  <c:v>41502</c:v>
                </c:pt>
                <c:pt idx="31">
                  <c:v>41503</c:v>
                </c:pt>
                <c:pt idx="32">
                  <c:v>41504</c:v>
                </c:pt>
                <c:pt idx="33">
                  <c:v>41505</c:v>
                </c:pt>
                <c:pt idx="34">
                  <c:v>41506</c:v>
                </c:pt>
                <c:pt idx="35">
                  <c:v>41507</c:v>
                </c:pt>
                <c:pt idx="36">
                  <c:v>41508</c:v>
                </c:pt>
                <c:pt idx="37">
                  <c:v>41509</c:v>
                </c:pt>
                <c:pt idx="38">
                  <c:v>41510</c:v>
                </c:pt>
                <c:pt idx="39">
                  <c:v>41511</c:v>
                </c:pt>
                <c:pt idx="40">
                  <c:v>41512</c:v>
                </c:pt>
                <c:pt idx="41">
                  <c:v>41513</c:v>
                </c:pt>
                <c:pt idx="42">
                  <c:v>41514</c:v>
                </c:pt>
                <c:pt idx="43">
                  <c:v>41515</c:v>
                </c:pt>
                <c:pt idx="44">
                  <c:v>41516</c:v>
                </c:pt>
                <c:pt idx="45">
                  <c:v>41517</c:v>
                </c:pt>
                <c:pt idx="46">
                  <c:v>41518</c:v>
                </c:pt>
                <c:pt idx="47">
                  <c:v>41519</c:v>
                </c:pt>
                <c:pt idx="48">
                  <c:v>41520</c:v>
                </c:pt>
                <c:pt idx="49">
                  <c:v>41521</c:v>
                </c:pt>
                <c:pt idx="50">
                  <c:v>41522</c:v>
                </c:pt>
                <c:pt idx="51">
                  <c:v>41523</c:v>
                </c:pt>
                <c:pt idx="52">
                  <c:v>41524</c:v>
                </c:pt>
                <c:pt idx="53">
                  <c:v>41525</c:v>
                </c:pt>
                <c:pt idx="54">
                  <c:v>41526</c:v>
                </c:pt>
                <c:pt idx="55">
                  <c:v>41527</c:v>
                </c:pt>
                <c:pt idx="56">
                  <c:v>41528</c:v>
                </c:pt>
                <c:pt idx="57">
                  <c:v>41529</c:v>
                </c:pt>
                <c:pt idx="58">
                  <c:v>41530</c:v>
                </c:pt>
                <c:pt idx="59">
                  <c:v>41531</c:v>
                </c:pt>
                <c:pt idx="60">
                  <c:v>41532</c:v>
                </c:pt>
                <c:pt idx="61">
                  <c:v>41533</c:v>
                </c:pt>
                <c:pt idx="62">
                  <c:v>41534</c:v>
                </c:pt>
                <c:pt idx="63">
                  <c:v>41535</c:v>
                </c:pt>
                <c:pt idx="64">
                  <c:v>41536</c:v>
                </c:pt>
                <c:pt idx="65">
                  <c:v>41537</c:v>
                </c:pt>
                <c:pt idx="66">
                  <c:v>41538</c:v>
                </c:pt>
                <c:pt idx="67">
                  <c:v>41539</c:v>
                </c:pt>
                <c:pt idx="68">
                  <c:v>41540</c:v>
                </c:pt>
                <c:pt idx="69">
                  <c:v>41541</c:v>
                </c:pt>
                <c:pt idx="70">
                  <c:v>41542</c:v>
                </c:pt>
                <c:pt idx="71">
                  <c:v>41543</c:v>
                </c:pt>
                <c:pt idx="72">
                  <c:v>41544</c:v>
                </c:pt>
                <c:pt idx="73">
                  <c:v>41545</c:v>
                </c:pt>
                <c:pt idx="74">
                  <c:v>41546</c:v>
                </c:pt>
                <c:pt idx="75">
                  <c:v>41547</c:v>
                </c:pt>
                <c:pt idx="76">
                  <c:v>41548</c:v>
                </c:pt>
                <c:pt idx="77">
                  <c:v>41549</c:v>
                </c:pt>
                <c:pt idx="78">
                  <c:v>41550</c:v>
                </c:pt>
                <c:pt idx="79">
                  <c:v>41551</c:v>
                </c:pt>
                <c:pt idx="80">
                  <c:v>41552</c:v>
                </c:pt>
                <c:pt idx="81">
                  <c:v>41553</c:v>
                </c:pt>
                <c:pt idx="82">
                  <c:v>41554</c:v>
                </c:pt>
                <c:pt idx="83">
                  <c:v>41555</c:v>
                </c:pt>
                <c:pt idx="84">
                  <c:v>41556</c:v>
                </c:pt>
                <c:pt idx="85">
                  <c:v>41557</c:v>
                </c:pt>
                <c:pt idx="86">
                  <c:v>41558</c:v>
                </c:pt>
                <c:pt idx="87">
                  <c:v>41559</c:v>
                </c:pt>
                <c:pt idx="88">
                  <c:v>41560</c:v>
                </c:pt>
                <c:pt idx="89">
                  <c:v>41561</c:v>
                </c:pt>
                <c:pt idx="90">
                  <c:v>41562</c:v>
                </c:pt>
                <c:pt idx="91">
                  <c:v>41563</c:v>
                </c:pt>
                <c:pt idx="92">
                  <c:v>41564</c:v>
                </c:pt>
                <c:pt idx="93">
                  <c:v>41565</c:v>
                </c:pt>
                <c:pt idx="94">
                  <c:v>41566</c:v>
                </c:pt>
                <c:pt idx="95">
                  <c:v>41567</c:v>
                </c:pt>
                <c:pt idx="96">
                  <c:v>41568</c:v>
                </c:pt>
                <c:pt idx="97">
                  <c:v>41569</c:v>
                </c:pt>
                <c:pt idx="98">
                  <c:v>41570</c:v>
                </c:pt>
                <c:pt idx="99">
                  <c:v>41571</c:v>
                </c:pt>
                <c:pt idx="100">
                  <c:v>41572</c:v>
                </c:pt>
                <c:pt idx="101">
                  <c:v>41573</c:v>
                </c:pt>
                <c:pt idx="102">
                  <c:v>41574</c:v>
                </c:pt>
                <c:pt idx="103">
                  <c:v>41575</c:v>
                </c:pt>
                <c:pt idx="104">
                  <c:v>41576</c:v>
                </c:pt>
                <c:pt idx="105">
                  <c:v>41577</c:v>
                </c:pt>
                <c:pt idx="106">
                  <c:v>41578</c:v>
                </c:pt>
                <c:pt idx="107">
                  <c:v>41579</c:v>
                </c:pt>
                <c:pt idx="108">
                  <c:v>41580</c:v>
                </c:pt>
                <c:pt idx="109">
                  <c:v>41581</c:v>
                </c:pt>
                <c:pt idx="110">
                  <c:v>41582</c:v>
                </c:pt>
                <c:pt idx="111">
                  <c:v>41583</c:v>
                </c:pt>
                <c:pt idx="112">
                  <c:v>41584</c:v>
                </c:pt>
                <c:pt idx="113">
                  <c:v>41585</c:v>
                </c:pt>
                <c:pt idx="114">
                  <c:v>41586</c:v>
                </c:pt>
                <c:pt idx="115">
                  <c:v>41587</c:v>
                </c:pt>
                <c:pt idx="116">
                  <c:v>41588</c:v>
                </c:pt>
                <c:pt idx="117">
                  <c:v>41589</c:v>
                </c:pt>
                <c:pt idx="118">
                  <c:v>41590</c:v>
                </c:pt>
                <c:pt idx="119">
                  <c:v>41591</c:v>
                </c:pt>
                <c:pt idx="120">
                  <c:v>41592</c:v>
                </c:pt>
                <c:pt idx="121">
                  <c:v>41593</c:v>
                </c:pt>
                <c:pt idx="122">
                  <c:v>41594</c:v>
                </c:pt>
                <c:pt idx="123">
                  <c:v>41595</c:v>
                </c:pt>
                <c:pt idx="124">
                  <c:v>41596</c:v>
                </c:pt>
                <c:pt idx="125">
                  <c:v>41597</c:v>
                </c:pt>
                <c:pt idx="126">
                  <c:v>41598</c:v>
                </c:pt>
                <c:pt idx="127">
                  <c:v>41599</c:v>
                </c:pt>
                <c:pt idx="128">
                  <c:v>41600</c:v>
                </c:pt>
                <c:pt idx="129">
                  <c:v>41601</c:v>
                </c:pt>
                <c:pt idx="130">
                  <c:v>41602</c:v>
                </c:pt>
                <c:pt idx="131">
                  <c:v>41603</c:v>
                </c:pt>
                <c:pt idx="132">
                  <c:v>41604</c:v>
                </c:pt>
                <c:pt idx="133">
                  <c:v>41605</c:v>
                </c:pt>
                <c:pt idx="134">
                  <c:v>41606</c:v>
                </c:pt>
                <c:pt idx="135">
                  <c:v>41607</c:v>
                </c:pt>
                <c:pt idx="136">
                  <c:v>41608</c:v>
                </c:pt>
                <c:pt idx="137">
                  <c:v>41609</c:v>
                </c:pt>
                <c:pt idx="138">
                  <c:v>41610</c:v>
                </c:pt>
                <c:pt idx="139">
                  <c:v>41611</c:v>
                </c:pt>
                <c:pt idx="140">
                  <c:v>41612</c:v>
                </c:pt>
                <c:pt idx="141">
                  <c:v>41613</c:v>
                </c:pt>
                <c:pt idx="142">
                  <c:v>41614</c:v>
                </c:pt>
                <c:pt idx="143">
                  <c:v>41615</c:v>
                </c:pt>
                <c:pt idx="144">
                  <c:v>41616</c:v>
                </c:pt>
                <c:pt idx="145">
                  <c:v>41617</c:v>
                </c:pt>
                <c:pt idx="146">
                  <c:v>41618</c:v>
                </c:pt>
                <c:pt idx="147">
                  <c:v>41619</c:v>
                </c:pt>
                <c:pt idx="148">
                  <c:v>41620</c:v>
                </c:pt>
                <c:pt idx="149">
                  <c:v>41621</c:v>
                </c:pt>
                <c:pt idx="150">
                  <c:v>41622</c:v>
                </c:pt>
                <c:pt idx="151">
                  <c:v>41623</c:v>
                </c:pt>
                <c:pt idx="152">
                  <c:v>41624</c:v>
                </c:pt>
                <c:pt idx="153">
                  <c:v>41625</c:v>
                </c:pt>
                <c:pt idx="154">
                  <c:v>41626</c:v>
                </c:pt>
                <c:pt idx="155">
                  <c:v>41627</c:v>
                </c:pt>
                <c:pt idx="156">
                  <c:v>41628</c:v>
                </c:pt>
                <c:pt idx="157">
                  <c:v>41629</c:v>
                </c:pt>
                <c:pt idx="158">
                  <c:v>41630</c:v>
                </c:pt>
                <c:pt idx="159">
                  <c:v>41631</c:v>
                </c:pt>
                <c:pt idx="160">
                  <c:v>41632</c:v>
                </c:pt>
                <c:pt idx="161">
                  <c:v>41633</c:v>
                </c:pt>
                <c:pt idx="162">
                  <c:v>41634</c:v>
                </c:pt>
                <c:pt idx="163">
                  <c:v>41635</c:v>
                </c:pt>
                <c:pt idx="164">
                  <c:v>41636</c:v>
                </c:pt>
                <c:pt idx="165">
                  <c:v>41637</c:v>
                </c:pt>
                <c:pt idx="166">
                  <c:v>41638</c:v>
                </c:pt>
                <c:pt idx="167">
                  <c:v>41639</c:v>
                </c:pt>
                <c:pt idx="168">
                  <c:v>41640</c:v>
                </c:pt>
                <c:pt idx="169">
                  <c:v>41641</c:v>
                </c:pt>
                <c:pt idx="170">
                  <c:v>41642</c:v>
                </c:pt>
                <c:pt idx="171">
                  <c:v>41643</c:v>
                </c:pt>
                <c:pt idx="172">
                  <c:v>41644</c:v>
                </c:pt>
                <c:pt idx="173">
                  <c:v>41645</c:v>
                </c:pt>
                <c:pt idx="174">
                  <c:v>41646</c:v>
                </c:pt>
                <c:pt idx="175">
                  <c:v>41647</c:v>
                </c:pt>
                <c:pt idx="176">
                  <c:v>41648</c:v>
                </c:pt>
                <c:pt idx="177">
                  <c:v>41649</c:v>
                </c:pt>
                <c:pt idx="178">
                  <c:v>41650</c:v>
                </c:pt>
                <c:pt idx="179">
                  <c:v>41651</c:v>
                </c:pt>
                <c:pt idx="180">
                  <c:v>41652</c:v>
                </c:pt>
                <c:pt idx="181">
                  <c:v>41653</c:v>
                </c:pt>
                <c:pt idx="182">
                  <c:v>41654</c:v>
                </c:pt>
                <c:pt idx="183">
                  <c:v>41655</c:v>
                </c:pt>
                <c:pt idx="184">
                  <c:v>41656</c:v>
                </c:pt>
                <c:pt idx="185">
                  <c:v>41657</c:v>
                </c:pt>
                <c:pt idx="186">
                  <c:v>41658</c:v>
                </c:pt>
                <c:pt idx="187">
                  <c:v>41659</c:v>
                </c:pt>
                <c:pt idx="188">
                  <c:v>41660</c:v>
                </c:pt>
                <c:pt idx="189">
                  <c:v>41661</c:v>
                </c:pt>
                <c:pt idx="190">
                  <c:v>41662</c:v>
                </c:pt>
                <c:pt idx="191">
                  <c:v>41663</c:v>
                </c:pt>
                <c:pt idx="192">
                  <c:v>41664</c:v>
                </c:pt>
                <c:pt idx="193">
                  <c:v>41665</c:v>
                </c:pt>
                <c:pt idx="194">
                  <c:v>41666</c:v>
                </c:pt>
                <c:pt idx="195">
                  <c:v>41667</c:v>
                </c:pt>
                <c:pt idx="196">
                  <c:v>41668</c:v>
                </c:pt>
                <c:pt idx="197">
                  <c:v>41669</c:v>
                </c:pt>
                <c:pt idx="198">
                  <c:v>41670</c:v>
                </c:pt>
                <c:pt idx="199">
                  <c:v>41671</c:v>
                </c:pt>
                <c:pt idx="200">
                  <c:v>41672</c:v>
                </c:pt>
                <c:pt idx="201">
                  <c:v>41673</c:v>
                </c:pt>
                <c:pt idx="202">
                  <c:v>41674</c:v>
                </c:pt>
                <c:pt idx="203">
                  <c:v>41675</c:v>
                </c:pt>
                <c:pt idx="204">
                  <c:v>41676</c:v>
                </c:pt>
                <c:pt idx="205">
                  <c:v>41677</c:v>
                </c:pt>
                <c:pt idx="206">
                  <c:v>41678</c:v>
                </c:pt>
                <c:pt idx="207">
                  <c:v>41679</c:v>
                </c:pt>
                <c:pt idx="208">
                  <c:v>41680</c:v>
                </c:pt>
                <c:pt idx="209">
                  <c:v>41681</c:v>
                </c:pt>
                <c:pt idx="210">
                  <c:v>41682</c:v>
                </c:pt>
                <c:pt idx="211">
                  <c:v>41683</c:v>
                </c:pt>
                <c:pt idx="212">
                  <c:v>41684</c:v>
                </c:pt>
                <c:pt idx="213">
                  <c:v>41685</c:v>
                </c:pt>
                <c:pt idx="214">
                  <c:v>41686</c:v>
                </c:pt>
                <c:pt idx="215">
                  <c:v>41687</c:v>
                </c:pt>
                <c:pt idx="216">
                  <c:v>41688</c:v>
                </c:pt>
                <c:pt idx="217">
                  <c:v>41689</c:v>
                </c:pt>
                <c:pt idx="218">
                  <c:v>41690</c:v>
                </c:pt>
                <c:pt idx="219">
                  <c:v>41691</c:v>
                </c:pt>
                <c:pt idx="220">
                  <c:v>41692</c:v>
                </c:pt>
                <c:pt idx="221">
                  <c:v>41693</c:v>
                </c:pt>
                <c:pt idx="222">
                  <c:v>41694</c:v>
                </c:pt>
                <c:pt idx="223">
                  <c:v>41695</c:v>
                </c:pt>
                <c:pt idx="224">
                  <c:v>41696</c:v>
                </c:pt>
                <c:pt idx="225">
                  <c:v>41697</c:v>
                </c:pt>
                <c:pt idx="226">
                  <c:v>41698</c:v>
                </c:pt>
                <c:pt idx="227">
                  <c:v>41699</c:v>
                </c:pt>
                <c:pt idx="228">
                  <c:v>41700</c:v>
                </c:pt>
                <c:pt idx="229">
                  <c:v>41701</c:v>
                </c:pt>
                <c:pt idx="230">
                  <c:v>41702</c:v>
                </c:pt>
                <c:pt idx="231">
                  <c:v>41703</c:v>
                </c:pt>
                <c:pt idx="232">
                  <c:v>41704</c:v>
                </c:pt>
                <c:pt idx="233">
                  <c:v>41705</c:v>
                </c:pt>
                <c:pt idx="234">
                  <c:v>41706</c:v>
                </c:pt>
                <c:pt idx="235">
                  <c:v>41707</c:v>
                </c:pt>
                <c:pt idx="236">
                  <c:v>41708</c:v>
                </c:pt>
                <c:pt idx="237">
                  <c:v>41709</c:v>
                </c:pt>
                <c:pt idx="238">
                  <c:v>41710</c:v>
                </c:pt>
                <c:pt idx="239">
                  <c:v>41711</c:v>
                </c:pt>
                <c:pt idx="240">
                  <c:v>41712</c:v>
                </c:pt>
                <c:pt idx="241">
                  <c:v>41713</c:v>
                </c:pt>
                <c:pt idx="242">
                  <c:v>41714</c:v>
                </c:pt>
                <c:pt idx="243">
                  <c:v>41715</c:v>
                </c:pt>
                <c:pt idx="244">
                  <c:v>41716</c:v>
                </c:pt>
                <c:pt idx="245">
                  <c:v>41717</c:v>
                </c:pt>
                <c:pt idx="246">
                  <c:v>41718</c:v>
                </c:pt>
                <c:pt idx="247">
                  <c:v>41719</c:v>
                </c:pt>
                <c:pt idx="248">
                  <c:v>41720</c:v>
                </c:pt>
                <c:pt idx="249">
                  <c:v>41721</c:v>
                </c:pt>
                <c:pt idx="250">
                  <c:v>41722</c:v>
                </c:pt>
                <c:pt idx="251">
                  <c:v>41723</c:v>
                </c:pt>
                <c:pt idx="252">
                  <c:v>41724</c:v>
                </c:pt>
                <c:pt idx="253">
                  <c:v>41725</c:v>
                </c:pt>
                <c:pt idx="254">
                  <c:v>41726</c:v>
                </c:pt>
                <c:pt idx="255">
                  <c:v>41727</c:v>
                </c:pt>
                <c:pt idx="256">
                  <c:v>41728</c:v>
                </c:pt>
                <c:pt idx="257">
                  <c:v>41729</c:v>
                </c:pt>
                <c:pt idx="258">
                  <c:v>41730</c:v>
                </c:pt>
                <c:pt idx="259">
                  <c:v>41731</c:v>
                </c:pt>
                <c:pt idx="260">
                  <c:v>41732</c:v>
                </c:pt>
                <c:pt idx="261">
                  <c:v>41733</c:v>
                </c:pt>
                <c:pt idx="262">
                  <c:v>41734</c:v>
                </c:pt>
                <c:pt idx="263">
                  <c:v>41735</c:v>
                </c:pt>
                <c:pt idx="264">
                  <c:v>41736</c:v>
                </c:pt>
                <c:pt idx="265">
                  <c:v>41737</c:v>
                </c:pt>
                <c:pt idx="266">
                  <c:v>41738</c:v>
                </c:pt>
                <c:pt idx="267">
                  <c:v>41739</c:v>
                </c:pt>
                <c:pt idx="268">
                  <c:v>41740</c:v>
                </c:pt>
                <c:pt idx="269">
                  <c:v>41741</c:v>
                </c:pt>
                <c:pt idx="270">
                  <c:v>41742</c:v>
                </c:pt>
                <c:pt idx="271">
                  <c:v>41743</c:v>
                </c:pt>
                <c:pt idx="272">
                  <c:v>41744</c:v>
                </c:pt>
                <c:pt idx="273">
                  <c:v>41745</c:v>
                </c:pt>
                <c:pt idx="274">
                  <c:v>41746</c:v>
                </c:pt>
                <c:pt idx="275">
                  <c:v>41747</c:v>
                </c:pt>
                <c:pt idx="276">
                  <c:v>41748</c:v>
                </c:pt>
                <c:pt idx="277">
                  <c:v>41749</c:v>
                </c:pt>
                <c:pt idx="278">
                  <c:v>41750</c:v>
                </c:pt>
                <c:pt idx="279">
                  <c:v>41751</c:v>
                </c:pt>
                <c:pt idx="280">
                  <c:v>41752</c:v>
                </c:pt>
                <c:pt idx="281">
                  <c:v>41753</c:v>
                </c:pt>
                <c:pt idx="282">
                  <c:v>41754</c:v>
                </c:pt>
                <c:pt idx="283">
                  <c:v>41755</c:v>
                </c:pt>
                <c:pt idx="284">
                  <c:v>41756</c:v>
                </c:pt>
                <c:pt idx="285">
                  <c:v>41757</c:v>
                </c:pt>
                <c:pt idx="286">
                  <c:v>41758</c:v>
                </c:pt>
                <c:pt idx="287">
                  <c:v>41759</c:v>
                </c:pt>
                <c:pt idx="288">
                  <c:v>41760</c:v>
                </c:pt>
                <c:pt idx="289">
                  <c:v>41761</c:v>
                </c:pt>
                <c:pt idx="290">
                  <c:v>41762</c:v>
                </c:pt>
                <c:pt idx="291">
                  <c:v>41763</c:v>
                </c:pt>
                <c:pt idx="292">
                  <c:v>41764</c:v>
                </c:pt>
                <c:pt idx="293">
                  <c:v>41765</c:v>
                </c:pt>
                <c:pt idx="294">
                  <c:v>41766</c:v>
                </c:pt>
                <c:pt idx="295">
                  <c:v>41767</c:v>
                </c:pt>
                <c:pt idx="296">
                  <c:v>41768</c:v>
                </c:pt>
                <c:pt idx="297">
                  <c:v>41769</c:v>
                </c:pt>
                <c:pt idx="298">
                  <c:v>41770</c:v>
                </c:pt>
                <c:pt idx="299">
                  <c:v>41771</c:v>
                </c:pt>
                <c:pt idx="300">
                  <c:v>41772</c:v>
                </c:pt>
                <c:pt idx="301">
                  <c:v>41773</c:v>
                </c:pt>
                <c:pt idx="302">
                  <c:v>41774</c:v>
                </c:pt>
                <c:pt idx="303">
                  <c:v>41775</c:v>
                </c:pt>
                <c:pt idx="304">
                  <c:v>41776</c:v>
                </c:pt>
                <c:pt idx="305">
                  <c:v>41777</c:v>
                </c:pt>
                <c:pt idx="306">
                  <c:v>41778</c:v>
                </c:pt>
                <c:pt idx="307">
                  <c:v>41779</c:v>
                </c:pt>
                <c:pt idx="308">
                  <c:v>41780</c:v>
                </c:pt>
                <c:pt idx="309">
                  <c:v>41781</c:v>
                </c:pt>
                <c:pt idx="310">
                  <c:v>41782</c:v>
                </c:pt>
                <c:pt idx="311">
                  <c:v>41783</c:v>
                </c:pt>
                <c:pt idx="312">
                  <c:v>41784</c:v>
                </c:pt>
                <c:pt idx="313">
                  <c:v>41785</c:v>
                </c:pt>
                <c:pt idx="314">
                  <c:v>41786</c:v>
                </c:pt>
                <c:pt idx="315">
                  <c:v>41787</c:v>
                </c:pt>
                <c:pt idx="316">
                  <c:v>41788</c:v>
                </c:pt>
                <c:pt idx="317">
                  <c:v>41789</c:v>
                </c:pt>
                <c:pt idx="318">
                  <c:v>41790</c:v>
                </c:pt>
                <c:pt idx="319">
                  <c:v>41791</c:v>
                </c:pt>
                <c:pt idx="320">
                  <c:v>41792</c:v>
                </c:pt>
                <c:pt idx="321">
                  <c:v>41793</c:v>
                </c:pt>
                <c:pt idx="322">
                  <c:v>41794</c:v>
                </c:pt>
                <c:pt idx="323">
                  <c:v>41795</c:v>
                </c:pt>
                <c:pt idx="324">
                  <c:v>41796</c:v>
                </c:pt>
                <c:pt idx="325">
                  <c:v>41797</c:v>
                </c:pt>
                <c:pt idx="326">
                  <c:v>41798</c:v>
                </c:pt>
                <c:pt idx="327">
                  <c:v>41799</c:v>
                </c:pt>
                <c:pt idx="328">
                  <c:v>41800</c:v>
                </c:pt>
                <c:pt idx="329">
                  <c:v>41801</c:v>
                </c:pt>
                <c:pt idx="330">
                  <c:v>41802</c:v>
                </c:pt>
                <c:pt idx="331">
                  <c:v>41803</c:v>
                </c:pt>
                <c:pt idx="332">
                  <c:v>41804</c:v>
                </c:pt>
                <c:pt idx="333">
                  <c:v>41805</c:v>
                </c:pt>
                <c:pt idx="334">
                  <c:v>41806</c:v>
                </c:pt>
                <c:pt idx="335">
                  <c:v>41807</c:v>
                </c:pt>
                <c:pt idx="336">
                  <c:v>41808</c:v>
                </c:pt>
                <c:pt idx="337">
                  <c:v>41809</c:v>
                </c:pt>
                <c:pt idx="338">
                  <c:v>41810</c:v>
                </c:pt>
                <c:pt idx="339">
                  <c:v>41811</c:v>
                </c:pt>
                <c:pt idx="340">
                  <c:v>41812</c:v>
                </c:pt>
                <c:pt idx="341">
                  <c:v>41813</c:v>
                </c:pt>
                <c:pt idx="342">
                  <c:v>41814</c:v>
                </c:pt>
                <c:pt idx="343">
                  <c:v>41815</c:v>
                </c:pt>
                <c:pt idx="344">
                  <c:v>41816</c:v>
                </c:pt>
                <c:pt idx="345">
                  <c:v>41817</c:v>
                </c:pt>
                <c:pt idx="346">
                  <c:v>41818</c:v>
                </c:pt>
                <c:pt idx="347">
                  <c:v>41819</c:v>
                </c:pt>
                <c:pt idx="348">
                  <c:v>41820</c:v>
                </c:pt>
                <c:pt idx="349">
                  <c:v>41821</c:v>
                </c:pt>
                <c:pt idx="350">
                  <c:v>41822</c:v>
                </c:pt>
                <c:pt idx="351">
                  <c:v>41823</c:v>
                </c:pt>
                <c:pt idx="352">
                  <c:v>41824</c:v>
                </c:pt>
                <c:pt idx="353">
                  <c:v>41825</c:v>
                </c:pt>
                <c:pt idx="354">
                  <c:v>41826</c:v>
                </c:pt>
                <c:pt idx="355">
                  <c:v>41827</c:v>
                </c:pt>
                <c:pt idx="356">
                  <c:v>41828</c:v>
                </c:pt>
                <c:pt idx="357">
                  <c:v>41829</c:v>
                </c:pt>
                <c:pt idx="358">
                  <c:v>41830</c:v>
                </c:pt>
                <c:pt idx="359">
                  <c:v>41831</c:v>
                </c:pt>
                <c:pt idx="360">
                  <c:v>41832</c:v>
                </c:pt>
                <c:pt idx="361">
                  <c:v>41833</c:v>
                </c:pt>
                <c:pt idx="362">
                  <c:v>41834</c:v>
                </c:pt>
              </c:numCache>
            </c:numRef>
          </c:cat>
          <c:val>
            <c:numRef>
              <c:f>[0]!rngPressureColumn</c:f>
              <c:numCache>
                <c:formatCode>0.0</c:formatCode>
                <c:ptCount val="363"/>
                <c:pt idx="0">
                  <c:v>1018</c:v>
                </c:pt>
                <c:pt idx="1">
                  <c:v>1016.7</c:v>
                </c:pt>
                <c:pt idx="2">
                  <c:v>1014.5</c:v>
                </c:pt>
                <c:pt idx="3">
                  <c:v>1013.9</c:v>
                </c:pt>
                <c:pt idx="4">
                  <c:v>1015.3</c:v>
                </c:pt>
                <c:pt idx="5">
                  <c:v>1015.6</c:v>
                </c:pt>
                <c:pt idx="6">
                  <c:v>1015.8</c:v>
                </c:pt>
                <c:pt idx="7">
                  <c:v>1016.7</c:v>
                </c:pt>
                <c:pt idx="8">
                  <c:v>1015.8</c:v>
                </c:pt>
                <c:pt idx="9">
                  <c:v>1012.4</c:v>
                </c:pt>
                <c:pt idx="10">
                  <c:v>1010.9</c:v>
                </c:pt>
                <c:pt idx="11">
                  <c:v>1015.5</c:v>
                </c:pt>
                <c:pt idx="12">
                  <c:v>1022.2</c:v>
                </c:pt>
                <c:pt idx="13">
                  <c:v>1020.7</c:v>
                </c:pt>
                <c:pt idx="14">
                  <c:v>1015.1</c:v>
                </c:pt>
                <c:pt idx="15">
                  <c:v>1012.1</c:v>
                </c:pt>
                <c:pt idx="16">
                  <c:v>1016.4</c:v>
                </c:pt>
                <c:pt idx="17">
                  <c:v>1019.9</c:v>
                </c:pt>
                <c:pt idx="18">
                  <c:v>1019.2</c:v>
                </c:pt>
                <c:pt idx="19">
                  <c:v>1017</c:v>
                </c:pt>
                <c:pt idx="20">
                  <c:v>1016.2</c:v>
                </c:pt>
                <c:pt idx="21">
                  <c:v>1015.6</c:v>
                </c:pt>
                <c:pt idx="22">
                  <c:v>1018.5</c:v>
                </c:pt>
                <c:pt idx="23">
                  <c:v>1019.3</c:v>
                </c:pt>
                <c:pt idx="24">
                  <c:v>1016.5</c:v>
                </c:pt>
                <c:pt idx="25">
                  <c:v>1014.5</c:v>
                </c:pt>
                <c:pt idx="26">
                  <c:v>1013.8</c:v>
                </c:pt>
                <c:pt idx="27">
                  <c:v>1013.9</c:v>
                </c:pt>
                <c:pt idx="28">
                  <c:v>1014.5</c:v>
                </c:pt>
                <c:pt idx="29">
                  <c:v>1016.3</c:v>
                </c:pt>
                <c:pt idx="30">
                  <c:v>1018.7</c:v>
                </c:pt>
                <c:pt idx="31">
                  <c:v>1017.5</c:v>
                </c:pt>
                <c:pt idx="32">
                  <c:v>1016.4</c:v>
                </c:pt>
                <c:pt idx="33">
                  <c:v>1017.1</c:v>
                </c:pt>
                <c:pt idx="34">
                  <c:v>1015.8</c:v>
                </c:pt>
                <c:pt idx="35">
                  <c:v>1016.9</c:v>
                </c:pt>
                <c:pt idx="36">
                  <c:v>1016.1</c:v>
                </c:pt>
                <c:pt idx="37">
                  <c:v>1016.1</c:v>
                </c:pt>
                <c:pt idx="38">
                  <c:v>1014.7</c:v>
                </c:pt>
                <c:pt idx="39">
                  <c:v>1011</c:v>
                </c:pt>
                <c:pt idx="40">
                  <c:v>1007.8</c:v>
                </c:pt>
                <c:pt idx="41">
                  <c:v>1010.3</c:v>
                </c:pt>
                <c:pt idx="42">
                  <c:v>1012.1</c:v>
                </c:pt>
                <c:pt idx="43">
                  <c:v>1014.3</c:v>
                </c:pt>
                <c:pt idx="44">
                  <c:v>1017.1</c:v>
                </c:pt>
                <c:pt idx="45">
                  <c:v>1019</c:v>
                </c:pt>
                <c:pt idx="46">
                  <c:v>1017.7</c:v>
                </c:pt>
                <c:pt idx="47">
                  <c:v>1018.9</c:v>
                </c:pt>
                <c:pt idx="48">
                  <c:v>1018.8</c:v>
                </c:pt>
                <c:pt idx="49">
                  <c:v>1015.4</c:v>
                </c:pt>
                <c:pt idx="50">
                  <c:v>1013</c:v>
                </c:pt>
                <c:pt idx="51">
                  <c:v>1012.7</c:v>
                </c:pt>
                <c:pt idx="52">
                  <c:v>1013.8</c:v>
                </c:pt>
                <c:pt idx="53">
                  <c:v>1019.1</c:v>
                </c:pt>
                <c:pt idx="54">
                  <c:v>1020</c:v>
                </c:pt>
                <c:pt idx="55">
                  <c:v>1020</c:v>
                </c:pt>
                <c:pt idx="56">
                  <c:v>1019.1</c:v>
                </c:pt>
                <c:pt idx="57">
                  <c:v>1016.1</c:v>
                </c:pt>
                <c:pt idx="58">
                  <c:v>1018.1</c:v>
                </c:pt>
                <c:pt idx="59">
                  <c:v>1017.9</c:v>
                </c:pt>
                <c:pt idx="60">
                  <c:v>1015.5</c:v>
                </c:pt>
                <c:pt idx="61">
                  <c:v>1014.2</c:v>
                </c:pt>
                <c:pt idx="62">
                  <c:v>1013.9</c:v>
                </c:pt>
                <c:pt idx="63">
                  <c:v>1015.2</c:v>
                </c:pt>
                <c:pt idx="64">
                  <c:v>1015.1</c:v>
                </c:pt>
                <c:pt idx="65">
                  <c:v>1015.4</c:v>
                </c:pt>
                <c:pt idx="66">
                  <c:v>1017.1</c:v>
                </c:pt>
                <c:pt idx="67">
                  <c:v>1017.6</c:v>
                </c:pt>
                <c:pt idx="68">
                  <c:v>1015.4</c:v>
                </c:pt>
                <c:pt idx="69">
                  <c:v>1013.3</c:v>
                </c:pt>
                <c:pt idx="70">
                  <c:v>1011</c:v>
                </c:pt>
                <c:pt idx="71">
                  <c:v>1009.1</c:v>
                </c:pt>
                <c:pt idx="72">
                  <c:v>1004.7</c:v>
                </c:pt>
                <c:pt idx="73">
                  <c:v>1004.2</c:v>
                </c:pt>
                <c:pt idx="74">
                  <c:v>1008.3</c:v>
                </c:pt>
                <c:pt idx="75">
                  <c:v>1008</c:v>
                </c:pt>
                <c:pt idx="76">
                  <c:v>1007.8</c:v>
                </c:pt>
                <c:pt idx="77">
                  <c:v>1006.2</c:v>
                </c:pt>
                <c:pt idx="78">
                  <c:v>1008</c:v>
                </c:pt>
                <c:pt idx="79">
                  <c:v>1015.9</c:v>
                </c:pt>
                <c:pt idx="80">
                  <c:v>1021.3</c:v>
                </c:pt>
                <c:pt idx="81">
                  <c:v>1019.8</c:v>
                </c:pt>
                <c:pt idx="82">
                  <c:v>1018.2</c:v>
                </c:pt>
                <c:pt idx="83">
                  <c:v>1018</c:v>
                </c:pt>
                <c:pt idx="84">
                  <c:v>1016.1</c:v>
                </c:pt>
                <c:pt idx="85">
                  <c:v>1013.7</c:v>
                </c:pt>
                <c:pt idx="86">
                  <c:v>1012.4</c:v>
                </c:pt>
                <c:pt idx="87">
                  <c:v>1015.1</c:v>
                </c:pt>
                <c:pt idx="88">
                  <c:v>1018.9</c:v>
                </c:pt>
                <c:pt idx="89">
                  <c:v>1017.9</c:v>
                </c:pt>
                <c:pt idx="90">
                  <c:v>1018.7</c:v>
                </c:pt>
                <c:pt idx="91">
                  <c:v>1019.8</c:v>
                </c:pt>
                <c:pt idx="92">
                  <c:v>1014.8</c:v>
                </c:pt>
                <c:pt idx="93">
                  <c:v>1010</c:v>
                </c:pt>
                <c:pt idx="94">
                  <c:v>1012</c:v>
                </c:pt>
                <c:pt idx="95">
                  <c:v>1015</c:v>
                </c:pt>
                <c:pt idx="96">
                  <c:v>1009.8</c:v>
                </c:pt>
                <c:pt idx="97">
                  <c:v>1004.3</c:v>
                </c:pt>
                <c:pt idx="98">
                  <c:v>1010.2</c:v>
                </c:pt>
                <c:pt idx="99">
                  <c:v>1005.7</c:v>
                </c:pt>
                <c:pt idx="100">
                  <c:v>1007.3</c:v>
                </c:pt>
                <c:pt idx="101">
                  <c:v>1015.9</c:v>
                </c:pt>
                <c:pt idx="102">
                  <c:v>1020</c:v>
                </c:pt>
                <c:pt idx="103">
                  <c:v>1017.9</c:v>
                </c:pt>
                <c:pt idx="104">
                  <c:v>1021</c:v>
                </c:pt>
                <c:pt idx="105">
                  <c:v>1021</c:v>
                </c:pt>
                <c:pt idx="106">
                  <c:v>1021.1</c:v>
                </c:pt>
                <c:pt idx="107">
                  <c:v>1019.8</c:v>
                </c:pt>
                <c:pt idx="108">
                  <c:v>1017</c:v>
                </c:pt>
                <c:pt idx="109">
                  <c:v>1019.2</c:v>
                </c:pt>
                <c:pt idx="110">
                  <c:v>1017.9</c:v>
                </c:pt>
                <c:pt idx="111">
                  <c:v>1020.2</c:v>
                </c:pt>
                <c:pt idx="112">
                  <c:v>1019</c:v>
                </c:pt>
                <c:pt idx="113">
                  <c:v>1017.4</c:v>
                </c:pt>
                <c:pt idx="114">
                  <c:v>1019.2</c:v>
                </c:pt>
                <c:pt idx="115">
                  <c:v>1025.0999999999999</c:v>
                </c:pt>
                <c:pt idx="116">
                  <c:v>1027.2</c:v>
                </c:pt>
                <c:pt idx="117">
                  <c:v>1023.9</c:v>
                </c:pt>
                <c:pt idx="118">
                  <c:v>1020.2</c:v>
                </c:pt>
                <c:pt idx="119">
                  <c:v>1019.2</c:v>
                </c:pt>
                <c:pt idx="120">
                  <c:v>1023.8</c:v>
                </c:pt>
                <c:pt idx="121">
                  <c:v>1020.8</c:v>
                </c:pt>
                <c:pt idx="122">
                  <c:v>1016</c:v>
                </c:pt>
                <c:pt idx="123">
                  <c:v>1013.8</c:v>
                </c:pt>
                <c:pt idx="124">
                  <c:v>1010.7</c:v>
                </c:pt>
                <c:pt idx="125">
                  <c:v>1013.3</c:v>
                </c:pt>
                <c:pt idx="126">
                  <c:v>1017.3</c:v>
                </c:pt>
                <c:pt idx="127">
                  <c:v>1013.3</c:v>
                </c:pt>
                <c:pt idx="128">
                  <c:v>1008.1</c:v>
                </c:pt>
                <c:pt idx="129">
                  <c:v>1010.8</c:v>
                </c:pt>
                <c:pt idx="130">
                  <c:v>1015.4</c:v>
                </c:pt>
                <c:pt idx="131">
                  <c:v>1019.7</c:v>
                </c:pt>
                <c:pt idx="132">
                  <c:v>1019.2</c:v>
                </c:pt>
                <c:pt idx="133">
                  <c:v>1018</c:v>
                </c:pt>
                <c:pt idx="134">
                  <c:v>1019.9</c:v>
                </c:pt>
                <c:pt idx="135">
                  <c:v>1022.8</c:v>
                </c:pt>
                <c:pt idx="136">
                  <c:v>1018.3</c:v>
                </c:pt>
                <c:pt idx="137">
                  <c:v>1016.2</c:v>
                </c:pt>
                <c:pt idx="138">
                  <c:v>1016.9</c:v>
                </c:pt>
                <c:pt idx="139">
                  <c:v>1020.1</c:v>
                </c:pt>
                <c:pt idx="140">
                  <c:v>1022.5</c:v>
                </c:pt>
                <c:pt idx="141">
                  <c:v>1023.7</c:v>
                </c:pt>
                <c:pt idx="142">
                  <c:v>1021.3</c:v>
                </c:pt>
                <c:pt idx="143">
                  <c:v>1021</c:v>
                </c:pt>
                <c:pt idx="144">
                  <c:v>1022.3</c:v>
                </c:pt>
                <c:pt idx="145">
                  <c:v>1023.9</c:v>
                </c:pt>
                <c:pt idx="146">
                  <c:v>1021.7</c:v>
                </c:pt>
                <c:pt idx="147">
                  <c:v>1020.3</c:v>
                </c:pt>
                <c:pt idx="148">
                  <c:v>1023</c:v>
                </c:pt>
                <c:pt idx="149">
                  <c:v>1024.3</c:v>
                </c:pt>
                <c:pt idx="150">
                  <c:v>1027.0999999999999</c:v>
                </c:pt>
                <c:pt idx="151">
                  <c:v>1027.2</c:v>
                </c:pt>
                <c:pt idx="152">
                  <c:v>1023.1</c:v>
                </c:pt>
                <c:pt idx="153">
                  <c:v>1022.9</c:v>
                </c:pt>
                <c:pt idx="154">
                  <c:v>1022.5</c:v>
                </c:pt>
                <c:pt idx="155">
                  <c:v>1018.3</c:v>
                </c:pt>
                <c:pt idx="156">
                  <c:v>1028.3</c:v>
                </c:pt>
                <c:pt idx="157">
                  <c:v>1029.4000000000001</c:v>
                </c:pt>
                <c:pt idx="158">
                  <c:v>1028</c:v>
                </c:pt>
                <c:pt idx="159">
                  <c:v>1020.8</c:v>
                </c:pt>
                <c:pt idx="160">
                  <c:v>1005.1</c:v>
                </c:pt>
                <c:pt idx="161">
                  <c:v>1002.8</c:v>
                </c:pt>
                <c:pt idx="162">
                  <c:v>1014.9</c:v>
                </c:pt>
                <c:pt idx="163">
                  <c:v>1011.3</c:v>
                </c:pt>
                <c:pt idx="164">
                  <c:v>1018</c:v>
                </c:pt>
                <c:pt idx="165">
                  <c:v>1026.2</c:v>
                </c:pt>
                <c:pt idx="166">
                  <c:v>1023.5</c:v>
                </c:pt>
                <c:pt idx="167">
                  <c:v>1017.2</c:v>
                </c:pt>
                <c:pt idx="168">
                  <c:v>1013.5</c:v>
                </c:pt>
                <c:pt idx="169">
                  <c:v>1010.8</c:v>
                </c:pt>
                <c:pt idx="170">
                  <c:v>1015.4</c:v>
                </c:pt>
                <c:pt idx="171">
                  <c:v>1014.9</c:v>
                </c:pt>
                <c:pt idx="172">
                  <c:v>1018.9</c:v>
                </c:pt>
                <c:pt idx="173">
                  <c:v>1013.3</c:v>
                </c:pt>
                <c:pt idx="174">
                  <c:v>1013.8</c:v>
                </c:pt>
                <c:pt idx="175">
                  <c:v>1013.4</c:v>
                </c:pt>
                <c:pt idx="176">
                  <c:v>1013.5</c:v>
                </c:pt>
                <c:pt idx="177">
                  <c:v>1012.3</c:v>
                </c:pt>
                <c:pt idx="178">
                  <c:v>1014.6</c:v>
                </c:pt>
                <c:pt idx="179">
                  <c:v>1019.2</c:v>
                </c:pt>
                <c:pt idx="180">
                  <c:v>1020.7</c:v>
                </c:pt>
                <c:pt idx="181">
                  <c:v>1018.5</c:v>
                </c:pt>
                <c:pt idx="182">
                  <c:v>1013.4</c:v>
                </c:pt>
                <c:pt idx="183">
                  <c:v>1008.3</c:v>
                </c:pt>
                <c:pt idx="184">
                  <c:v>994.9</c:v>
                </c:pt>
                <c:pt idx="185">
                  <c:v>994.4</c:v>
                </c:pt>
                <c:pt idx="186">
                  <c:v>1005.6</c:v>
                </c:pt>
                <c:pt idx="187">
                  <c:v>1016.3</c:v>
                </c:pt>
                <c:pt idx="188">
                  <c:v>1013.8</c:v>
                </c:pt>
                <c:pt idx="189">
                  <c:v>1016.8</c:v>
                </c:pt>
                <c:pt idx="190">
                  <c:v>1025.9000000000001</c:v>
                </c:pt>
                <c:pt idx="191">
                  <c:v>1029.0999999999999</c:v>
                </c:pt>
                <c:pt idx="192">
                  <c:v>1027.9000000000001</c:v>
                </c:pt>
                <c:pt idx="193">
                  <c:v>1022.8</c:v>
                </c:pt>
                <c:pt idx="194">
                  <c:v>1019.3</c:v>
                </c:pt>
                <c:pt idx="195">
                  <c:v>1009.6</c:v>
                </c:pt>
                <c:pt idx="196">
                  <c:v>1003.7</c:v>
                </c:pt>
                <c:pt idx="197">
                  <c:v>1012.8</c:v>
                </c:pt>
                <c:pt idx="198">
                  <c:v>1012.3</c:v>
                </c:pt>
                <c:pt idx="199">
                  <c:v>1015</c:v>
                </c:pt>
                <c:pt idx="200">
                  <c:v>1017.2</c:v>
                </c:pt>
                <c:pt idx="201">
                  <c:v>1009.5</c:v>
                </c:pt>
                <c:pt idx="202">
                  <c:v>1006.6</c:v>
                </c:pt>
                <c:pt idx="203">
                  <c:v>1009</c:v>
                </c:pt>
                <c:pt idx="204">
                  <c:v>1005.5</c:v>
                </c:pt>
                <c:pt idx="205">
                  <c:v>1014.3</c:v>
                </c:pt>
                <c:pt idx="206">
                  <c:v>1009.9</c:v>
                </c:pt>
                <c:pt idx="207">
                  <c:v>1000.2</c:v>
                </c:pt>
                <c:pt idx="208">
                  <c:v>1014.8</c:v>
                </c:pt>
                <c:pt idx="209">
                  <c:v>1012.9</c:v>
                </c:pt>
                <c:pt idx="210">
                  <c:v>1015.5</c:v>
                </c:pt>
                <c:pt idx="211">
                  <c:v>1015.9</c:v>
                </c:pt>
                <c:pt idx="212">
                  <c:v>1007.5</c:v>
                </c:pt>
                <c:pt idx="213">
                  <c:v>1011.1</c:v>
                </c:pt>
                <c:pt idx="214">
                  <c:v>1016.6</c:v>
                </c:pt>
                <c:pt idx="215">
                  <c:v>1008.5</c:v>
                </c:pt>
                <c:pt idx="216">
                  <c:v>1015</c:v>
                </c:pt>
                <c:pt idx="217">
                  <c:v>1021.1</c:v>
                </c:pt>
                <c:pt idx="218">
                  <c:v>1020.1</c:v>
                </c:pt>
                <c:pt idx="219">
                  <c:v>1021.6</c:v>
                </c:pt>
                <c:pt idx="220">
                  <c:v>1021.4</c:v>
                </c:pt>
                <c:pt idx="221">
                  <c:v>1010.6</c:v>
                </c:pt>
                <c:pt idx="222">
                  <c:v>1013.7</c:v>
                </c:pt>
                <c:pt idx="223">
                  <c:v>1019.7</c:v>
                </c:pt>
                <c:pt idx="224">
                  <c:v>1026.0999999999999</c:v>
                </c:pt>
                <c:pt idx="225">
                  <c:v>1027.5999999999999</c:v>
                </c:pt>
                <c:pt idx="226">
                  <c:v>1024.0999999999999</c:v>
                </c:pt>
                <c:pt idx="227">
                  <c:v>1012.4</c:v>
                </c:pt>
                <c:pt idx="228">
                  <c:v>1010.5</c:v>
                </c:pt>
                <c:pt idx="229">
                  <c:v>1015.3</c:v>
                </c:pt>
                <c:pt idx="230">
                  <c:v>1018.9</c:v>
                </c:pt>
                <c:pt idx="231">
                  <c:v>1018.7</c:v>
                </c:pt>
                <c:pt idx="232">
                  <c:v>1018.1</c:v>
                </c:pt>
                <c:pt idx="233">
                  <c:v>1017.7</c:v>
                </c:pt>
                <c:pt idx="234">
                  <c:v>1014.9</c:v>
                </c:pt>
                <c:pt idx="235">
                  <c:v>1014.9</c:v>
                </c:pt>
                <c:pt idx="236">
                  <c:v>1016</c:v>
                </c:pt>
                <c:pt idx="237">
                  <c:v>1015.2</c:v>
                </c:pt>
                <c:pt idx="238">
                  <c:v>1018.8</c:v>
                </c:pt>
                <c:pt idx="239">
                  <c:v>1021</c:v>
                </c:pt>
                <c:pt idx="240">
                  <c:v>1023.7</c:v>
                </c:pt>
                <c:pt idx="241">
                  <c:v>1025.3</c:v>
                </c:pt>
                <c:pt idx="242">
                  <c:v>1022</c:v>
                </c:pt>
                <c:pt idx="243">
                  <c:v>1020.4</c:v>
                </c:pt>
                <c:pt idx="244">
                  <c:v>1020</c:v>
                </c:pt>
                <c:pt idx="245">
                  <c:v>1016.9</c:v>
                </c:pt>
                <c:pt idx="246">
                  <c:v>1017.8</c:v>
                </c:pt>
                <c:pt idx="247">
                  <c:v>1018</c:v>
                </c:pt>
                <c:pt idx="248">
                  <c:v>1017.9</c:v>
                </c:pt>
                <c:pt idx="249">
                  <c:v>1019.6</c:v>
                </c:pt>
                <c:pt idx="250">
                  <c:v>1020.2</c:v>
                </c:pt>
                <c:pt idx="251">
                  <c:v>1024.8</c:v>
                </c:pt>
                <c:pt idx="252">
                  <c:v>1020.2</c:v>
                </c:pt>
                <c:pt idx="253">
                  <c:v>1007.6</c:v>
                </c:pt>
                <c:pt idx="254">
                  <c:v>1000.4</c:v>
                </c:pt>
                <c:pt idx="255">
                  <c:v>1002.1</c:v>
                </c:pt>
                <c:pt idx="256">
                  <c:v>1005.2</c:v>
                </c:pt>
                <c:pt idx="257">
                  <c:v>1004</c:v>
                </c:pt>
                <c:pt idx="258">
                  <c:v>997.6</c:v>
                </c:pt>
                <c:pt idx="259">
                  <c:v>996.5</c:v>
                </c:pt>
                <c:pt idx="260">
                  <c:v>1005.2</c:v>
                </c:pt>
                <c:pt idx="261">
                  <c:v>1014.8</c:v>
                </c:pt>
                <c:pt idx="262">
                  <c:v>1018.2</c:v>
                </c:pt>
                <c:pt idx="263">
                  <c:v>1016.8</c:v>
                </c:pt>
                <c:pt idx="264">
                  <c:v>1016.8</c:v>
                </c:pt>
                <c:pt idx="265">
                  <c:v>1017.5</c:v>
                </c:pt>
                <c:pt idx="266">
                  <c:v>1013.3</c:v>
                </c:pt>
                <c:pt idx="267">
                  <c:v>1012.5</c:v>
                </c:pt>
                <c:pt idx="268">
                  <c:v>1011.8</c:v>
                </c:pt>
                <c:pt idx="269">
                  <c:v>1012.8</c:v>
                </c:pt>
                <c:pt idx="270">
                  <c:v>1015.6</c:v>
                </c:pt>
                <c:pt idx="271">
                  <c:v>1011.5</c:v>
                </c:pt>
                <c:pt idx="272">
                  <c:v>1012</c:v>
                </c:pt>
                <c:pt idx="273">
                  <c:v>1016.1</c:v>
                </c:pt>
                <c:pt idx="274">
                  <c:v>1015.6</c:v>
                </c:pt>
                <c:pt idx="275">
                  <c:v>1014</c:v>
                </c:pt>
                <c:pt idx="276">
                  <c:v>1008</c:v>
                </c:pt>
                <c:pt idx="277">
                  <c:v>1001.9</c:v>
                </c:pt>
                <c:pt idx="278">
                  <c:v>1003.3</c:v>
                </c:pt>
                <c:pt idx="279">
                  <c:v>1012.2</c:v>
                </c:pt>
                <c:pt idx="280">
                  <c:v>1017.4</c:v>
                </c:pt>
                <c:pt idx="281">
                  <c:v>1017.7</c:v>
                </c:pt>
                <c:pt idx="282">
                  <c:v>1020.9</c:v>
                </c:pt>
                <c:pt idx="283">
                  <c:v>1018.7</c:v>
                </c:pt>
                <c:pt idx="284">
                  <c:v>1019.6</c:v>
                </c:pt>
                <c:pt idx="285">
                  <c:v>1017.6</c:v>
                </c:pt>
                <c:pt idx="286">
                  <c:v>1016.1</c:v>
                </c:pt>
                <c:pt idx="287">
                  <c:v>1015.4</c:v>
                </c:pt>
                <c:pt idx="288">
                  <c:v>1016.4</c:v>
                </c:pt>
                <c:pt idx="289">
                  <c:v>1015.4</c:v>
                </c:pt>
                <c:pt idx="290">
                  <c:v>1013.7</c:v>
                </c:pt>
                <c:pt idx="291">
                  <c:v>1011.3</c:v>
                </c:pt>
                <c:pt idx="292">
                  <c:v>1011.4</c:v>
                </c:pt>
                <c:pt idx="293">
                  <c:v>1014.7</c:v>
                </c:pt>
                <c:pt idx="294">
                  <c:v>1018</c:v>
                </c:pt>
                <c:pt idx="295">
                  <c:v>1019.5</c:v>
                </c:pt>
                <c:pt idx="296">
                  <c:v>1019.5</c:v>
                </c:pt>
                <c:pt idx="297">
                  <c:v>1019.8</c:v>
                </c:pt>
                <c:pt idx="298">
                  <c:v>1018.5</c:v>
                </c:pt>
                <c:pt idx="299">
                  <c:v>1015.7</c:v>
                </c:pt>
                <c:pt idx="300">
                  <c:v>1017</c:v>
                </c:pt>
                <c:pt idx="301">
                  <c:v>1016.9</c:v>
                </c:pt>
                <c:pt idx="302">
                  <c:v>1014.7</c:v>
                </c:pt>
                <c:pt idx="303">
                  <c:v>1011.8</c:v>
                </c:pt>
                <c:pt idx="304">
                  <c:v>1009.8</c:v>
                </c:pt>
                <c:pt idx="305">
                  <c:v>1008</c:v>
                </c:pt>
                <c:pt idx="306">
                  <c:v>1004.8</c:v>
                </c:pt>
                <c:pt idx="307">
                  <c:v>1003.2</c:v>
                </c:pt>
                <c:pt idx="308">
                  <c:v>1002.6</c:v>
                </c:pt>
                <c:pt idx="309">
                  <c:v>1011.6</c:v>
                </c:pt>
                <c:pt idx="310">
                  <c:v>1015.7</c:v>
                </c:pt>
                <c:pt idx="311">
                  <c:v>1015</c:v>
                </c:pt>
                <c:pt idx="312">
                  <c:v>1016.5</c:v>
                </c:pt>
                <c:pt idx="313">
                  <c:v>1019.8</c:v>
                </c:pt>
                <c:pt idx="314">
                  <c:v>1017.8</c:v>
                </c:pt>
                <c:pt idx="315">
                  <c:v>1017.2</c:v>
                </c:pt>
                <c:pt idx="316">
                  <c:v>1018.6</c:v>
                </c:pt>
                <c:pt idx="317">
                  <c:v>1019.1</c:v>
                </c:pt>
                <c:pt idx="318">
                  <c:v>1017.2</c:v>
                </c:pt>
                <c:pt idx="319">
                  <c:v>1018.2</c:v>
                </c:pt>
                <c:pt idx="320">
                  <c:v>1019.3</c:v>
                </c:pt>
                <c:pt idx="321">
                  <c:v>1018</c:v>
                </c:pt>
                <c:pt idx="322">
                  <c:v>1015.3</c:v>
                </c:pt>
                <c:pt idx="323">
                  <c:v>1010</c:v>
                </c:pt>
                <c:pt idx="324">
                  <c:v>1006.8</c:v>
                </c:pt>
                <c:pt idx="325">
                  <c:v>1012</c:v>
                </c:pt>
                <c:pt idx="326">
                  <c:v>1016.3</c:v>
                </c:pt>
                <c:pt idx="327">
                  <c:v>1016.9</c:v>
                </c:pt>
                <c:pt idx="328">
                  <c:v>1016.8</c:v>
                </c:pt>
                <c:pt idx="329">
                  <c:v>1017.3</c:v>
                </c:pt>
                <c:pt idx="330">
                  <c:v>1017.9</c:v>
                </c:pt>
                <c:pt idx="331">
                  <c:v>1017.7</c:v>
                </c:pt>
                <c:pt idx="332">
                  <c:v>1013.5</c:v>
                </c:pt>
                <c:pt idx="333">
                  <c:v>1011.5</c:v>
                </c:pt>
                <c:pt idx="334">
                  <c:v>1011.1</c:v>
                </c:pt>
                <c:pt idx="335">
                  <c:v>1012.4</c:v>
                </c:pt>
                <c:pt idx="336">
                  <c:v>1014.7</c:v>
                </c:pt>
                <c:pt idx="337">
                  <c:v>1015</c:v>
                </c:pt>
                <c:pt idx="338">
                  <c:v>1013.3</c:v>
                </c:pt>
                <c:pt idx="339">
                  <c:v>1013</c:v>
                </c:pt>
                <c:pt idx="340">
                  <c:v>1015.6</c:v>
                </c:pt>
                <c:pt idx="341">
                  <c:v>1015.5</c:v>
                </c:pt>
                <c:pt idx="342">
                  <c:v>1015.2</c:v>
                </c:pt>
                <c:pt idx="343">
                  <c:v>1016.8</c:v>
                </c:pt>
                <c:pt idx="344">
                  <c:v>1016.9</c:v>
                </c:pt>
                <c:pt idx="345">
                  <c:v>1017.1</c:v>
                </c:pt>
                <c:pt idx="346">
                  <c:v>1016.4</c:v>
                </c:pt>
                <c:pt idx="347">
                  <c:v>1020.4</c:v>
                </c:pt>
                <c:pt idx="348">
                  <c:v>1018.4</c:v>
                </c:pt>
                <c:pt idx="349">
                  <c:v>1015.6</c:v>
                </c:pt>
                <c:pt idx="350">
                  <c:v>1015.6</c:v>
                </c:pt>
                <c:pt idx="351">
                  <c:v>1016</c:v>
                </c:pt>
                <c:pt idx="352">
                  <c:v>1017.9</c:v>
                </c:pt>
                <c:pt idx="353">
                  <c:v>1016.6</c:v>
                </c:pt>
                <c:pt idx="354">
                  <c:v>1015.2</c:v>
                </c:pt>
                <c:pt idx="355">
                  <c:v>1019.4</c:v>
                </c:pt>
                <c:pt idx="356">
                  <c:v>1019.4</c:v>
                </c:pt>
                <c:pt idx="357">
                  <c:v>1015</c:v>
                </c:pt>
                <c:pt idx="358">
                  <c:v>1015.1</c:v>
                </c:pt>
                <c:pt idx="359">
                  <c:v>1015.9</c:v>
                </c:pt>
                <c:pt idx="360">
                  <c:v>1015.6</c:v>
                </c:pt>
                <c:pt idx="361">
                  <c:v>1017</c:v>
                </c:pt>
                <c:pt idx="362">
                  <c:v>1016.3</c:v>
                </c:pt>
              </c:numCache>
            </c:numRef>
          </c:val>
        </c:ser>
        <c:marker val="1"/>
        <c:axId val="137080192"/>
        <c:axId val="137094272"/>
      </c:lineChart>
      <c:dateAx>
        <c:axId val="137080192"/>
        <c:scaling>
          <c:orientation val="minMax"/>
        </c:scaling>
        <c:axPos val="b"/>
        <c:numFmt formatCode="dd/mm/yyyy" sourceLinked="1"/>
        <c:tickLblPos val="nextTo"/>
        <c:crossAx val="137094272"/>
        <c:crosses val="autoZero"/>
        <c:auto val="1"/>
        <c:lblOffset val="100"/>
      </c:dateAx>
      <c:valAx>
        <c:axId val="137094272"/>
        <c:scaling>
          <c:orientation val="minMax"/>
        </c:scaling>
        <c:axPos val="l"/>
        <c:numFmt formatCode="0.0" sourceLinked="1"/>
        <c:tickLblPos val="nextTo"/>
        <c:crossAx val="137080192"/>
        <c:crosses val="autoZero"/>
        <c:crossBetween val="between"/>
      </c:valAx>
    </c:plotArea>
    <c:plotVisOnly val="1"/>
  </c:chart>
  <c:spPr>
    <a:noFill/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19051</xdr:rowOff>
    </xdr:from>
    <xdr:to>
      <xdr:col>19</xdr:col>
      <xdr:colOff>19050</xdr:colOff>
      <xdr:row>18</xdr:row>
      <xdr:rowOff>152400</xdr:rowOff>
    </xdr:to>
    <xdr:graphicFrame macro="">
      <xdr:nvGraphicFramePr>
        <xdr:cNvPr id="2" name="myCompas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771524</xdr:colOff>
      <xdr:row>0</xdr:row>
      <xdr:rowOff>161924</xdr:rowOff>
    </xdr:from>
    <xdr:to>
      <xdr:col>29</xdr:col>
      <xdr:colOff>486074</xdr:colOff>
      <xdr:row>20</xdr:row>
      <xdr:rowOff>134849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0</xdr:row>
      <xdr:rowOff>161924</xdr:rowOff>
    </xdr:from>
    <xdr:to>
      <xdr:col>37</xdr:col>
      <xdr:colOff>486075</xdr:colOff>
      <xdr:row>20</xdr:row>
      <xdr:rowOff>134849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66675</xdr:colOff>
      <xdr:row>22</xdr:row>
      <xdr:rowOff>28574</xdr:rowOff>
    </xdr:from>
    <xdr:to>
      <xdr:col>21</xdr:col>
      <xdr:colOff>562275</xdr:colOff>
      <xdr:row>42</xdr:row>
      <xdr:rowOff>30074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771524</xdr:colOff>
      <xdr:row>21</xdr:row>
      <xdr:rowOff>161924</xdr:rowOff>
    </xdr:from>
    <xdr:to>
      <xdr:col>29</xdr:col>
      <xdr:colOff>486074</xdr:colOff>
      <xdr:row>42</xdr:row>
      <xdr:rowOff>1499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21</xdr:row>
      <xdr:rowOff>161924</xdr:rowOff>
    </xdr:from>
    <xdr:to>
      <xdr:col>37</xdr:col>
      <xdr:colOff>486075</xdr:colOff>
      <xdr:row>42</xdr:row>
      <xdr:rowOff>1499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</sheetPr>
  <dimension ref="A1:N325"/>
  <sheetViews>
    <sheetView zoomScale="85" zoomScaleNormal="85" workbookViewId="0"/>
  </sheetViews>
  <sheetFormatPr defaultRowHeight="12.75"/>
  <cols>
    <col min="1" max="1" width="12.28515625" bestFit="1" customWidth="1"/>
    <col min="2" max="2" width="9.7109375" style="6" bestFit="1" customWidth="1"/>
    <col min="3" max="3" width="14.28515625" bestFit="1" customWidth="1"/>
    <col min="4" max="4" width="16.7109375" bestFit="1" customWidth="1"/>
    <col min="5" max="5" width="13.7109375" bestFit="1" customWidth="1"/>
    <col min="6" max="6" width="10.85546875" bestFit="1" customWidth="1"/>
    <col min="7" max="7" width="11.85546875" bestFit="1" customWidth="1"/>
    <col min="8" max="8" width="16.28515625" bestFit="1" customWidth="1"/>
    <col min="9" max="9" width="12.5703125" bestFit="1" customWidth="1"/>
    <col min="10" max="10" width="15.42578125" bestFit="1" customWidth="1"/>
    <col min="11" max="11" width="10" bestFit="1" customWidth="1"/>
    <col min="12" max="12" width="16.7109375" bestFit="1" customWidth="1"/>
  </cols>
  <sheetData>
    <row r="1" spans="1:14">
      <c r="A1" s="1" t="s">
        <v>0</v>
      </c>
      <c r="B1" s="5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426</v>
      </c>
      <c r="N1" s="22"/>
    </row>
    <row r="2" spans="1:14">
      <c r="A2" t="s">
        <v>59</v>
      </c>
      <c r="B2" s="6" t="s">
        <v>428</v>
      </c>
      <c r="C2" t="s">
        <v>15</v>
      </c>
      <c r="D2" t="s">
        <v>20</v>
      </c>
      <c r="E2" t="s">
        <v>28</v>
      </c>
      <c r="F2" t="s">
        <v>17</v>
      </c>
      <c r="G2" t="s">
        <v>42</v>
      </c>
      <c r="H2" t="s">
        <v>60</v>
      </c>
      <c r="I2" t="s">
        <v>61</v>
      </c>
      <c r="J2" t="s">
        <v>23</v>
      </c>
      <c r="K2">
        <f>LEN(A2&amp;B2&amp;C2&amp;D2&amp;E2&amp;F2&amp;G2&amp;H2&amp;I2&amp;J2)</f>
        <v>76</v>
      </c>
      <c r="L2">
        <f>IFERROR(IF(OR(NOT(AND(LEFT(A2,2)="D:",IFERROR(VALUE(RIGHT(A2,LEN(A2)-2))&gt;=0,FALSE))),NOT(AND(LEFT(B2,2)="C:",IFERROR(VALUE(RIGHT(B2,LEN(B2)-2))&gt;=0,FALSE))),NOT(AND(LEFT(C2,2)="S:",IFERROR(VALUE(RIGHT(C2,LEN(C2)-2))&gt;=0,FALSE))),NOT(AND(LEFT(D2,2)="W:",OR(RIGHT(D2,LEN(D2)-2)="N",RIGHT(D2,LEN(D2)-2)="NE",RIGHT(D2,LEN(D2)-2)="E",RIGHT(D2,LEN(D2)-2)="SE",RIGHT(D2,LEN(D2)-2)="S",RIGHT(D2,LEN(D2)-2)="SW",RIGHT(D2,LEN(D2)-2)="W",RIGHT(D2,LEN(D2)-2)="NW"))),NOT(AND(LEFT(E2,2)="A:",IFERROR(VALUE(RIGHT(E2,LEN(E2)-2))&gt;=0,FALSE))),NOT(AND(LEFT(F2,2)="R:",IFERROR(VALUE(RIGHT(F2,LEN(F2)-2))&gt;=0,FALSE))),NOT(AND(LEFT(G2,2)="H:",IFERROR(VALUE(RIGHT(G2,LEN(G2)-2))&gt;=0,FALSE))),NOT(AND(LEFT(H2,2)="T:",IFERROR(VALUE(RIGHT(H2,LEN(H2)-2))&gt;=-50,FALSE))),NOT(AND(LEFT(I2,2)="P:",IFERROR(VALUE(RIGHT(I2,LEN(I2)-2))&gt;=900,FALSE))),NOT(AND(LEFT(J2,2)="B:",IFERROR(VALUE(RIGHT(J2,LEN(J2)-2))&gt;=0,FALSE))),AND(K2&lt;&gt;75,K2&lt;&gt;76)),1,0),1)</f>
        <v>0</v>
      </c>
    </row>
    <row r="3" spans="1:14">
      <c r="A3" t="s">
        <v>59</v>
      </c>
      <c r="B3" s="6" t="s">
        <v>62</v>
      </c>
      <c r="C3" t="s">
        <v>15</v>
      </c>
      <c r="D3" t="s">
        <v>20</v>
      </c>
      <c r="E3" t="s">
        <v>28</v>
      </c>
      <c r="F3" t="s">
        <v>17</v>
      </c>
      <c r="G3" t="s">
        <v>26</v>
      </c>
      <c r="H3" t="s">
        <v>60</v>
      </c>
      <c r="I3" t="s">
        <v>61</v>
      </c>
      <c r="J3" t="s">
        <v>23</v>
      </c>
      <c r="K3">
        <f t="shared" ref="K3:K60" si="0">LEN(A3&amp;B3&amp;C3&amp;D3&amp;E3&amp;F3&amp;G3&amp;H3&amp;I3&amp;J3)</f>
        <v>76</v>
      </c>
      <c r="L3">
        <f t="shared" ref="L3:L60" si="1">IFERROR(IF(OR(NOT(AND(LEFT(A3,2)="D:",IFERROR(VALUE(RIGHT(A3,LEN(A3)-2))&gt;=0,FALSE))),NOT(AND(LEFT(B3,2)="C:",IFERROR(VALUE(RIGHT(B3,LEN(B3)-2))&gt;=0,FALSE))),NOT(AND(LEFT(C3,2)="S:",IFERROR(VALUE(RIGHT(C3,LEN(C3)-2))&gt;=0,FALSE))),NOT(AND(LEFT(D3,2)="W:",OR(RIGHT(D3,LEN(D3)-2)="N",RIGHT(D3,LEN(D3)-2)="NE",RIGHT(D3,LEN(D3)-2)="E",RIGHT(D3,LEN(D3)-2)="SE",RIGHT(D3,LEN(D3)-2)="S",RIGHT(D3,LEN(D3)-2)="SW",RIGHT(D3,LEN(D3)-2)="W",RIGHT(D3,LEN(D3)-2)="NW"))),NOT(AND(LEFT(E3,2)="A:",IFERROR(VALUE(RIGHT(E3,LEN(E3)-2))&gt;=0,FALSE))),NOT(AND(LEFT(F3,2)="R:",IFERROR(VALUE(RIGHT(F3,LEN(F3)-2))&gt;=0,FALSE))),NOT(AND(LEFT(G3,2)="H:",IFERROR(VALUE(RIGHT(G3,LEN(G3)-2))&gt;=0,FALSE))),NOT(AND(LEFT(H3,2)="T:",IFERROR(VALUE(RIGHT(H3,LEN(H3)-2))&gt;=-50,FALSE))),NOT(AND(LEFT(I3,2)="P:",IFERROR(VALUE(RIGHT(I3,LEN(I3)-2))&gt;=900,FALSE))),NOT(AND(LEFT(J3,2)="B:",IFERROR(VALUE(RIGHT(J3,LEN(J3)-2))&gt;=0,FALSE))),AND(K3&lt;&gt;75,K3&lt;&gt;76)),1,0),1)</f>
        <v>0</v>
      </c>
    </row>
    <row r="4" spans="1:14">
      <c r="A4" t="s">
        <v>59</v>
      </c>
      <c r="B4" s="6" t="s">
        <v>63</v>
      </c>
      <c r="C4" t="s">
        <v>15</v>
      </c>
      <c r="D4" t="s">
        <v>20</v>
      </c>
      <c r="E4" t="s">
        <v>28</v>
      </c>
      <c r="F4" t="s">
        <v>17</v>
      </c>
      <c r="G4" t="s">
        <v>64</v>
      </c>
      <c r="H4" t="s">
        <v>60</v>
      </c>
      <c r="I4" t="s">
        <v>65</v>
      </c>
      <c r="J4" t="s">
        <v>23</v>
      </c>
      <c r="K4">
        <f t="shared" si="0"/>
        <v>76</v>
      </c>
      <c r="L4">
        <f t="shared" si="1"/>
        <v>0</v>
      </c>
    </row>
    <row r="5" spans="1:14">
      <c r="A5" t="s">
        <v>59</v>
      </c>
      <c r="B5" s="6" t="s">
        <v>66</v>
      </c>
      <c r="C5" t="s">
        <v>15</v>
      </c>
      <c r="D5" t="s">
        <v>20</v>
      </c>
      <c r="E5" t="s">
        <v>28</v>
      </c>
      <c r="F5" t="s">
        <v>17</v>
      </c>
      <c r="G5" t="s">
        <v>64</v>
      </c>
      <c r="H5" t="s">
        <v>60</v>
      </c>
      <c r="I5" t="s">
        <v>67</v>
      </c>
      <c r="J5" t="s">
        <v>23</v>
      </c>
      <c r="K5">
        <f t="shared" si="0"/>
        <v>76</v>
      </c>
      <c r="L5">
        <f t="shared" si="1"/>
        <v>0</v>
      </c>
    </row>
    <row r="6" spans="1:14">
      <c r="A6" t="s">
        <v>59</v>
      </c>
      <c r="B6" s="6" t="s">
        <v>68</v>
      </c>
      <c r="C6" t="s">
        <v>15</v>
      </c>
      <c r="D6" t="s">
        <v>20</v>
      </c>
      <c r="E6" t="s">
        <v>28</v>
      </c>
      <c r="F6" t="s">
        <v>17</v>
      </c>
      <c r="G6" t="s">
        <v>69</v>
      </c>
      <c r="H6" t="s">
        <v>60</v>
      </c>
      <c r="I6" t="s">
        <v>67</v>
      </c>
      <c r="J6" t="s">
        <v>23</v>
      </c>
      <c r="K6">
        <f t="shared" si="0"/>
        <v>76</v>
      </c>
      <c r="L6">
        <f t="shared" si="1"/>
        <v>0</v>
      </c>
    </row>
    <row r="7" spans="1:14">
      <c r="A7" t="s">
        <v>59</v>
      </c>
      <c r="B7" s="6" t="s">
        <v>70</v>
      </c>
      <c r="C7" t="s">
        <v>15</v>
      </c>
      <c r="D7" t="s">
        <v>20</v>
      </c>
      <c r="E7" t="s">
        <v>28</v>
      </c>
      <c r="F7" t="s">
        <v>17</v>
      </c>
      <c r="G7" t="s">
        <v>19</v>
      </c>
      <c r="H7" t="s">
        <v>60</v>
      </c>
      <c r="I7" t="s">
        <v>71</v>
      </c>
      <c r="J7" t="s">
        <v>23</v>
      </c>
      <c r="K7">
        <f t="shared" si="0"/>
        <v>76</v>
      </c>
      <c r="L7">
        <f t="shared" si="1"/>
        <v>0</v>
      </c>
    </row>
    <row r="8" spans="1:14">
      <c r="A8" t="s">
        <v>59</v>
      </c>
      <c r="B8" s="6" t="s">
        <v>72</v>
      </c>
      <c r="C8" t="s">
        <v>15</v>
      </c>
      <c r="D8" t="s">
        <v>20</v>
      </c>
      <c r="E8" t="s">
        <v>28</v>
      </c>
      <c r="F8" t="s">
        <v>17</v>
      </c>
      <c r="G8" t="s">
        <v>73</v>
      </c>
      <c r="H8" t="s">
        <v>60</v>
      </c>
      <c r="I8" t="s">
        <v>71</v>
      </c>
      <c r="J8" t="s">
        <v>23</v>
      </c>
      <c r="K8">
        <f t="shared" si="0"/>
        <v>76</v>
      </c>
      <c r="L8">
        <f t="shared" si="1"/>
        <v>0</v>
      </c>
    </row>
    <row r="9" spans="1:14">
      <c r="A9" t="s">
        <v>59</v>
      </c>
      <c r="B9" s="6" t="s">
        <v>74</v>
      </c>
      <c r="C9" t="s">
        <v>15</v>
      </c>
      <c r="D9" t="s">
        <v>16</v>
      </c>
      <c r="E9" t="s">
        <v>58</v>
      </c>
      <c r="F9" t="s">
        <v>17</v>
      </c>
      <c r="G9" t="s">
        <v>73</v>
      </c>
      <c r="H9" t="s">
        <v>75</v>
      </c>
      <c r="I9" t="s">
        <v>76</v>
      </c>
      <c r="J9" t="s">
        <v>23</v>
      </c>
      <c r="K9">
        <f t="shared" si="0"/>
        <v>75</v>
      </c>
      <c r="L9">
        <f t="shared" si="1"/>
        <v>0</v>
      </c>
    </row>
    <row r="10" spans="1:14">
      <c r="A10" t="s">
        <v>59</v>
      </c>
      <c r="B10" s="6" t="s">
        <v>77</v>
      </c>
      <c r="C10" t="s">
        <v>15</v>
      </c>
      <c r="D10" t="s">
        <v>16</v>
      </c>
      <c r="E10" t="s">
        <v>58</v>
      </c>
      <c r="F10" t="s">
        <v>17</v>
      </c>
      <c r="G10" t="s">
        <v>25</v>
      </c>
      <c r="H10" t="s">
        <v>75</v>
      </c>
      <c r="I10" t="s">
        <v>78</v>
      </c>
      <c r="J10" t="s">
        <v>18</v>
      </c>
      <c r="K10">
        <f t="shared" si="0"/>
        <v>75</v>
      </c>
      <c r="L10">
        <f t="shared" si="1"/>
        <v>0</v>
      </c>
    </row>
    <row r="11" spans="1:14">
      <c r="A11" t="s">
        <v>59</v>
      </c>
      <c r="B11" s="6" t="s">
        <v>79</v>
      </c>
      <c r="C11" t="s">
        <v>15</v>
      </c>
      <c r="D11" t="s">
        <v>16</v>
      </c>
      <c r="E11" t="s">
        <v>58</v>
      </c>
      <c r="F11" t="s">
        <v>17</v>
      </c>
      <c r="G11" t="s">
        <v>69</v>
      </c>
      <c r="H11" t="s">
        <v>75</v>
      </c>
      <c r="I11" t="s">
        <v>80</v>
      </c>
      <c r="J11" t="s">
        <v>18</v>
      </c>
      <c r="K11">
        <f t="shared" si="0"/>
        <v>75</v>
      </c>
      <c r="L11">
        <f t="shared" si="1"/>
        <v>0</v>
      </c>
    </row>
    <row r="12" spans="1:14">
      <c r="A12" t="s">
        <v>59</v>
      </c>
      <c r="B12" s="6" t="s">
        <v>81</v>
      </c>
      <c r="C12" t="s">
        <v>15</v>
      </c>
      <c r="D12" t="s">
        <v>16</v>
      </c>
      <c r="E12" t="s">
        <v>58</v>
      </c>
      <c r="F12" t="s">
        <v>17</v>
      </c>
      <c r="G12" t="s">
        <v>19</v>
      </c>
      <c r="H12" t="s">
        <v>75</v>
      </c>
      <c r="I12" t="s">
        <v>82</v>
      </c>
      <c r="J12" t="s">
        <v>18</v>
      </c>
      <c r="K12">
        <f t="shared" si="0"/>
        <v>75</v>
      </c>
      <c r="L12">
        <f t="shared" si="1"/>
        <v>0</v>
      </c>
    </row>
    <row r="13" spans="1:14">
      <c r="A13" t="s">
        <v>59</v>
      </c>
      <c r="B13" s="6" t="s">
        <v>83</v>
      </c>
      <c r="C13" t="s">
        <v>15</v>
      </c>
      <c r="D13" t="s">
        <v>16</v>
      </c>
      <c r="E13" t="s">
        <v>58</v>
      </c>
      <c r="F13" t="s">
        <v>17</v>
      </c>
      <c r="G13" t="s">
        <v>43</v>
      </c>
      <c r="H13" t="s">
        <v>84</v>
      </c>
      <c r="I13" t="s">
        <v>85</v>
      </c>
      <c r="J13" t="s">
        <v>18</v>
      </c>
      <c r="K13">
        <f t="shared" si="0"/>
        <v>75</v>
      </c>
      <c r="L13">
        <f t="shared" si="1"/>
        <v>0</v>
      </c>
    </row>
    <row r="14" spans="1:14">
      <c r="A14" t="s">
        <v>59</v>
      </c>
      <c r="B14" s="6" t="s">
        <v>86</v>
      </c>
      <c r="C14" t="s">
        <v>15</v>
      </c>
      <c r="D14" t="s">
        <v>16</v>
      </c>
      <c r="E14" t="s">
        <v>58</v>
      </c>
      <c r="F14" t="s">
        <v>17</v>
      </c>
      <c r="G14" t="s">
        <v>24</v>
      </c>
      <c r="H14" t="s">
        <v>75</v>
      </c>
      <c r="I14" t="s">
        <v>80</v>
      </c>
      <c r="J14" t="s">
        <v>18</v>
      </c>
      <c r="K14">
        <f t="shared" si="0"/>
        <v>75</v>
      </c>
      <c r="L14">
        <f t="shared" si="1"/>
        <v>0</v>
      </c>
    </row>
    <row r="15" spans="1:14">
      <c r="A15" t="s">
        <v>59</v>
      </c>
      <c r="B15" s="6" t="s">
        <v>87</v>
      </c>
      <c r="C15" t="s">
        <v>15</v>
      </c>
      <c r="D15" t="s">
        <v>16</v>
      </c>
      <c r="E15" t="s">
        <v>58</v>
      </c>
      <c r="F15" t="s">
        <v>17</v>
      </c>
      <c r="G15" t="s">
        <v>39</v>
      </c>
      <c r="H15" t="s">
        <v>75</v>
      </c>
      <c r="I15" t="s">
        <v>85</v>
      </c>
      <c r="J15" t="s">
        <v>18</v>
      </c>
      <c r="K15">
        <f t="shared" si="0"/>
        <v>75</v>
      </c>
      <c r="L15">
        <f t="shared" si="1"/>
        <v>0</v>
      </c>
    </row>
    <row r="16" spans="1:14">
      <c r="A16" t="s">
        <v>59</v>
      </c>
      <c r="B16" s="6" t="s">
        <v>88</v>
      </c>
      <c r="C16" t="s">
        <v>15</v>
      </c>
      <c r="D16" t="s">
        <v>16</v>
      </c>
      <c r="E16" t="s">
        <v>58</v>
      </c>
      <c r="F16" t="s">
        <v>17</v>
      </c>
      <c r="G16" t="s">
        <v>39</v>
      </c>
      <c r="H16" t="s">
        <v>75</v>
      </c>
      <c r="I16" t="s">
        <v>85</v>
      </c>
      <c r="J16" t="s">
        <v>18</v>
      </c>
      <c r="K16">
        <f t="shared" si="0"/>
        <v>75</v>
      </c>
      <c r="L16">
        <f t="shared" si="1"/>
        <v>0</v>
      </c>
    </row>
    <row r="17" spans="1:12">
      <c r="A17" t="s">
        <v>59</v>
      </c>
      <c r="B17" s="6" t="s">
        <v>89</v>
      </c>
      <c r="C17" t="s">
        <v>15</v>
      </c>
      <c r="D17" t="s">
        <v>16</v>
      </c>
      <c r="E17" t="s">
        <v>58</v>
      </c>
      <c r="F17" t="s">
        <v>17</v>
      </c>
      <c r="G17" t="s">
        <v>43</v>
      </c>
      <c r="H17" t="s">
        <v>75</v>
      </c>
      <c r="I17" t="s">
        <v>85</v>
      </c>
      <c r="J17" t="s">
        <v>18</v>
      </c>
      <c r="K17">
        <f t="shared" si="0"/>
        <v>75</v>
      </c>
      <c r="L17">
        <f t="shared" si="1"/>
        <v>0</v>
      </c>
    </row>
    <row r="18" spans="1:12">
      <c r="A18" t="s">
        <v>59</v>
      </c>
      <c r="B18" s="6" t="s">
        <v>90</v>
      </c>
      <c r="C18" t="s">
        <v>15</v>
      </c>
      <c r="D18" t="s">
        <v>16</v>
      </c>
      <c r="E18" t="s">
        <v>58</v>
      </c>
      <c r="F18" t="s">
        <v>17</v>
      </c>
      <c r="G18" t="s">
        <v>39</v>
      </c>
      <c r="H18" t="s">
        <v>75</v>
      </c>
      <c r="I18" t="s">
        <v>82</v>
      </c>
      <c r="J18" t="s">
        <v>18</v>
      </c>
      <c r="K18">
        <f t="shared" si="0"/>
        <v>75</v>
      </c>
      <c r="L18">
        <f t="shared" si="1"/>
        <v>0</v>
      </c>
    </row>
    <row r="19" spans="1:12">
      <c r="A19" t="s">
        <v>59</v>
      </c>
      <c r="B19" s="6" t="s">
        <v>91</v>
      </c>
      <c r="C19" t="s">
        <v>15</v>
      </c>
      <c r="D19" t="s">
        <v>16</v>
      </c>
      <c r="E19" t="s">
        <v>58</v>
      </c>
      <c r="F19" t="s">
        <v>17</v>
      </c>
      <c r="G19" t="s">
        <v>24</v>
      </c>
      <c r="H19" t="s">
        <v>75</v>
      </c>
      <c r="I19" t="s">
        <v>82</v>
      </c>
      <c r="J19" t="s">
        <v>18</v>
      </c>
      <c r="K19">
        <f t="shared" si="0"/>
        <v>75</v>
      </c>
      <c r="L19">
        <f t="shared" si="1"/>
        <v>0</v>
      </c>
    </row>
    <row r="20" spans="1:12">
      <c r="A20" t="s">
        <v>59</v>
      </c>
      <c r="B20" s="6" t="s">
        <v>92</v>
      </c>
      <c r="C20" t="s">
        <v>15</v>
      </c>
      <c r="D20" t="s">
        <v>16</v>
      </c>
      <c r="E20" t="s">
        <v>58</v>
      </c>
      <c r="F20" t="s">
        <v>17</v>
      </c>
      <c r="G20" t="s">
        <v>24</v>
      </c>
      <c r="H20" t="s">
        <v>75</v>
      </c>
      <c r="I20" t="s">
        <v>80</v>
      </c>
      <c r="J20" t="s">
        <v>18</v>
      </c>
      <c r="K20">
        <f t="shared" si="0"/>
        <v>75</v>
      </c>
      <c r="L20">
        <f t="shared" si="1"/>
        <v>0</v>
      </c>
    </row>
    <row r="21" spans="1:12">
      <c r="A21" t="s">
        <v>59</v>
      </c>
      <c r="B21" s="6" t="s">
        <v>93</v>
      </c>
      <c r="C21" t="s">
        <v>15</v>
      </c>
      <c r="D21" t="s">
        <v>16</v>
      </c>
      <c r="E21" t="s">
        <v>58</v>
      </c>
      <c r="F21" t="s">
        <v>17</v>
      </c>
      <c r="G21" t="s">
        <v>24</v>
      </c>
      <c r="H21" t="s">
        <v>75</v>
      </c>
      <c r="I21" t="s">
        <v>78</v>
      </c>
      <c r="J21" t="s">
        <v>18</v>
      </c>
      <c r="K21">
        <f t="shared" si="0"/>
        <v>75</v>
      </c>
      <c r="L21">
        <f t="shared" si="1"/>
        <v>0</v>
      </c>
    </row>
    <row r="22" spans="1:12">
      <c r="A22" t="s">
        <v>59</v>
      </c>
      <c r="B22" s="6" t="s">
        <v>94</v>
      </c>
      <c r="C22" t="s">
        <v>15</v>
      </c>
      <c r="D22" t="s">
        <v>16</v>
      </c>
      <c r="E22" t="s">
        <v>58</v>
      </c>
      <c r="F22" t="s">
        <v>17</v>
      </c>
      <c r="G22" t="s">
        <v>24</v>
      </c>
      <c r="H22" t="s">
        <v>60</v>
      </c>
      <c r="I22" t="s">
        <v>78</v>
      </c>
      <c r="J22" t="s">
        <v>18</v>
      </c>
      <c r="K22">
        <f t="shared" si="0"/>
        <v>75</v>
      </c>
      <c r="L22">
        <f t="shared" si="1"/>
        <v>0</v>
      </c>
    </row>
    <row r="23" spans="1:12">
      <c r="A23" t="s">
        <v>59</v>
      </c>
      <c r="B23" s="6" t="s">
        <v>95</v>
      </c>
      <c r="C23" t="s">
        <v>15</v>
      </c>
      <c r="D23" t="s">
        <v>16</v>
      </c>
      <c r="E23" t="s">
        <v>58</v>
      </c>
      <c r="F23" t="s">
        <v>17</v>
      </c>
      <c r="G23" t="s">
        <v>96</v>
      </c>
      <c r="H23" t="s">
        <v>60</v>
      </c>
      <c r="I23" t="s">
        <v>80</v>
      </c>
      <c r="J23" t="s">
        <v>18</v>
      </c>
      <c r="K23">
        <f t="shared" si="0"/>
        <v>75</v>
      </c>
      <c r="L23">
        <f t="shared" si="1"/>
        <v>0</v>
      </c>
    </row>
    <row r="24" spans="1:12">
      <c r="A24" t="s">
        <v>59</v>
      </c>
      <c r="B24" s="6" t="s">
        <v>97</v>
      </c>
      <c r="C24" t="s">
        <v>15</v>
      </c>
      <c r="D24" t="s">
        <v>16</v>
      </c>
      <c r="E24" t="s">
        <v>58</v>
      </c>
      <c r="F24" t="s">
        <v>17</v>
      </c>
      <c r="G24" t="s">
        <v>39</v>
      </c>
      <c r="H24" t="s">
        <v>98</v>
      </c>
      <c r="I24" t="s">
        <v>82</v>
      </c>
      <c r="J24" t="s">
        <v>18</v>
      </c>
      <c r="K24">
        <f t="shared" si="0"/>
        <v>75</v>
      </c>
      <c r="L24">
        <f t="shared" si="1"/>
        <v>0</v>
      </c>
    </row>
    <row r="25" spans="1:12">
      <c r="A25" t="s">
        <v>59</v>
      </c>
      <c r="B25" s="6" t="s">
        <v>99</v>
      </c>
      <c r="C25" t="s">
        <v>15</v>
      </c>
      <c r="D25" t="s">
        <v>16</v>
      </c>
      <c r="E25" t="s">
        <v>58</v>
      </c>
      <c r="F25" t="s">
        <v>17</v>
      </c>
      <c r="G25" t="s">
        <v>26</v>
      </c>
      <c r="H25" t="s">
        <v>98</v>
      </c>
      <c r="I25" t="s">
        <v>80</v>
      </c>
      <c r="J25" t="s">
        <v>18</v>
      </c>
      <c r="K25">
        <f t="shared" si="0"/>
        <v>75</v>
      </c>
      <c r="L25">
        <f t="shared" si="1"/>
        <v>0</v>
      </c>
    </row>
    <row r="26" spans="1:12">
      <c r="A26" t="s">
        <v>59</v>
      </c>
      <c r="B26" s="6" t="s">
        <v>100</v>
      </c>
      <c r="C26" t="s">
        <v>15</v>
      </c>
      <c r="D26" t="s">
        <v>16</v>
      </c>
      <c r="E26" t="s">
        <v>58</v>
      </c>
      <c r="F26" t="s">
        <v>17</v>
      </c>
      <c r="G26" t="s">
        <v>69</v>
      </c>
      <c r="H26" t="s">
        <v>101</v>
      </c>
      <c r="I26" t="s">
        <v>82</v>
      </c>
      <c r="J26" t="s">
        <v>18</v>
      </c>
      <c r="K26">
        <f t="shared" si="0"/>
        <v>75</v>
      </c>
      <c r="L26">
        <f t="shared" si="1"/>
        <v>0</v>
      </c>
    </row>
    <row r="27" spans="1:12">
      <c r="A27" t="s">
        <v>59</v>
      </c>
      <c r="B27" s="6" t="s">
        <v>102</v>
      </c>
      <c r="C27" t="s">
        <v>15</v>
      </c>
      <c r="D27" t="s">
        <v>16</v>
      </c>
      <c r="E27" t="s">
        <v>58</v>
      </c>
      <c r="F27" t="s">
        <v>17</v>
      </c>
      <c r="G27" t="s">
        <v>42</v>
      </c>
      <c r="H27" t="s">
        <v>101</v>
      </c>
      <c r="I27" t="s">
        <v>82</v>
      </c>
      <c r="J27" t="s">
        <v>18</v>
      </c>
      <c r="K27">
        <f t="shared" si="0"/>
        <v>75</v>
      </c>
      <c r="L27">
        <f t="shared" si="1"/>
        <v>0</v>
      </c>
    </row>
    <row r="28" spans="1:12">
      <c r="A28" t="s">
        <v>59</v>
      </c>
      <c r="B28" s="6" t="s">
        <v>103</v>
      </c>
      <c r="C28" t="s">
        <v>15</v>
      </c>
      <c r="D28" t="s">
        <v>16</v>
      </c>
      <c r="E28" t="s">
        <v>58</v>
      </c>
      <c r="F28" t="s">
        <v>17</v>
      </c>
      <c r="G28" t="s">
        <v>27</v>
      </c>
      <c r="H28" t="s">
        <v>101</v>
      </c>
      <c r="I28" t="s">
        <v>85</v>
      </c>
      <c r="J28" t="s">
        <v>18</v>
      </c>
      <c r="K28">
        <f t="shared" si="0"/>
        <v>75</v>
      </c>
      <c r="L28">
        <f t="shared" si="1"/>
        <v>0</v>
      </c>
    </row>
    <row r="29" spans="1:12">
      <c r="A29" t="s">
        <v>59</v>
      </c>
      <c r="B29" s="6" t="s">
        <v>104</v>
      </c>
      <c r="C29" t="s">
        <v>15</v>
      </c>
      <c r="D29" t="s">
        <v>16</v>
      </c>
      <c r="E29" t="s">
        <v>58</v>
      </c>
      <c r="F29" t="s">
        <v>17</v>
      </c>
      <c r="G29" t="s">
        <v>25</v>
      </c>
      <c r="H29" t="s">
        <v>101</v>
      </c>
      <c r="I29" t="s">
        <v>85</v>
      </c>
      <c r="J29" t="s">
        <v>18</v>
      </c>
      <c r="K29">
        <f t="shared" si="0"/>
        <v>75</v>
      </c>
      <c r="L29">
        <f t="shared" si="1"/>
        <v>0</v>
      </c>
    </row>
    <row r="30" spans="1:12">
      <c r="A30" t="s">
        <v>59</v>
      </c>
      <c r="B30" s="6" t="s">
        <v>105</v>
      </c>
      <c r="C30" t="s">
        <v>15</v>
      </c>
      <c r="D30" t="s">
        <v>16</v>
      </c>
      <c r="E30" t="s">
        <v>58</v>
      </c>
      <c r="F30" t="s">
        <v>17</v>
      </c>
      <c r="G30" t="s">
        <v>26</v>
      </c>
      <c r="H30" t="s">
        <v>98</v>
      </c>
      <c r="I30" t="s">
        <v>85</v>
      </c>
      <c r="J30" t="s">
        <v>18</v>
      </c>
      <c r="K30">
        <f t="shared" si="0"/>
        <v>75</v>
      </c>
      <c r="L30">
        <f t="shared" si="1"/>
        <v>0</v>
      </c>
    </row>
    <row r="31" spans="1:12">
      <c r="A31" t="s">
        <v>59</v>
      </c>
      <c r="B31" s="6" t="s">
        <v>106</v>
      </c>
      <c r="C31" t="s">
        <v>15</v>
      </c>
      <c r="D31" t="s">
        <v>16</v>
      </c>
      <c r="E31" t="s">
        <v>58</v>
      </c>
      <c r="F31" t="s">
        <v>17</v>
      </c>
      <c r="G31" t="s">
        <v>26</v>
      </c>
      <c r="H31" t="s">
        <v>98</v>
      </c>
      <c r="I31" t="s">
        <v>82</v>
      </c>
      <c r="J31" t="s">
        <v>18</v>
      </c>
      <c r="K31">
        <f t="shared" si="0"/>
        <v>75</v>
      </c>
      <c r="L31">
        <f t="shared" si="1"/>
        <v>0</v>
      </c>
    </row>
    <row r="32" spans="1:12">
      <c r="A32" t="s">
        <v>59</v>
      </c>
      <c r="B32" s="6" t="s">
        <v>107</v>
      </c>
      <c r="C32" t="s">
        <v>15</v>
      </c>
      <c r="D32" t="s">
        <v>16</v>
      </c>
      <c r="E32" t="s">
        <v>58</v>
      </c>
      <c r="F32" t="s">
        <v>17</v>
      </c>
      <c r="G32" t="s">
        <v>26</v>
      </c>
      <c r="H32" t="s">
        <v>98</v>
      </c>
      <c r="I32" t="s">
        <v>80</v>
      </c>
      <c r="J32" t="s">
        <v>18</v>
      </c>
      <c r="K32">
        <f t="shared" si="0"/>
        <v>75</v>
      </c>
      <c r="L32">
        <f t="shared" si="1"/>
        <v>0</v>
      </c>
    </row>
    <row r="33" spans="1:12">
      <c r="A33" t="s">
        <v>59</v>
      </c>
      <c r="B33" s="6" t="s">
        <v>108</v>
      </c>
      <c r="C33" t="s">
        <v>15</v>
      </c>
      <c r="D33" t="s">
        <v>16</v>
      </c>
      <c r="E33" t="s">
        <v>58</v>
      </c>
      <c r="F33" t="s">
        <v>17</v>
      </c>
      <c r="G33" t="s">
        <v>26</v>
      </c>
      <c r="H33" t="s">
        <v>98</v>
      </c>
      <c r="I33" t="s">
        <v>78</v>
      </c>
      <c r="J33" t="s">
        <v>18</v>
      </c>
      <c r="K33">
        <f t="shared" si="0"/>
        <v>75</v>
      </c>
      <c r="L33">
        <f t="shared" si="1"/>
        <v>0</v>
      </c>
    </row>
    <row r="34" spans="1:12">
      <c r="A34" t="s">
        <v>59</v>
      </c>
      <c r="B34" s="6" t="s">
        <v>109</v>
      </c>
      <c r="C34" t="s">
        <v>15</v>
      </c>
      <c r="D34" t="s">
        <v>16</v>
      </c>
      <c r="E34" t="s">
        <v>58</v>
      </c>
      <c r="F34" t="s">
        <v>17</v>
      </c>
      <c r="G34" t="s">
        <v>64</v>
      </c>
      <c r="H34" t="s">
        <v>98</v>
      </c>
      <c r="I34" t="s">
        <v>82</v>
      </c>
      <c r="J34" t="s">
        <v>18</v>
      </c>
      <c r="K34">
        <f t="shared" si="0"/>
        <v>75</v>
      </c>
      <c r="L34">
        <f t="shared" si="1"/>
        <v>0</v>
      </c>
    </row>
    <row r="35" spans="1:12">
      <c r="A35" t="s">
        <v>59</v>
      </c>
      <c r="B35" s="6" t="s">
        <v>110</v>
      </c>
      <c r="C35" t="s">
        <v>15</v>
      </c>
      <c r="D35" t="s">
        <v>16</v>
      </c>
      <c r="E35" t="s">
        <v>58</v>
      </c>
      <c r="F35" t="s">
        <v>17</v>
      </c>
      <c r="G35" t="s">
        <v>45</v>
      </c>
      <c r="H35" t="s">
        <v>98</v>
      </c>
      <c r="I35" t="s">
        <v>85</v>
      </c>
      <c r="J35" t="s">
        <v>18</v>
      </c>
      <c r="K35">
        <f t="shared" si="0"/>
        <v>75</v>
      </c>
      <c r="L35">
        <f t="shared" si="1"/>
        <v>0</v>
      </c>
    </row>
    <row r="36" spans="1:12">
      <c r="A36" t="s">
        <v>59</v>
      </c>
      <c r="B36" s="6" t="s">
        <v>111</v>
      </c>
      <c r="C36" t="s">
        <v>15</v>
      </c>
      <c r="D36" t="s">
        <v>16</v>
      </c>
      <c r="E36" t="s">
        <v>58</v>
      </c>
      <c r="F36" t="s">
        <v>17</v>
      </c>
      <c r="G36" t="s">
        <v>112</v>
      </c>
      <c r="H36" t="s">
        <v>98</v>
      </c>
      <c r="I36" t="s">
        <v>82</v>
      </c>
      <c r="J36" t="s">
        <v>18</v>
      </c>
      <c r="K36">
        <f t="shared" si="0"/>
        <v>75</v>
      </c>
      <c r="L36">
        <f t="shared" si="1"/>
        <v>0</v>
      </c>
    </row>
    <row r="37" spans="1:12">
      <c r="A37" t="s">
        <v>59</v>
      </c>
      <c r="B37" s="6" t="s">
        <v>113</v>
      </c>
      <c r="C37" t="s">
        <v>15</v>
      </c>
      <c r="D37" t="s">
        <v>16</v>
      </c>
      <c r="E37" t="s">
        <v>58</v>
      </c>
      <c r="F37" t="s">
        <v>17</v>
      </c>
      <c r="G37" t="s">
        <v>114</v>
      </c>
      <c r="H37" t="s">
        <v>98</v>
      </c>
      <c r="I37" t="s">
        <v>85</v>
      </c>
      <c r="J37" t="s">
        <v>18</v>
      </c>
      <c r="K37">
        <f t="shared" si="0"/>
        <v>75</v>
      </c>
      <c r="L37">
        <f t="shared" si="1"/>
        <v>0</v>
      </c>
    </row>
    <row r="38" spans="1:12">
      <c r="A38" t="s">
        <v>59</v>
      </c>
      <c r="B38" s="6" t="s">
        <v>115</v>
      </c>
      <c r="C38" t="s">
        <v>15</v>
      </c>
      <c r="D38" t="s">
        <v>16</v>
      </c>
      <c r="E38" t="s">
        <v>58</v>
      </c>
      <c r="F38" t="s">
        <v>17</v>
      </c>
      <c r="G38" t="s">
        <v>114</v>
      </c>
      <c r="H38" t="s">
        <v>60</v>
      </c>
      <c r="I38" t="s">
        <v>85</v>
      </c>
      <c r="J38" t="s">
        <v>18</v>
      </c>
      <c r="K38">
        <f t="shared" si="0"/>
        <v>75</v>
      </c>
      <c r="L38">
        <f t="shared" si="1"/>
        <v>0</v>
      </c>
    </row>
    <row r="39" spans="1:12">
      <c r="A39" t="s">
        <v>59</v>
      </c>
      <c r="B39" s="6" t="s">
        <v>116</v>
      </c>
      <c r="C39" t="s">
        <v>15</v>
      </c>
      <c r="D39" t="s">
        <v>16</v>
      </c>
      <c r="E39" t="s">
        <v>58</v>
      </c>
      <c r="F39" t="s">
        <v>17</v>
      </c>
      <c r="G39" t="s">
        <v>114</v>
      </c>
      <c r="H39" t="s">
        <v>60</v>
      </c>
      <c r="I39" t="s">
        <v>85</v>
      </c>
      <c r="J39" t="s">
        <v>18</v>
      </c>
      <c r="K39">
        <f t="shared" si="0"/>
        <v>75</v>
      </c>
      <c r="L39">
        <f t="shared" si="1"/>
        <v>0</v>
      </c>
    </row>
    <row r="40" spans="1:12">
      <c r="A40" t="s">
        <v>59</v>
      </c>
      <c r="B40" s="6" t="s">
        <v>117</v>
      </c>
      <c r="C40" t="s">
        <v>15</v>
      </c>
      <c r="D40" t="s">
        <v>16</v>
      </c>
      <c r="E40" t="s">
        <v>58</v>
      </c>
      <c r="F40" t="s">
        <v>17</v>
      </c>
      <c r="G40" t="s">
        <v>114</v>
      </c>
      <c r="H40" t="s">
        <v>60</v>
      </c>
      <c r="I40" t="s">
        <v>85</v>
      </c>
      <c r="J40" t="s">
        <v>18</v>
      </c>
      <c r="K40">
        <f t="shared" si="0"/>
        <v>75</v>
      </c>
      <c r="L40">
        <f t="shared" si="1"/>
        <v>0</v>
      </c>
    </row>
    <row r="41" spans="1:12">
      <c r="A41" t="s">
        <v>59</v>
      </c>
      <c r="B41" s="6" t="s">
        <v>118</v>
      </c>
      <c r="C41" t="s">
        <v>15</v>
      </c>
      <c r="D41" t="s">
        <v>16</v>
      </c>
      <c r="E41" t="s">
        <v>58</v>
      </c>
      <c r="F41" t="s">
        <v>17</v>
      </c>
      <c r="G41" t="s">
        <v>69</v>
      </c>
      <c r="H41" t="s">
        <v>75</v>
      </c>
      <c r="I41" t="s">
        <v>85</v>
      </c>
      <c r="J41" t="s">
        <v>18</v>
      </c>
      <c r="K41">
        <f t="shared" si="0"/>
        <v>75</v>
      </c>
      <c r="L41">
        <f t="shared" si="1"/>
        <v>0</v>
      </c>
    </row>
    <row r="42" spans="1:12">
      <c r="A42" t="s">
        <v>59</v>
      </c>
      <c r="B42" s="6" t="s">
        <v>119</v>
      </c>
      <c r="C42" t="s">
        <v>15</v>
      </c>
      <c r="D42" t="s">
        <v>16</v>
      </c>
      <c r="E42" t="s">
        <v>58</v>
      </c>
      <c r="F42" t="s">
        <v>17</v>
      </c>
      <c r="G42" t="s">
        <v>25</v>
      </c>
      <c r="H42" t="s">
        <v>60</v>
      </c>
      <c r="I42" t="s">
        <v>85</v>
      </c>
      <c r="J42" t="s">
        <v>18</v>
      </c>
      <c r="K42">
        <f t="shared" si="0"/>
        <v>75</v>
      </c>
      <c r="L42">
        <f t="shared" si="1"/>
        <v>0</v>
      </c>
    </row>
    <row r="43" spans="1:12">
      <c r="A43" t="s">
        <v>59</v>
      </c>
      <c r="B43" s="6" t="s">
        <v>120</v>
      </c>
      <c r="C43" t="s">
        <v>15</v>
      </c>
      <c r="D43" t="s">
        <v>16</v>
      </c>
      <c r="E43" t="s">
        <v>58</v>
      </c>
      <c r="F43" t="s">
        <v>17</v>
      </c>
      <c r="G43" t="s">
        <v>112</v>
      </c>
      <c r="H43" t="s">
        <v>60</v>
      </c>
      <c r="I43" t="s">
        <v>85</v>
      </c>
      <c r="J43" t="s">
        <v>18</v>
      </c>
      <c r="K43">
        <f t="shared" si="0"/>
        <v>75</v>
      </c>
      <c r="L43">
        <f t="shared" si="1"/>
        <v>0</v>
      </c>
    </row>
    <row r="44" spans="1:12">
      <c r="A44" t="s">
        <v>59</v>
      </c>
      <c r="B44" s="6" t="s">
        <v>121</v>
      </c>
      <c r="C44" t="s">
        <v>15</v>
      </c>
      <c r="D44" t="s">
        <v>16</v>
      </c>
      <c r="E44" t="s">
        <v>58</v>
      </c>
      <c r="F44" t="s">
        <v>17</v>
      </c>
      <c r="G44" t="s">
        <v>41</v>
      </c>
      <c r="H44" t="s">
        <v>122</v>
      </c>
      <c r="I44" t="s">
        <v>82</v>
      </c>
      <c r="J44" t="s">
        <v>18</v>
      </c>
      <c r="K44">
        <f t="shared" si="0"/>
        <v>75</v>
      </c>
      <c r="L44">
        <f t="shared" si="1"/>
        <v>0</v>
      </c>
    </row>
    <row r="45" spans="1:12">
      <c r="A45" t="s">
        <v>59</v>
      </c>
      <c r="B45" s="6" t="s">
        <v>123</v>
      </c>
      <c r="C45" t="s">
        <v>15</v>
      </c>
      <c r="D45" t="s">
        <v>16</v>
      </c>
      <c r="E45" t="s">
        <v>58</v>
      </c>
      <c r="F45" t="s">
        <v>17</v>
      </c>
      <c r="G45" t="s">
        <v>42</v>
      </c>
      <c r="H45" t="s">
        <v>122</v>
      </c>
      <c r="I45" t="s">
        <v>124</v>
      </c>
      <c r="J45" t="s">
        <v>18</v>
      </c>
      <c r="K45">
        <f t="shared" si="0"/>
        <v>75</v>
      </c>
      <c r="L45">
        <f t="shared" si="1"/>
        <v>0</v>
      </c>
    </row>
    <row r="46" spans="1:12">
      <c r="A46" t="s">
        <v>59</v>
      </c>
      <c r="B46" s="6" t="s">
        <v>125</v>
      </c>
      <c r="C46" t="s">
        <v>15</v>
      </c>
      <c r="D46" t="s">
        <v>16</v>
      </c>
      <c r="E46" t="s">
        <v>58</v>
      </c>
      <c r="F46" t="s">
        <v>17</v>
      </c>
      <c r="G46" t="s">
        <v>42</v>
      </c>
      <c r="H46" t="s">
        <v>126</v>
      </c>
      <c r="I46" t="s">
        <v>82</v>
      </c>
      <c r="J46" t="s">
        <v>18</v>
      </c>
      <c r="K46">
        <f t="shared" si="0"/>
        <v>75</v>
      </c>
      <c r="L46">
        <f t="shared" si="1"/>
        <v>0</v>
      </c>
    </row>
    <row r="47" spans="1:12">
      <c r="A47" t="s">
        <v>59</v>
      </c>
      <c r="B47" s="6" t="s">
        <v>127</v>
      </c>
      <c r="C47" t="s">
        <v>15</v>
      </c>
      <c r="D47" t="s">
        <v>16</v>
      </c>
      <c r="E47" t="s">
        <v>58</v>
      </c>
      <c r="F47" t="s">
        <v>17</v>
      </c>
      <c r="G47" t="s">
        <v>41</v>
      </c>
      <c r="H47" t="s">
        <v>126</v>
      </c>
      <c r="I47" t="s">
        <v>124</v>
      </c>
      <c r="J47" t="s">
        <v>18</v>
      </c>
      <c r="K47">
        <f t="shared" si="0"/>
        <v>75</v>
      </c>
      <c r="L47">
        <f t="shared" si="1"/>
        <v>0</v>
      </c>
    </row>
    <row r="48" spans="1:12">
      <c r="A48" t="s">
        <v>59</v>
      </c>
      <c r="B48" s="6" t="s">
        <v>128</v>
      </c>
      <c r="C48" t="s">
        <v>15</v>
      </c>
      <c r="D48" t="s">
        <v>16</v>
      </c>
      <c r="E48" t="s">
        <v>58</v>
      </c>
      <c r="F48" t="s">
        <v>17</v>
      </c>
      <c r="G48" t="s">
        <v>39</v>
      </c>
      <c r="H48" t="s">
        <v>129</v>
      </c>
      <c r="I48" t="s">
        <v>124</v>
      </c>
      <c r="J48" t="s">
        <v>18</v>
      </c>
      <c r="K48">
        <f t="shared" si="0"/>
        <v>75</v>
      </c>
      <c r="L48">
        <f t="shared" si="1"/>
        <v>0</v>
      </c>
    </row>
    <row r="49" spans="1:12">
      <c r="A49" t="s">
        <v>59</v>
      </c>
      <c r="B49" s="6" t="s">
        <v>130</v>
      </c>
      <c r="C49" t="s">
        <v>15</v>
      </c>
      <c r="D49" t="s">
        <v>16</v>
      </c>
      <c r="E49" t="s">
        <v>58</v>
      </c>
      <c r="F49" t="s">
        <v>17</v>
      </c>
      <c r="G49" t="s">
        <v>64</v>
      </c>
      <c r="H49" t="s">
        <v>129</v>
      </c>
      <c r="I49" t="s">
        <v>82</v>
      </c>
      <c r="J49" t="s">
        <v>18</v>
      </c>
      <c r="K49">
        <f t="shared" si="0"/>
        <v>75</v>
      </c>
      <c r="L49">
        <f t="shared" si="1"/>
        <v>0</v>
      </c>
    </row>
    <row r="50" spans="1:12">
      <c r="A50" t="s">
        <v>59</v>
      </c>
      <c r="B50" s="6" t="s">
        <v>131</v>
      </c>
      <c r="C50" t="s">
        <v>15</v>
      </c>
      <c r="D50" t="s">
        <v>16</v>
      </c>
      <c r="E50" t="s">
        <v>58</v>
      </c>
      <c r="F50" t="s">
        <v>17</v>
      </c>
      <c r="G50" t="s">
        <v>39</v>
      </c>
      <c r="H50" t="s">
        <v>129</v>
      </c>
      <c r="I50" t="s">
        <v>82</v>
      </c>
      <c r="J50" t="s">
        <v>18</v>
      </c>
      <c r="K50">
        <f t="shared" si="0"/>
        <v>75</v>
      </c>
      <c r="L50">
        <f t="shared" si="1"/>
        <v>0</v>
      </c>
    </row>
    <row r="51" spans="1:12">
      <c r="A51" t="s">
        <v>59</v>
      </c>
      <c r="B51" s="6" t="s">
        <v>132</v>
      </c>
      <c r="C51" t="s">
        <v>15</v>
      </c>
      <c r="D51" t="s">
        <v>16</v>
      </c>
      <c r="E51" t="s">
        <v>58</v>
      </c>
      <c r="F51" t="s">
        <v>17</v>
      </c>
      <c r="G51" t="s">
        <v>42</v>
      </c>
      <c r="H51" t="s">
        <v>133</v>
      </c>
      <c r="I51" t="s">
        <v>124</v>
      </c>
      <c r="J51" t="s">
        <v>18</v>
      </c>
      <c r="K51">
        <f t="shared" si="0"/>
        <v>75</v>
      </c>
      <c r="L51">
        <f t="shared" si="1"/>
        <v>0</v>
      </c>
    </row>
    <row r="52" spans="1:12">
      <c r="A52" t="s">
        <v>59</v>
      </c>
      <c r="B52" s="6" t="s">
        <v>134</v>
      </c>
      <c r="C52" t="s">
        <v>15</v>
      </c>
      <c r="D52" t="s">
        <v>16</v>
      </c>
      <c r="E52" t="s">
        <v>58</v>
      </c>
      <c r="F52" t="s">
        <v>17</v>
      </c>
      <c r="G52" t="s">
        <v>26</v>
      </c>
      <c r="H52" t="s">
        <v>135</v>
      </c>
      <c r="I52" t="s">
        <v>80</v>
      </c>
      <c r="J52" t="s">
        <v>18</v>
      </c>
      <c r="K52">
        <f t="shared" si="0"/>
        <v>75</v>
      </c>
      <c r="L52">
        <f t="shared" si="1"/>
        <v>0</v>
      </c>
    </row>
    <row r="53" spans="1:12">
      <c r="A53" t="s">
        <v>59</v>
      </c>
      <c r="B53" s="6" t="s">
        <v>136</v>
      </c>
      <c r="C53" t="s">
        <v>15</v>
      </c>
      <c r="D53" t="s">
        <v>16</v>
      </c>
      <c r="E53" t="s">
        <v>58</v>
      </c>
      <c r="F53" t="s">
        <v>17</v>
      </c>
      <c r="G53" t="s">
        <v>64</v>
      </c>
      <c r="H53" t="s">
        <v>135</v>
      </c>
      <c r="I53" t="s">
        <v>124</v>
      </c>
      <c r="J53" t="s">
        <v>18</v>
      </c>
      <c r="K53">
        <f t="shared" si="0"/>
        <v>75</v>
      </c>
      <c r="L53">
        <f t="shared" si="1"/>
        <v>0</v>
      </c>
    </row>
    <row r="54" spans="1:12">
      <c r="A54" t="s">
        <v>59</v>
      </c>
      <c r="B54" s="6" t="s">
        <v>137</v>
      </c>
      <c r="C54" t="s">
        <v>15</v>
      </c>
      <c r="D54" t="s">
        <v>16</v>
      </c>
      <c r="E54" t="s">
        <v>58</v>
      </c>
      <c r="F54" t="s">
        <v>17</v>
      </c>
      <c r="G54" t="s">
        <v>64</v>
      </c>
      <c r="H54" t="s">
        <v>138</v>
      </c>
      <c r="I54" t="s">
        <v>82</v>
      </c>
      <c r="J54" t="s">
        <v>18</v>
      </c>
      <c r="K54">
        <f t="shared" si="0"/>
        <v>75</v>
      </c>
      <c r="L54">
        <f t="shared" si="1"/>
        <v>0</v>
      </c>
    </row>
    <row r="55" spans="1:12">
      <c r="A55" t="s">
        <v>59</v>
      </c>
      <c r="B55" s="6" t="s">
        <v>139</v>
      </c>
      <c r="C55" t="s">
        <v>15</v>
      </c>
      <c r="D55" t="s">
        <v>16</v>
      </c>
      <c r="E55" t="s">
        <v>58</v>
      </c>
      <c r="F55" t="s">
        <v>17</v>
      </c>
      <c r="G55" t="s">
        <v>39</v>
      </c>
      <c r="H55" t="s">
        <v>101</v>
      </c>
      <c r="I55" t="s">
        <v>85</v>
      </c>
      <c r="J55" t="s">
        <v>18</v>
      </c>
      <c r="K55">
        <f t="shared" si="0"/>
        <v>75</v>
      </c>
      <c r="L55">
        <f t="shared" si="1"/>
        <v>0</v>
      </c>
    </row>
    <row r="56" spans="1:12">
      <c r="A56" t="s">
        <v>59</v>
      </c>
      <c r="B56" s="6" t="s">
        <v>140</v>
      </c>
      <c r="C56" t="s">
        <v>15</v>
      </c>
      <c r="D56" t="s">
        <v>16</v>
      </c>
      <c r="E56" t="s">
        <v>58</v>
      </c>
      <c r="F56" t="s">
        <v>17</v>
      </c>
      <c r="G56" t="s">
        <v>43</v>
      </c>
      <c r="H56" t="s">
        <v>101</v>
      </c>
      <c r="I56" t="s">
        <v>85</v>
      </c>
      <c r="J56" t="s">
        <v>18</v>
      </c>
      <c r="K56">
        <f t="shared" si="0"/>
        <v>75</v>
      </c>
      <c r="L56">
        <f t="shared" si="1"/>
        <v>0</v>
      </c>
    </row>
    <row r="57" spans="1:12">
      <c r="A57" t="s">
        <v>59</v>
      </c>
      <c r="B57" s="6" t="s">
        <v>141</v>
      </c>
      <c r="C57" t="s">
        <v>15</v>
      </c>
      <c r="D57" t="s">
        <v>16</v>
      </c>
      <c r="E57" t="s">
        <v>58</v>
      </c>
      <c r="F57" t="s">
        <v>17</v>
      </c>
      <c r="G57" t="s">
        <v>43</v>
      </c>
      <c r="H57" t="s">
        <v>101</v>
      </c>
      <c r="I57" t="s">
        <v>85</v>
      </c>
      <c r="J57" t="s">
        <v>18</v>
      </c>
      <c r="K57">
        <f t="shared" si="0"/>
        <v>75</v>
      </c>
      <c r="L57">
        <f t="shared" si="1"/>
        <v>0</v>
      </c>
    </row>
    <row r="58" spans="1:12">
      <c r="A58" t="s">
        <v>59</v>
      </c>
      <c r="B58" s="6" t="s">
        <v>142</v>
      </c>
      <c r="C58" t="s">
        <v>15</v>
      </c>
      <c r="D58" t="s">
        <v>16</v>
      </c>
      <c r="E58" t="s">
        <v>58</v>
      </c>
      <c r="F58" t="s">
        <v>17</v>
      </c>
      <c r="G58" t="s">
        <v>143</v>
      </c>
      <c r="H58" t="s">
        <v>101</v>
      </c>
      <c r="I58" t="s">
        <v>80</v>
      </c>
      <c r="J58" t="s">
        <v>18</v>
      </c>
      <c r="K58">
        <f t="shared" si="0"/>
        <v>75</v>
      </c>
      <c r="L58">
        <f t="shared" si="1"/>
        <v>0</v>
      </c>
    </row>
    <row r="59" spans="1:12">
      <c r="A59" t="s">
        <v>59</v>
      </c>
      <c r="B59" s="6" t="s">
        <v>144</v>
      </c>
      <c r="C59" t="s">
        <v>15</v>
      </c>
      <c r="D59" t="s">
        <v>16</v>
      </c>
      <c r="E59" t="s">
        <v>58</v>
      </c>
      <c r="F59" t="s">
        <v>17</v>
      </c>
      <c r="G59" t="s">
        <v>33</v>
      </c>
      <c r="H59" t="s">
        <v>101</v>
      </c>
      <c r="I59" t="s">
        <v>80</v>
      </c>
      <c r="J59" t="s">
        <v>18</v>
      </c>
      <c r="K59">
        <f t="shared" si="0"/>
        <v>75</v>
      </c>
      <c r="L59">
        <f t="shared" si="1"/>
        <v>0</v>
      </c>
    </row>
    <row r="60" spans="1:12">
      <c r="A60" t="s">
        <v>59</v>
      </c>
      <c r="B60" s="6" t="s">
        <v>145</v>
      </c>
      <c r="C60" t="s">
        <v>15</v>
      </c>
      <c r="D60" t="s">
        <v>146</v>
      </c>
      <c r="E60" t="s">
        <v>147</v>
      </c>
      <c r="F60" t="s">
        <v>17</v>
      </c>
      <c r="G60" t="s">
        <v>34</v>
      </c>
      <c r="H60" t="s">
        <v>138</v>
      </c>
      <c r="I60" t="s">
        <v>78</v>
      </c>
      <c r="J60" t="s">
        <v>18</v>
      </c>
      <c r="K60">
        <f t="shared" si="0"/>
        <v>76</v>
      </c>
      <c r="L60">
        <f t="shared" si="1"/>
        <v>0</v>
      </c>
    </row>
    <row r="61" spans="1:12">
      <c r="A61" t="s">
        <v>59</v>
      </c>
      <c r="B61" s="6" t="s">
        <v>148</v>
      </c>
      <c r="C61" t="s">
        <v>15</v>
      </c>
      <c r="D61" t="s">
        <v>20</v>
      </c>
      <c r="E61" t="s">
        <v>28</v>
      </c>
      <c r="F61" t="s">
        <v>149</v>
      </c>
      <c r="G61" t="s">
        <v>38</v>
      </c>
      <c r="H61" t="s">
        <v>138</v>
      </c>
      <c r="I61" t="s">
        <v>150</v>
      </c>
      <c r="J61" t="s">
        <v>23</v>
      </c>
      <c r="K61">
        <f t="shared" ref="K61:K112" si="2">LEN(A61&amp;B61&amp;C61&amp;D61&amp;E61&amp;F61&amp;G61&amp;H61&amp;I61&amp;J61)</f>
        <v>76</v>
      </c>
      <c r="L61">
        <f t="shared" ref="L61:L112" si="3">IFERROR(IF(OR(NOT(AND(LEFT(A61,2)="D:",IFERROR(VALUE(RIGHT(A61,LEN(A61)-2))&gt;=0,FALSE))),NOT(AND(LEFT(B61,2)="C:",IFERROR(VALUE(RIGHT(B61,LEN(B61)-2))&gt;=0,FALSE))),NOT(AND(LEFT(C61,2)="S:",IFERROR(VALUE(RIGHT(C61,LEN(C61)-2))&gt;=0,FALSE))),NOT(AND(LEFT(D61,2)="W:",OR(RIGHT(D61,LEN(D61)-2)="N",RIGHT(D61,LEN(D61)-2)="NE",RIGHT(D61,LEN(D61)-2)="E",RIGHT(D61,LEN(D61)-2)="SE",RIGHT(D61,LEN(D61)-2)="S",RIGHT(D61,LEN(D61)-2)="SW",RIGHT(D61,LEN(D61)-2)="W",RIGHT(D61,LEN(D61)-2)="NW"))),NOT(AND(LEFT(E61,2)="A:",IFERROR(VALUE(RIGHT(E61,LEN(E61)-2))&gt;=0,FALSE))),NOT(AND(LEFT(F61,2)="R:",IFERROR(VALUE(RIGHT(F61,LEN(F61)-2))&gt;=0,FALSE))),NOT(AND(LEFT(G61,2)="H:",IFERROR(VALUE(RIGHT(G61,LEN(G61)-2))&gt;=0,FALSE))),NOT(AND(LEFT(H61,2)="T:",IFERROR(VALUE(RIGHT(H61,LEN(H61)-2))&gt;=-50,FALSE))),NOT(AND(LEFT(I61,2)="P:",IFERROR(VALUE(RIGHT(I61,LEN(I61)-2))&gt;=900,FALSE))),NOT(AND(LEFT(J61,2)="B:",IFERROR(VALUE(RIGHT(J61,LEN(J61)-2))&gt;=0,FALSE))),AND(K61&lt;&gt;75,K61&lt;&gt;76)),1,0),1)</f>
        <v>0</v>
      </c>
    </row>
    <row r="62" spans="1:12">
      <c r="A62" t="s">
        <v>59</v>
      </c>
      <c r="B62" s="6" t="s">
        <v>151</v>
      </c>
      <c r="C62" t="s">
        <v>15</v>
      </c>
      <c r="D62" t="s">
        <v>20</v>
      </c>
      <c r="E62" t="s">
        <v>28</v>
      </c>
      <c r="F62" t="s">
        <v>149</v>
      </c>
      <c r="G62" t="s">
        <v>47</v>
      </c>
      <c r="H62" t="s">
        <v>101</v>
      </c>
      <c r="I62" t="s">
        <v>152</v>
      </c>
      <c r="J62" t="s">
        <v>23</v>
      </c>
      <c r="K62">
        <f t="shared" si="2"/>
        <v>76</v>
      </c>
      <c r="L62">
        <f t="shared" si="3"/>
        <v>0</v>
      </c>
    </row>
    <row r="63" spans="1:12">
      <c r="A63" t="s">
        <v>59</v>
      </c>
      <c r="B63" s="6" t="s">
        <v>153</v>
      </c>
      <c r="C63" t="s">
        <v>15</v>
      </c>
      <c r="D63" t="s">
        <v>20</v>
      </c>
      <c r="E63" t="s">
        <v>28</v>
      </c>
      <c r="F63" t="s">
        <v>149</v>
      </c>
      <c r="G63" t="s">
        <v>38</v>
      </c>
      <c r="H63" t="s">
        <v>101</v>
      </c>
      <c r="I63" t="s">
        <v>154</v>
      </c>
      <c r="J63" t="s">
        <v>23</v>
      </c>
      <c r="K63">
        <f t="shared" si="2"/>
        <v>76</v>
      </c>
      <c r="L63">
        <f t="shared" si="3"/>
        <v>0</v>
      </c>
    </row>
    <row r="64" spans="1:12">
      <c r="A64" t="s">
        <v>59</v>
      </c>
      <c r="B64" s="6" t="s">
        <v>155</v>
      </c>
      <c r="C64" t="s">
        <v>15</v>
      </c>
      <c r="D64" t="s">
        <v>20</v>
      </c>
      <c r="E64" t="s">
        <v>28</v>
      </c>
      <c r="F64" t="s">
        <v>149</v>
      </c>
      <c r="G64" t="s">
        <v>40</v>
      </c>
      <c r="H64" t="s">
        <v>101</v>
      </c>
      <c r="I64" t="s">
        <v>150</v>
      </c>
      <c r="J64" t="s">
        <v>23</v>
      </c>
      <c r="K64">
        <f t="shared" si="2"/>
        <v>76</v>
      </c>
      <c r="L64">
        <f t="shared" si="3"/>
        <v>0</v>
      </c>
    </row>
    <row r="65" spans="1:12">
      <c r="A65" t="s">
        <v>59</v>
      </c>
      <c r="B65" s="6" t="s">
        <v>156</v>
      </c>
      <c r="C65" t="s">
        <v>15</v>
      </c>
      <c r="D65" t="s">
        <v>20</v>
      </c>
      <c r="E65" t="s">
        <v>28</v>
      </c>
      <c r="F65" t="s">
        <v>149</v>
      </c>
      <c r="G65" t="s">
        <v>40</v>
      </c>
      <c r="H65" t="s">
        <v>101</v>
      </c>
      <c r="I65" t="s">
        <v>150</v>
      </c>
      <c r="J65" t="s">
        <v>23</v>
      </c>
      <c r="K65">
        <f t="shared" si="2"/>
        <v>76</v>
      </c>
      <c r="L65">
        <f t="shared" si="3"/>
        <v>0</v>
      </c>
    </row>
    <row r="66" spans="1:12">
      <c r="A66" t="s">
        <v>59</v>
      </c>
      <c r="B66" s="6" t="s">
        <v>157</v>
      </c>
      <c r="C66" t="s">
        <v>15</v>
      </c>
      <c r="D66" t="s">
        <v>20</v>
      </c>
      <c r="E66" t="s">
        <v>28</v>
      </c>
      <c r="F66" t="s">
        <v>149</v>
      </c>
      <c r="G66" t="s">
        <v>158</v>
      </c>
      <c r="H66" t="s">
        <v>98</v>
      </c>
      <c r="I66" t="s">
        <v>150</v>
      </c>
      <c r="J66" t="s">
        <v>23</v>
      </c>
      <c r="K66">
        <f t="shared" si="2"/>
        <v>76</v>
      </c>
      <c r="L66">
        <f t="shared" si="3"/>
        <v>0</v>
      </c>
    </row>
    <row r="67" spans="1:12">
      <c r="A67" t="s">
        <v>59</v>
      </c>
      <c r="B67" s="6" t="s">
        <v>159</v>
      </c>
      <c r="C67" t="s">
        <v>15</v>
      </c>
      <c r="D67" t="s">
        <v>20</v>
      </c>
      <c r="E67" t="s">
        <v>28</v>
      </c>
      <c r="F67" t="s">
        <v>149</v>
      </c>
      <c r="G67" t="s">
        <v>40</v>
      </c>
      <c r="H67" t="s">
        <v>98</v>
      </c>
      <c r="I67" t="s">
        <v>150</v>
      </c>
      <c r="J67" t="s">
        <v>23</v>
      </c>
      <c r="K67">
        <f t="shared" si="2"/>
        <v>76</v>
      </c>
      <c r="L67">
        <f t="shared" si="3"/>
        <v>0</v>
      </c>
    </row>
    <row r="68" spans="1:12">
      <c r="A68" t="s">
        <v>59</v>
      </c>
      <c r="B68" s="6" t="s">
        <v>160</v>
      </c>
      <c r="C68" t="s">
        <v>15</v>
      </c>
      <c r="D68" t="s">
        <v>20</v>
      </c>
      <c r="E68" t="s">
        <v>28</v>
      </c>
      <c r="F68" t="s">
        <v>149</v>
      </c>
      <c r="G68" t="s">
        <v>40</v>
      </c>
      <c r="H68" t="s">
        <v>98</v>
      </c>
      <c r="I68" t="s">
        <v>150</v>
      </c>
      <c r="J68" t="s">
        <v>23</v>
      </c>
      <c r="K68">
        <f t="shared" si="2"/>
        <v>76</v>
      </c>
      <c r="L68">
        <f t="shared" si="3"/>
        <v>0</v>
      </c>
    </row>
    <row r="69" spans="1:12">
      <c r="A69" t="s">
        <v>59</v>
      </c>
      <c r="B69" s="6" t="s">
        <v>161</v>
      </c>
      <c r="C69" t="s">
        <v>15</v>
      </c>
      <c r="D69" t="s">
        <v>20</v>
      </c>
      <c r="E69" t="s">
        <v>28</v>
      </c>
      <c r="F69" t="s">
        <v>149</v>
      </c>
      <c r="G69" t="s">
        <v>162</v>
      </c>
      <c r="H69" t="s">
        <v>98</v>
      </c>
      <c r="I69" t="s">
        <v>150</v>
      </c>
      <c r="J69" t="s">
        <v>23</v>
      </c>
      <c r="K69">
        <f t="shared" si="2"/>
        <v>76</v>
      </c>
      <c r="L69">
        <f t="shared" si="3"/>
        <v>0</v>
      </c>
    </row>
    <row r="70" spans="1:12">
      <c r="A70" t="s">
        <v>59</v>
      </c>
      <c r="B70" s="6" t="s">
        <v>163</v>
      </c>
      <c r="C70" t="s">
        <v>15</v>
      </c>
      <c r="D70" t="s">
        <v>20</v>
      </c>
      <c r="E70" t="s">
        <v>28</v>
      </c>
      <c r="F70" t="s">
        <v>149</v>
      </c>
      <c r="G70" t="s">
        <v>164</v>
      </c>
      <c r="H70" t="s">
        <v>122</v>
      </c>
      <c r="I70" t="s">
        <v>150</v>
      </c>
      <c r="J70" t="s">
        <v>23</v>
      </c>
      <c r="K70">
        <f t="shared" si="2"/>
        <v>76</v>
      </c>
      <c r="L70">
        <f t="shared" si="3"/>
        <v>0</v>
      </c>
    </row>
    <row r="71" spans="1:12">
      <c r="A71" t="s">
        <v>59</v>
      </c>
      <c r="B71" s="6" t="s">
        <v>165</v>
      </c>
      <c r="C71" t="s">
        <v>15</v>
      </c>
      <c r="D71" t="s">
        <v>20</v>
      </c>
      <c r="E71" t="s">
        <v>28</v>
      </c>
      <c r="F71" t="s">
        <v>149</v>
      </c>
      <c r="G71" t="s">
        <v>164</v>
      </c>
      <c r="H71" t="s">
        <v>122</v>
      </c>
      <c r="I71" t="s">
        <v>152</v>
      </c>
      <c r="J71" t="s">
        <v>23</v>
      </c>
      <c r="K71">
        <f t="shared" si="2"/>
        <v>76</v>
      </c>
      <c r="L71">
        <f t="shared" si="3"/>
        <v>0</v>
      </c>
    </row>
    <row r="72" spans="1:12">
      <c r="A72" t="s">
        <v>59</v>
      </c>
      <c r="B72" s="6" t="s">
        <v>166</v>
      </c>
      <c r="C72" t="s">
        <v>15</v>
      </c>
      <c r="D72" t="s">
        <v>20</v>
      </c>
      <c r="E72" t="s">
        <v>28</v>
      </c>
      <c r="F72" t="s">
        <v>149</v>
      </c>
      <c r="G72" t="s">
        <v>158</v>
      </c>
      <c r="H72" t="s">
        <v>126</v>
      </c>
      <c r="I72" t="s">
        <v>152</v>
      </c>
      <c r="J72" t="s">
        <v>23</v>
      </c>
      <c r="K72">
        <f t="shared" si="2"/>
        <v>76</v>
      </c>
      <c r="L72">
        <f t="shared" si="3"/>
        <v>0</v>
      </c>
    </row>
    <row r="73" spans="1:12">
      <c r="A73" t="s">
        <v>59</v>
      </c>
      <c r="B73" s="6" t="s">
        <v>167</v>
      </c>
      <c r="C73" t="s">
        <v>15</v>
      </c>
      <c r="D73" t="s">
        <v>20</v>
      </c>
      <c r="E73" t="s">
        <v>28</v>
      </c>
      <c r="F73" t="s">
        <v>149</v>
      </c>
      <c r="G73" t="s">
        <v>44</v>
      </c>
      <c r="H73" t="s">
        <v>129</v>
      </c>
      <c r="I73" t="s">
        <v>152</v>
      </c>
      <c r="J73" t="s">
        <v>23</v>
      </c>
      <c r="K73">
        <f t="shared" si="2"/>
        <v>76</v>
      </c>
      <c r="L73">
        <f t="shared" si="3"/>
        <v>0</v>
      </c>
    </row>
    <row r="74" spans="1:12">
      <c r="A74" t="s">
        <v>59</v>
      </c>
      <c r="B74" s="6" t="s">
        <v>168</v>
      </c>
      <c r="C74" t="s">
        <v>15</v>
      </c>
      <c r="D74" t="s">
        <v>20</v>
      </c>
      <c r="E74" t="s">
        <v>28</v>
      </c>
      <c r="F74" t="s">
        <v>149</v>
      </c>
      <c r="G74" t="s">
        <v>44</v>
      </c>
      <c r="H74" t="s">
        <v>129</v>
      </c>
      <c r="I74" t="s">
        <v>61</v>
      </c>
      <c r="J74" t="s">
        <v>23</v>
      </c>
      <c r="K74">
        <f t="shared" si="2"/>
        <v>76</v>
      </c>
      <c r="L74">
        <f t="shared" si="3"/>
        <v>0</v>
      </c>
    </row>
    <row r="75" spans="1:12">
      <c r="A75" t="s">
        <v>59</v>
      </c>
      <c r="B75" s="6" t="s">
        <v>169</v>
      </c>
      <c r="C75" t="s">
        <v>15</v>
      </c>
      <c r="D75" t="s">
        <v>20</v>
      </c>
      <c r="E75" t="s">
        <v>28</v>
      </c>
      <c r="F75" t="s">
        <v>149</v>
      </c>
      <c r="G75" t="s">
        <v>39</v>
      </c>
      <c r="H75" t="s">
        <v>133</v>
      </c>
      <c r="I75" t="s">
        <v>65</v>
      </c>
      <c r="J75" t="s">
        <v>23</v>
      </c>
      <c r="K75">
        <f t="shared" si="2"/>
        <v>76</v>
      </c>
      <c r="L75">
        <f t="shared" si="3"/>
        <v>0</v>
      </c>
    </row>
    <row r="76" spans="1:12">
      <c r="A76" t="s">
        <v>59</v>
      </c>
      <c r="B76" s="6" t="s">
        <v>170</v>
      </c>
      <c r="C76" t="s">
        <v>15</v>
      </c>
      <c r="D76" t="s">
        <v>20</v>
      </c>
      <c r="E76" t="s">
        <v>28</v>
      </c>
      <c r="F76" t="s">
        <v>149</v>
      </c>
      <c r="G76" t="s">
        <v>39</v>
      </c>
      <c r="H76" t="s">
        <v>135</v>
      </c>
      <c r="I76" t="s">
        <v>67</v>
      </c>
      <c r="J76" t="s">
        <v>23</v>
      </c>
      <c r="K76">
        <f t="shared" si="2"/>
        <v>76</v>
      </c>
      <c r="L76">
        <f t="shared" si="3"/>
        <v>0</v>
      </c>
    </row>
    <row r="77" spans="1:12">
      <c r="A77" t="s">
        <v>59</v>
      </c>
      <c r="B77" s="6" t="s">
        <v>171</v>
      </c>
      <c r="C77" t="s">
        <v>15</v>
      </c>
      <c r="D77" t="s">
        <v>20</v>
      </c>
      <c r="E77" t="s">
        <v>28</v>
      </c>
      <c r="F77" t="s">
        <v>149</v>
      </c>
      <c r="G77" t="s">
        <v>96</v>
      </c>
      <c r="H77" t="s">
        <v>138</v>
      </c>
      <c r="I77" t="s">
        <v>67</v>
      </c>
      <c r="J77" t="s">
        <v>23</v>
      </c>
      <c r="K77">
        <f t="shared" si="2"/>
        <v>76</v>
      </c>
      <c r="L77">
        <f t="shared" si="3"/>
        <v>0</v>
      </c>
    </row>
    <row r="78" spans="1:12">
      <c r="A78" t="s">
        <v>59</v>
      </c>
      <c r="B78" s="6" t="s">
        <v>172</v>
      </c>
      <c r="C78" t="s">
        <v>15</v>
      </c>
      <c r="D78" t="s">
        <v>20</v>
      </c>
      <c r="E78" t="s">
        <v>28</v>
      </c>
      <c r="F78" t="s">
        <v>149</v>
      </c>
      <c r="G78" t="s">
        <v>96</v>
      </c>
      <c r="H78" t="s">
        <v>138</v>
      </c>
      <c r="I78" t="s">
        <v>61</v>
      </c>
      <c r="J78" t="s">
        <v>23</v>
      </c>
      <c r="K78">
        <f t="shared" si="2"/>
        <v>76</v>
      </c>
      <c r="L78">
        <f t="shared" si="3"/>
        <v>0</v>
      </c>
    </row>
    <row r="79" spans="1:12">
      <c r="A79" t="s">
        <v>59</v>
      </c>
      <c r="B79" s="6" t="s">
        <v>173</v>
      </c>
      <c r="C79" t="s">
        <v>15</v>
      </c>
      <c r="D79" t="s">
        <v>20</v>
      </c>
      <c r="E79" t="s">
        <v>28</v>
      </c>
      <c r="F79" t="s">
        <v>149</v>
      </c>
      <c r="G79" t="s">
        <v>39</v>
      </c>
      <c r="H79" t="s">
        <v>101</v>
      </c>
      <c r="I79" t="s">
        <v>150</v>
      </c>
      <c r="J79" t="s">
        <v>23</v>
      </c>
      <c r="K79">
        <f t="shared" si="2"/>
        <v>76</v>
      </c>
      <c r="L79">
        <f t="shared" si="3"/>
        <v>0</v>
      </c>
    </row>
    <row r="80" spans="1:12">
      <c r="A80" t="s">
        <v>59</v>
      </c>
      <c r="B80" s="6" t="s">
        <v>174</v>
      </c>
      <c r="C80" t="s">
        <v>175</v>
      </c>
      <c r="D80" t="s">
        <v>20</v>
      </c>
      <c r="E80" t="s">
        <v>28</v>
      </c>
      <c r="F80" t="s">
        <v>149</v>
      </c>
      <c r="G80" t="s">
        <v>45</v>
      </c>
      <c r="H80" t="s">
        <v>101</v>
      </c>
      <c r="I80" t="s">
        <v>154</v>
      </c>
      <c r="J80" t="s">
        <v>23</v>
      </c>
      <c r="K80">
        <f t="shared" si="2"/>
        <v>76</v>
      </c>
      <c r="L80">
        <f t="shared" si="3"/>
        <v>0</v>
      </c>
    </row>
    <row r="81" spans="1:12">
      <c r="A81" t="s">
        <v>59</v>
      </c>
      <c r="B81" s="6" t="s">
        <v>179</v>
      </c>
      <c r="C81" t="s">
        <v>15</v>
      </c>
      <c r="D81" t="s">
        <v>20</v>
      </c>
      <c r="E81" t="s">
        <v>28</v>
      </c>
      <c r="F81" t="s">
        <v>177</v>
      </c>
      <c r="G81" t="s">
        <v>48</v>
      </c>
      <c r="H81" t="s">
        <v>138</v>
      </c>
      <c r="I81" t="s">
        <v>67</v>
      </c>
      <c r="J81" t="s">
        <v>23</v>
      </c>
      <c r="K81">
        <f t="shared" si="2"/>
        <v>76</v>
      </c>
      <c r="L81">
        <f t="shared" si="3"/>
        <v>0</v>
      </c>
    </row>
    <row r="82" spans="1:12">
      <c r="A82" t="s">
        <v>59</v>
      </c>
      <c r="B82" s="6" t="s">
        <v>180</v>
      </c>
      <c r="C82" t="s">
        <v>15</v>
      </c>
      <c r="D82" t="s">
        <v>20</v>
      </c>
      <c r="E82" t="s">
        <v>28</v>
      </c>
      <c r="F82" t="s">
        <v>177</v>
      </c>
      <c r="G82" t="s">
        <v>162</v>
      </c>
      <c r="H82" t="s">
        <v>138</v>
      </c>
      <c r="I82" t="s">
        <v>67</v>
      </c>
      <c r="J82" t="s">
        <v>23</v>
      </c>
      <c r="K82">
        <f t="shared" si="2"/>
        <v>76</v>
      </c>
      <c r="L82">
        <f t="shared" si="3"/>
        <v>0</v>
      </c>
    </row>
    <row r="83" spans="1:12">
      <c r="A83" t="s">
        <v>59</v>
      </c>
      <c r="B83" s="6" t="s">
        <v>181</v>
      </c>
      <c r="C83" t="s">
        <v>15</v>
      </c>
      <c r="D83" t="s">
        <v>20</v>
      </c>
      <c r="E83" t="s">
        <v>28</v>
      </c>
      <c r="F83" t="s">
        <v>177</v>
      </c>
      <c r="G83" t="s">
        <v>30</v>
      </c>
      <c r="H83" t="s">
        <v>138</v>
      </c>
      <c r="I83" t="s">
        <v>67</v>
      </c>
      <c r="J83" t="s">
        <v>23</v>
      </c>
      <c r="K83">
        <f t="shared" si="2"/>
        <v>76</v>
      </c>
      <c r="L83">
        <f t="shared" si="3"/>
        <v>0</v>
      </c>
    </row>
    <row r="84" spans="1:12">
      <c r="A84" t="s">
        <v>59</v>
      </c>
      <c r="B84" s="6" t="s">
        <v>182</v>
      </c>
      <c r="C84" t="s">
        <v>15</v>
      </c>
      <c r="D84" t="s">
        <v>20</v>
      </c>
      <c r="E84" t="s">
        <v>28</v>
      </c>
      <c r="F84" t="s">
        <v>177</v>
      </c>
      <c r="G84" t="s">
        <v>30</v>
      </c>
      <c r="H84" t="s">
        <v>138</v>
      </c>
      <c r="I84" t="s">
        <v>21</v>
      </c>
      <c r="J84" t="s">
        <v>23</v>
      </c>
      <c r="K84">
        <f t="shared" si="2"/>
        <v>76</v>
      </c>
      <c r="L84">
        <f t="shared" si="3"/>
        <v>0</v>
      </c>
    </row>
    <row r="85" spans="1:12">
      <c r="A85" t="s">
        <v>59</v>
      </c>
      <c r="B85" s="6" t="s">
        <v>183</v>
      </c>
      <c r="C85" t="s">
        <v>15</v>
      </c>
      <c r="D85" t="s">
        <v>20</v>
      </c>
      <c r="E85" t="s">
        <v>28</v>
      </c>
      <c r="F85" t="s">
        <v>177</v>
      </c>
      <c r="G85" t="s">
        <v>35</v>
      </c>
      <c r="H85" t="s">
        <v>133</v>
      </c>
      <c r="I85" t="s">
        <v>67</v>
      </c>
      <c r="J85" t="s">
        <v>23</v>
      </c>
      <c r="K85">
        <f t="shared" si="2"/>
        <v>76</v>
      </c>
      <c r="L85">
        <f t="shared" si="3"/>
        <v>0</v>
      </c>
    </row>
    <row r="86" spans="1:12">
      <c r="A86" t="s">
        <v>59</v>
      </c>
      <c r="B86" s="6" t="s">
        <v>184</v>
      </c>
      <c r="C86" t="s">
        <v>15</v>
      </c>
      <c r="D86" t="s">
        <v>20</v>
      </c>
      <c r="E86" t="s">
        <v>28</v>
      </c>
      <c r="F86" t="s">
        <v>177</v>
      </c>
      <c r="G86" t="s">
        <v>30</v>
      </c>
      <c r="H86" t="s">
        <v>133</v>
      </c>
      <c r="I86" t="s">
        <v>61</v>
      </c>
      <c r="J86" t="s">
        <v>23</v>
      </c>
      <c r="K86">
        <f t="shared" si="2"/>
        <v>76</v>
      </c>
      <c r="L86">
        <f t="shared" si="3"/>
        <v>0</v>
      </c>
    </row>
    <row r="87" spans="1:12">
      <c r="A87" t="s">
        <v>59</v>
      </c>
      <c r="B87" s="6" t="s">
        <v>185</v>
      </c>
      <c r="C87" t="s">
        <v>15</v>
      </c>
      <c r="D87" t="s">
        <v>20</v>
      </c>
      <c r="E87" t="s">
        <v>28</v>
      </c>
      <c r="F87" t="s">
        <v>177</v>
      </c>
      <c r="G87" t="s">
        <v>178</v>
      </c>
      <c r="H87" t="s">
        <v>133</v>
      </c>
      <c r="I87" t="s">
        <v>65</v>
      </c>
      <c r="J87" t="s">
        <v>23</v>
      </c>
      <c r="K87">
        <f t="shared" si="2"/>
        <v>76</v>
      </c>
      <c r="L87">
        <f t="shared" si="3"/>
        <v>0</v>
      </c>
    </row>
    <row r="88" spans="1:12">
      <c r="A88" t="s">
        <v>59</v>
      </c>
      <c r="B88" s="6" t="s">
        <v>186</v>
      </c>
      <c r="C88" t="s">
        <v>15</v>
      </c>
      <c r="D88" t="s">
        <v>20</v>
      </c>
      <c r="E88" t="s">
        <v>28</v>
      </c>
      <c r="F88" t="s">
        <v>177</v>
      </c>
      <c r="G88" t="s">
        <v>162</v>
      </c>
      <c r="H88" t="s">
        <v>133</v>
      </c>
      <c r="I88" t="s">
        <v>67</v>
      </c>
      <c r="J88" t="s">
        <v>23</v>
      </c>
      <c r="K88">
        <f t="shared" si="2"/>
        <v>76</v>
      </c>
      <c r="L88">
        <f t="shared" si="3"/>
        <v>0</v>
      </c>
    </row>
    <row r="89" spans="1:12">
      <c r="A89" t="s">
        <v>59</v>
      </c>
      <c r="B89" s="6" t="s">
        <v>187</v>
      </c>
      <c r="C89" t="s">
        <v>15</v>
      </c>
      <c r="D89" t="s">
        <v>20</v>
      </c>
      <c r="E89" t="s">
        <v>28</v>
      </c>
      <c r="F89" t="s">
        <v>177</v>
      </c>
      <c r="G89" t="s">
        <v>36</v>
      </c>
      <c r="H89" t="s">
        <v>133</v>
      </c>
      <c r="I89" t="s">
        <v>22</v>
      </c>
      <c r="J89" t="s">
        <v>23</v>
      </c>
      <c r="K89">
        <f t="shared" si="2"/>
        <v>76</v>
      </c>
      <c r="L89">
        <f t="shared" si="3"/>
        <v>0</v>
      </c>
    </row>
    <row r="90" spans="1:12">
      <c r="A90" t="s">
        <v>59</v>
      </c>
      <c r="B90" s="6" t="s">
        <v>188</v>
      </c>
      <c r="C90" t="s">
        <v>15</v>
      </c>
      <c r="D90" t="s">
        <v>20</v>
      </c>
      <c r="E90" t="s">
        <v>28</v>
      </c>
      <c r="F90" t="s">
        <v>177</v>
      </c>
      <c r="G90" t="s">
        <v>162</v>
      </c>
      <c r="H90" t="s">
        <v>133</v>
      </c>
      <c r="I90" t="s">
        <v>152</v>
      </c>
      <c r="J90" t="s">
        <v>23</v>
      </c>
      <c r="K90">
        <f t="shared" si="2"/>
        <v>76</v>
      </c>
      <c r="L90">
        <f t="shared" si="3"/>
        <v>0</v>
      </c>
    </row>
    <row r="91" spans="1:12">
      <c r="A91" t="s">
        <v>59</v>
      </c>
      <c r="B91" s="6" t="s">
        <v>189</v>
      </c>
      <c r="C91" t="s">
        <v>15</v>
      </c>
      <c r="D91" t="s">
        <v>20</v>
      </c>
      <c r="E91" t="s">
        <v>28</v>
      </c>
      <c r="F91" t="s">
        <v>177</v>
      </c>
      <c r="G91" t="s">
        <v>158</v>
      </c>
      <c r="H91" t="s">
        <v>133</v>
      </c>
      <c r="I91" t="s">
        <v>65</v>
      </c>
      <c r="J91" t="s">
        <v>23</v>
      </c>
      <c r="K91">
        <f t="shared" si="2"/>
        <v>76</v>
      </c>
      <c r="L91">
        <f t="shared" si="3"/>
        <v>0</v>
      </c>
    </row>
    <row r="92" spans="1:12">
      <c r="A92" t="s">
        <v>59</v>
      </c>
      <c r="B92" s="6" t="s">
        <v>190</v>
      </c>
      <c r="C92" t="s">
        <v>15</v>
      </c>
      <c r="D92" t="s">
        <v>20</v>
      </c>
      <c r="E92" t="s">
        <v>28</v>
      </c>
      <c r="F92" t="s">
        <v>177</v>
      </c>
      <c r="G92" t="s">
        <v>38</v>
      </c>
      <c r="H92" t="s">
        <v>133</v>
      </c>
      <c r="I92" t="s">
        <v>67</v>
      </c>
      <c r="J92" t="s">
        <v>23</v>
      </c>
      <c r="K92">
        <f t="shared" si="2"/>
        <v>76</v>
      </c>
      <c r="L92">
        <f t="shared" si="3"/>
        <v>0</v>
      </c>
    </row>
    <row r="93" spans="1:12">
      <c r="A93" t="s">
        <v>59</v>
      </c>
      <c r="B93" s="6" t="s">
        <v>191</v>
      </c>
      <c r="C93" t="s">
        <v>15</v>
      </c>
      <c r="D93" t="s">
        <v>20</v>
      </c>
      <c r="E93" t="s">
        <v>28</v>
      </c>
      <c r="F93" t="s">
        <v>177</v>
      </c>
      <c r="G93" t="s">
        <v>45</v>
      </c>
      <c r="H93" t="s">
        <v>133</v>
      </c>
      <c r="I93" t="s">
        <v>152</v>
      </c>
      <c r="J93" t="s">
        <v>23</v>
      </c>
      <c r="K93">
        <f t="shared" si="2"/>
        <v>76</v>
      </c>
      <c r="L93">
        <f t="shared" si="3"/>
        <v>0</v>
      </c>
    </row>
    <row r="94" spans="1:12">
      <c r="A94" t="s">
        <v>59</v>
      </c>
      <c r="B94" s="6" t="s">
        <v>192</v>
      </c>
      <c r="C94" t="s">
        <v>15</v>
      </c>
      <c r="D94" t="s">
        <v>20</v>
      </c>
      <c r="E94" t="s">
        <v>28</v>
      </c>
      <c r="F94" t="s">
        <v>177</v>
      </c>
      <c r="G94" t="s">
        <v>158</v>
      </c>
      <c r="H94" t="s">
        <v>133</v>
      </c>
      <c r="I94" t="s">
        <v>152</v>
      </c>
      <c r="J94" t="s">
        <v>23</v>
      </c>
      <c r="K94">
        <f t="shared" si="2"/>
        <v>76</v>
      </c>
      <c r="L94">
        <f t="shared" si="3"/>
        <v>0</v>
      </c>
    </row>
    <row r="95" spans="1:12">
      <c r="A95" t="s">
        <v>59</v>
      </c>
      <c r="B95" s="6" t="s">
        <v>193</v>
      </c>
      <c r="C95" t="s">
        <v>15</v>
      </c>
      <c r="D95" t="s">
        <v>20</v>
      </c>
      <c r="E95" t="s">
        <v>28</v>
      </c>
      <c r="F95" t="s">
        <v>177</v>
      </c>
      <c r="G95" t="s">
        <v>37</v>
      </c>
      <c r="H95" t="s">
        <v>133</v>
      </c>
      <c r="I95" t="s">
        <v>152</v>
      </c>
      <c r="J95" t="s">
        <v>23</v>
      </c>
      <c r="K95">
        <f t="shared" si="2"/>
        <v>76</v>
      </c>
      <c r="L95">
        <f t="shared" si="3"/>
        <v>0</v>
      </c>
    </row>
    <row r="96" spans="1:12">
      <c r="A96" t="s">
        <v>59</v>
      </c>
      <c r="B96" s="6" t="s">
        <v>194</v>
      </c>
      <c r="C96" t="s">
        <v>15</v>
      </c>
      <c r="D96" t="s">
        <v>20</v>
      </c>
      <c r="E96" t="s">
        <v>28</v>
      </c>
      <c r="F96" t="s">
        <v>195</v>
      </c>
      <c r="G96" t="s">
        <v>47</v>
      </c>
      <c r="H96" t="s">
        <v>133</v>
      </c>
      <c r="I96" t="s">
        <v>152</v>
      </c>
      <c r="J96" t="s">
        <v>23</v>
      </c>
      <c r="K96">
        <f t="shared" si="2"/>
        <v>76</v>
      </c>
      <c r="L96">
        <f t="shared" si="3"/>
        <v>0</v>
      </c>
    </row>
    <row r="97" spans="1:12">
      <c r="A97" t="s">
        <v>59</v>
      </c>
      <c r="B97" s="6" t="s">
        <v>196</v>
      </c>
      <c r="C97" t="s">
        <v>15</v>
      </c>
      <c r="D97" t="s">
        <v>20</v>
      </c>
      <c r="E97" t="s">
        <v>28</v>
      </c>
      <c r="F97" t="s">
        <v>177</v>
      </c>
      <c r="G97" t="s">
        <v>38</v>
      </c>
      <c r="H97" t="s">
        <v>133</v>
      </c>
      <c r="I97" t="s">
        <v>152</v>
      </c>
      <c r="J97" t="s">
        <v>23</v>
      </c>
      <c r="K97">
        <f t="shared" si="2"/>
        <v>76</v>
      </c>
      <c r="L97">
        <f t="shared" si="3"/>
        <v>0</v>
      </c>
    </row>
    <row r="98" spans="1:12">
      <c r="A98" t="s">
        <v>59</v>
      </c>
      <c r="B98" s="6" t="s">
        <v>197</v>
      </c>
      <c r="C98" t="s">
        <v>15</v>
      </c>
      <c r="D98" t="s">
        <v>20</v>
      </c>
      <c r="E98" t="s">
        <v>28</v>
      </c>
      <c r="F98" t="s">
        <v>177</v>
      </c>
      <c r="G98" t="s">
        <v>164</v>
      </c>
      <c r="H98" t="s">
        <v>133</v>
      </c>
      <c r="I98" t="s">
        <v>152</v>
      </c>
      <c r="J98" t="s">
        <v>23</v>
      </c>
      <c r="K98">
        <f t="shared" si="2"/>
        <v>76</v>
      </c>
      <c r="L98">
        <f t="shared" si="3"/>
        <v>0</v>
      </c>
    </row>
    <row r="99" spans="1:12">
      <c r="A99" t="s">
        <v>59</v>
      </c>
      <c r="B99" s="6" t="s">
        <v>198</v>
      </c>
      <c r="C99" t="s">
        <v>15</v>
      </c>
      <c r="D99" t="s">
        <v>20</v>
      </c>
      <c r="E99" t="s">
        <v>28</v>
      </c>
      <c r="F99" t="s">
        <v>177</v>
      </c>
      <c r="G99" t="s">
        <v>164</v>
      </c>
      <c r="H99" t="s">
        <v>133</v>
      </c>
      <c r="I99" t="s">
        <v>152</v>
      </c>
      <c r="J99" t="s">
        <v>23</v>
      </c>
      <c r="K99">
        <f t="shared" si="2"/>
        <v>76</v>
      </c>
      <c r="L99">
        <f t="shared" si="3"/>
        <v>0</v>
      </c>
    </row>
    <row r="100" spans="1:12">
      <c r="A100" t="s">
        <v>59</v>
      </c>
      <c r="B100" s="6" t="s">
        <v>199</v>
      </c>
      <c r="C100" t="s">
        <v>15</v>
      </c>
      <c r="D100" t="s">
        <v>20</v>
      </c>
      <c r="E100" t="s">
        <v>28</v>
      </c>
      <c r="F100" t="s">
        <v>177</v>
      </c>
      <c r="G100" t="s">
        <v>158</v>
      </c>
      <c r="H100" t="s">
        <v>133</v>
      </c>
      <c r="I100" t="s">
        <v>152</v>
      </c>
      <c r="J100" t="s">
        <v>23</v>
      </c>
      <c r="K100">
        <f t="shared" si="2"/>
        <v>76</v>
      </c>
      <c r="L100">
        <f t="shared" si="3"/>
        <v>0</v>
      </c>
    </row>
    <row r="101" spans="1:12">
      <c r="A101" t="s">
        <v>59</v>
      </c>
      <c r="B101" s="6" t="s">
        <v>200</v>
      </c>
      <c r="C101" t="s">
        <v>15</v>
      </c>
      <c r="D101" t="s">
        <v>20</v>
      </c>
      <c r="E101" t="s">
        <v>28</v>
      </c>
      <c r="F101" t="s">
        <v>177</v>
      </c>
      <c r="G101" t="s">
        <v>164</v>
      </c>
      <c r="H101" t="s">
        <v>133</v>
      </c>
      <c r="I101" t="s">
        <v>152</v>
      </c>
      <c r="J101" t="s">
        <v>23</v>
      </c>
      <c r="K101">
        <f t="shared" si="2"/>
        <v>76</v>
      </c>
      <c r="L101">
        <f t="shared" si="3"/>
        <v>0</v>
      </c>
    </row>
    <row r="102" spans="1:12">
      <c r="A102" t="s">
        <v>59</v>
      </c>
      <c r="B102" s="6" t="s">
        <v>201</v>
      </c>
      <c r="C102" t="s">
        <v>15</v>
      </c>
      <c r="D102" t="s">
        <v>20</v>
      </c>
      <c r="E102" t="s">
        <v>28</v>
      </c>
      <c r="F102" t="s">
        <v>177</v>
      </c>
      <c r="G102" t="s">
        <v>38</v>
      </c>
      <c r="H102" t="s">
        <v>133</v>
      </c>
      <c r="I102" t="s">
        <v>152</v>
      </c>
      <c r="J102" t="s">
        <v>23</v>
      </c>
      <c r="K102">
        <f t="shared" si="2"/>
        <v>76</v>
      </c>
      <c r="L102">
        <f t="shared" si="3"/>
        <v>0</v>
      </c>
    </row>
    <row r="103" spans="1:12">
      <c r="A103" t="s">
        <v>59</v>
      </c>
      <c r="B103" s="6" t="s">
        <v>202</v>
      </c>
      <c r="C103" t="s">
        <v>15</v>
      </c>
      <c r="D103" t="s">
        <v>20</v>
      </c>
      <c r="E103" t="s">
        <v>28</v>
      </c>
      <c r="F103" t="s">
        <v>177</v>
      </c>
      <c r="G103" t="s">
        <v>38</v>
      </c>
      <c r="H103" t="s">
        <v>133</v>
      </c>
      <c r="I103" t="s">
        <v>152</v>
      </c>
      <c r="J103" t="s">
        <v>23</v>
      </c>
      <c r="K103">
        <f t="shared" si="2"/>
        <v>76</v>
      </c>
      <c r="L103">
        <f t="shared" si="3"/>
        <v>0</v>
      </c>
    </row>
    <row r="104" spans="1:12">
      <c r="A104" t="s">
        <v>59</v>
      </c>
      <c r="B104" s="6" t="s">
        <v>203</v>
      </c>
      <c r="C104" t="s">
        <v>15</v>
      </c>
      <c r="D104" t="s">
        <v>20</v>
      </c>
      <c r="E104" t="s">
        <v>28</v>
      </c>
      <c r="F104" t="s">
        <v>177</v>
      </c>
      <c r="G104" t="s">
        <v>158</v>
      </c>
      <c r="H104" t="s">
        <v>135</v>
      </c>
      <c r="I104" t="s">
        <v>152</v>
      </c>
      <c r="J104" t="s">
        <v>23</v>
      </c>
      <c r="K104">
        <f t="shared" si="2"/>
        <v>76</v>
      </c>
      <c r="L104">
        <f t="shared" si="3"/>
        <v>0</v>
      </c>
    </row>
    <row r="105" spans="1:12">
      <c r="A105" t="s">
        <v>59</v>
      </c>
      <c r="B105" s="6" t="s">
        <v>204</v>
      </c>
      <c r="C105" t="s">
        <v>15</v>
      </c>
      <c r="D105" t="s">
        <v>20</v>
      </c>
      <c r="E105" t="s">
        <v>28</v>
      </c>
      <c r="F105" t="s">
        <v>177</v>
      </c>
      <c r="G105" t="s">
        <v>164</v>
      </c>
      <c r="H105" t="s">
        <v>135</v>
      </c>
      <c r="I105" t="s">
        <v>152</v>
      </c>
      <c r="J105" t="s">
        <v>23</v>
      </c>
      <c r="K105">
        <f t="shared" si="2"/>
        <v>76</v>
      </c>
      <c r="L105">
        <f t="shared" si="3"/>
        <v>0</v>
      </c>
    </row>
    <row r="106" spans="1:12">
      <c r="A106" t="s">
        <v>59</v>
      </c>
      <c r="B106" s="6" t="s">
        <v>205</v>
      </c>
      <c r="C106" t="s">
        <v>15</v>
      </c>
      <c r="D106" t="s">
        <v>20</v>
      </c>
      <c r="E106" t="s">
        <v>28</v>
      </c>
      <c r="F106" t="s">
        <v>177</v>
      </c>
      <c r="G106" t="s">
        <v>164</v>
      </c>
      <c r="H106" t="s">
        <v>135</v>
      </c>
      <c r="I106" t="s">
        <v>65</v>
      </c>
      <c r="J106" t="s">
        <v>23</v>
      </c>
      <c r="K106">
        <f t="shared" si="2"/>
        <v>76</v>
      </c>
      <c r="L106">
        <f t="shared" si="3"/>
        <v>0</v>
      </c>
    </row>
    <row r="107" spans="1:12">
      <c r="A107" t="s">
        <v>59</v>
      </c>
      <c r="B107" s="6" t="s">
        <v>206</v>
      </c>
      <c r="C107" t="s">
        <v>15</v>
      </c>
      <c r="D107" t="s">
        <v>20</v>
      </c>
      <c r="E107" t="s">
        <v>28</v>
      </c>
      <c r="F107" t="s">
        <v>177</v>
      </c>
      <c r="G107" t="s">
        <v>164</v>
      </c>
      <c r="H107" t="s">
        <v>135</v>
      </c>
      <c r="I107" t="s">
        <v>61</v>
      </c>
      <c r="J107" t="s">
        <v>23</v>
      </c>
      <c r="K107">
        <f t="shared" si="2"/>
        <v>76</v>
      </c>
      <c r="L107">
        <f t="shared" si="3"/>
        <v>0</v>
      </c>
    </row>
    <row r="108" spans="1:12">
      <c r="A108" t="s">
        <v>59</v>
      </c>
      <c r="B108" s="6" t="s">
        <v>207</v>
      </c>
      <c r="C108" t="s">
        <v>15</v>
      </c>
      <c r="D108" t="s">
        <v>20</v>
      </c>
      <c r="E108" t="s">
        <v>28</v>
      </c>
      <c r="F108" t="s">
        <v>177</v>
      </c>
      <c r="G108" t="s">
        <v>178</v>
      </c>
      <c r="H108" t="s">
        <v>135</v>
      </c>
      <c r="I108" t="s">
        <v>67</v>
      </c>
      <c r="J108" t="s">
        <v>23</v>
      </c>
      <c r="K108">
        <f t="shared" si="2"/>
        <v>76</v>
      </c>
      <c r="L108">
        <f t="shared" si="3"/>
        <v>0</v>
      </c>
    </row>
    <row r="109" spans="1:12">
      <c r="A109" t="s">
        <v>59</v>
      </c>
      <c r="B109" s="6" t="s">
        <v>208</v>
      </c>
      <c r="C109" t="s">
        <v>15</v>
      </c>
      <c r="D109" t="s">
        <v>20</v>
      </c>
      <c r="E109" t="s">
        <v>28</v>
      </c>
      <c r="F109" t="s">
        <v>177</v>
      </c>
      <c r="G109" t="s">
        <v>29</v>
      </c>
      <c r="H109" t="s">
        <v>133</v>
      </c>
      <c r="I109" t="s">
        <v>61</v>
      </c>
      <c r="J109" t="s">
        <v>23</v>
      </c>
      <c r="K109">
        <f t="shared" si="2"/>
        <v>76</v>
      </c>
      <c r="L109">
        <f t="shared" si="3"/>
        <v>0</v>
      </c>
    </row>
    <row r="110" spans="1:12">
      <c r="A110" t="s">
        <v>59</v>
      </c>
      <c r="B110" s="6" t="s">
        <v>209</v>
      </c>
      <c r="C110" t="s">
        <v>15</v>
      </c>
      <c r="D110" t="s">
        <v>20</v>
      </c>
      <c r="E110" t="s">
        <v>28</v>
      </c>
      <c r="F110" t="s">
        <v>177</v>
      </c>
      <c r="G110" t="s">
        <v>162</v>
      </c>
      <c r="H110" t="s">
        <v>135</v>
      </c>
      <c r="I110" t="s">
        <v>61</v>
      </c>
      <c r="J110" t="s">
        <v>23</v>
      </c>
      <c r="K110">
        <f t="shared" si="2"/>
        <v>76</v>
      </c>
      <c r="L110">
        <f t="shared" si="3"/>
        <v>0</v>
      </c>
    </row>
    <row r="111" spans="1:12">
      <c r="A111" t="s">
        <v>59</v>
      </c>
      <c r="B111" s="6" t="s">
        <v>210</v>
      </c>
      <c r="C111" t="s">
        <v>15</v>
      </c>
      <c r="D111" t="s">
        <v>20</v>
      </c>
      <c r="E111" t="s">
        <v>28</v>
      </c>
      <c r="F111" t="s">
        <v>177</v>
      </c>
      <c r="G111" t="s">
        <v>30</v>
      </c>
      <c r="H111" t="s">
        <v>138</v>
      </c>
      <c r="I111" t="s">
        <v>67</v>
      </c>
      <c r="J111" t="s">
        <v>23</v>
      </c>
      <c r="K111">
        <f t="shared" si="2"/>
        <v>76</v>
      </c>
      <c r="L111">
        <f t="shared" si="3"/>
        <v>0</v>
      </c>
    </row>
    <row r="112" spans="1:12">
      <c r="A112" t="s">
        <v>59</v>
      </c>
      <c r="B112" s="6" t="s">
        <v>211</v>
      </c>
      <c r="C112" t="s">
        <v>15</v>
      </c>
      <c r="D112" t="s">
        <v>20</v>
      </c>
      <c r="E112" t="s">
        <v>28</v>
      </c>
      <c r="F112" t="s">
        <v>177</v>
      </c>
      <c r="G112" t="s">
        <v>48</v>
      </c>
      <c r="H112" t="s">
        <v>138</v>
      </c>
      <c r="I112" t="s">
        <v>21</v>
      </c>
      <c r="J112" t="s">
        <v>23</v>
      </c>
      <c r="K112">
        <f t="shared" si="2"/>
        <v>76</v>
      </c>
      <c r="L112">
        <f t="shared" si="3"/>
        <v>0</v>
      </c>
    </row>
    <row r="113" spans="1:12">
      <c r="A113" t="s">
        <v>59</v>
      </c>
      <c r="B113" s="6" t="s">
        <v>212</v>
      </c>
      <c r="C113" t="s">
        <v>15</v>
      </c>
      <c r="D113" t="s">
        <v>20</v>
      </c>
      <c r="E113" t="s">
        <v>28</v>
      </c>
      <c r="F113" t="s">
        <v>177</v>
      </c>
      <c r="G113" t="s">
        <v>48</v>
      </c>
      <c r="H113" t="s">
        <v>138</v>
      </c>
      <c r="I113" t="s">
        <v>21</v>
      </c>
      <c r="J113" t="s">
        <v>23</v>
      </c>
      <c r="K113">
        <f t="shared" ref="K113:K169" si="4">LEN(A113&amp;B113&amp;C113&amp;D113&amp;E113&amp;F113&amp;G113&amp;H113&amp;I113&amp;J113)</f>
        <v>76</v>
      </c>
      <c r="L113">
        <f t="shared" ref="L113:L169" si="5">IFERROR(IF(OR(NOT(AND(LEFT(A113,2)="D:",IFERROR(VALUE(RIGHT(A113,LEN(A113)-2))&gt;=0,FALSE))),NOT(AND(LEFT(B113,2)="C:",IFERROR(VALUE(RIGHT(B113,LEN(B113)-2))&gt;=0,FALSE))),NOT(AND(LEFT(C113,2)="S:",IFERROR(VALUE(RIGHT(C113,LEN(C113)-2))&gt;=0,FALSE))),NOT(AND(LEFT(D113,2)="W:",OR(RIGHT(D113,LEN(D113)-2)="N",RIGHT(D113,LEN(D113)-2)="NE",RIGHT(D113,LEN(D113)-2)="E",RIGHT(D113,LEN(D113)-2)="SE",RIGHT(D113,LEN(D113)-2)="S",RIGHT(D113,LEN(D113)-2)="SW",RIGHT(D113,LEN(D113)-2)="W",RIGHT(D113,LEN(D113)-2)="NW"))),NOT(AND(LEFT(E113,2)="A:",IFERROR(VALUE(RIGHT(E113,LEN(E113)-2))&gt;=0,FALSE))),NOT(AND(LEFT(F113,2)="R:",IFERROR(VALUE(RIGHT(F113,LEN(F113)-2))&gt;=0,FALSE))),NOT(AND(LEFT(G113,2)="H:",IFERROR(VALUE(RIGHT(G113,LEN(G113)-2))&gt;=0,FALSE))),NOT(AND(LEFT(H113,2)="T:",IFERROR(VALUE(RIGHT(H113,LEN(H113)-2))&gt;=-50,FALSE))),NOT(AND(LEFT(I113,2)="P:",IFERROR(VALUE(RIGHT(I113,LEN(I113)-2))&gt;=900,FALSE))),NOT(AND(LEFT(J113,2)="B:",IFERROR(VALUE(RIGHT(J113,LEN(J113)-2))&gt;=0,FALSE))),AND(K113&lt;&gt;75,K113&lt;&gt;76)),1,0),1)</f>
        <v>0</v>
      </c>
    </row>
    <row r="114" spans="1:12">
      <c r="A114" t="s">
        <v>59</v>
      </c>
      <c r="B114" s="6" t="s">
        <v>213</v>
      </c>
      <c r="C114" t="s">
        <v>15</v>
      </c>
      <c r="D114" t="s">
        <v>20</v>
      </c>
      <c r="E114" t="s">
        <v>28</v>
      </c>
      <c r="F114" t="s">
        <v>177</v>
      </c>
      <c r="G114" t="s">
        <v>48</v>
      </c>
      <c r="H114" t="s">
        <v>135</v>
      </c>
      <c r="I114" t="s">
        <v>61</v>
      </c>
      <c r="J114" t="s">
        <v>23</v>
      </c>
      <c r="K114">
        <f t="shared" si="4"/>
        <v>76</v>
      </c>
      <c r="L114">
        <f t="shared" si="5"/>
        <v>0</v>
      </c>
    </row>
    <row r="115" spans="1:12">
      <c r="A115" t="s">
        <v>59</v>
      </c>
      <c r="B115" s="6" t="s">
        <v>214</v>
      </c>
      <c r="C115" t="s">
        <v>15</v>
      </c>
      <c r="D115" t="s">
        <v>20</v>
      </c>
      <c r="E115" t="s">
        <v>28</v>
      </c>
      <c r="F115" t="s">
        <v>177</v>
      </c>
      <c r="G115" t="s">
        <v>48</v>
      </c>
      <c r="H115" t="s">
        <v>133</v>
      </c>
      <c r="I115" t="s">
        <v>61</v>
      </c>
      <c r="J115" t="s">
        <v>23</v>
      </c>
      <c r="K115">
        <f t="shared" si="4"/>
        <v>76</v>
      </c>
      <c r="L115">
        <f t="shared" si="5"/>
        <v>0</v>
      </c>
    </row>
    <row r="116" spans="1:12">
      <c r="A116" t="s">
        <v>59</v>
      </c>
      <c r="B116" s="6" t="s">
        <v>215</v>
      </c>
      <c r="C116" t="s">
        <v>15</v>
      </c>
      <c r="D116" t="s">
        <v>20</v>
      </c>
      <c r="E116" t="s">
        <v>28</v>
      </c>
      <c r="F116" t="s">
        <v>177</v>
      </c>
      <c r="G116" t="s">
        <v>48</v>
      </c>
      <c r="H116" t="s">
        <v>133</v>
      </c>
      <c r="I116" t="s">
        <v>67</v>
      </c>
      <c r="J116" t="s">
        <v>23</v>
      </c>
      <c r="K116">
        <f t="shared" si="4"/>
        <v>76</v>
      </c>
      <c r="L116">
        <f t="shared" si="5"/>
        <v>0</v>
      </c>
    </row>
    <row r="117" spans="1:12">
      <c r="A117" t="s">
        <v>59</v>
      </c>
      <c r="B117" s="6" t="s">
        <v>216</v>
      </c>
      <c r="C117" t="s">
        <v>15</v>
      </c>
      <c r="D117" t="s">
        <v>20</v>
      </c>
      <c r="E117" t="s">
        <v>28</v>
      </c>
      <c r="F117" t="s">
        <v>177</v>
      </c>
      <c r="G117" t="s">
        <v>29</v>
      </c>
      <c r="H117" t="s">
        <v>133</v>
      </c>
      <c r="I117" t="s">
        <v>61</v>
      </c>
      <c r="J117" t="s">
        <v>23</v>
      </c>
      <c r="K117">
        <f t="shared" si="4"/>
        <v>76</v>
      </c>
      <c r="L117">
        <f t="shared" si="5"/>
        <v>0</v>
      </c>
    </row>
    <row r="118" spans="1:12">
      <c r="A118" t="s">
        <v>59</v>
      </c>
      <c r="B118" s="6" t="s">
        <v>217</v>
      </c>
      <c r="C118" t="s">
        <v>15</v>
      </c>
      <c r="D118" t="s">
        <v>20</v>
      </c>
      <c r="E118" t="s">
        <v>28</v>
      </c>
      <c r="F118" t="s">
        <v>177</v>
      </c>
      <c r="G118" t="s">
        <v>36</v>
      </c>
      <c r="H118" t="s">
        <v>133</v>
      </c>
      <c r="I118" t="s">
        <v>152</v>
      </c>
      <c r="J118" t="s">
        <v>23</v>
      </c>
      <c r="K118">
        <f t="shared" si="4"/>
        <v>76</v>
      </c>
      <c r="L118">
        <f t="shared" si="5"/>
        <v>0</v>
      </c>
    </row>
    <row r="119" spans="1:12">
      <c r="A119" t="s">
        <v>59</v>
      </c>
      <c r="B119" s="6" t="s">
        <v>218</v>
      </c>
      <c r="C119" t="s">
        <v>15</v>
      </c>
      <c r="D119" t="s">
        <v>20</v>
      </c>
      <c r="E119" t="s">
        <v>28</v>
      </c>
      <c r="F119" t="s">
        <v>177</v>
      </c>
      <c r="G119" t="s">
        <v>178</v>
      </c>
      <c r="H119" t="s">
        <v>129</v>
      </c>
      <c r="I119" t="s">
        <v>150</v>
      </c>
      <c r="J119" t="s">
        <v>23</v>
      </c>
      <c r="K119">
        <f t="shared" si="4"/>
        <v>76</v>
      </c>
      <c r="L119">
        <f t="shared" si="5"/>
        <v>0</v>
      </c>
    </row>
    <row r="120" spans="1:12">
      <c r="A120" t="s">
        <v>59</v>
      </c>
      <c r="B120" s="6" t="s">
        <v>219</v>
      </c>
      <c r="C120" t="s">
        <v>15</v>
      </c>
      <c r="D120" t="s">
        <v>20</v>
      </c>
      <c r="E120" t="s">
        <v>28</v>
      </c>
      <c r="F120" t="s">
        <v>177</v>
      </c>
      <c r="G120" t="s">
        <v>47</v>
      </c>
      <c r="H120" t="s">
        <v>133</v>
      </c>
      <c r="I120" t="s">
        <v>152</v>
      </c>
      <c r="J120" t="s">
        <v>23</v>
      </c>
      <c r="K120">
        <f t="shared" si="4"/>
        <v>76</v>
      </c>
      <c r="L120">
        <f t="shared" si="5"/>
        <v>0</v>
      </c>
    </row>
    <row r="121" spans="1:12">
      <c r="A121" t="s">
        <v>59</v>
      </c>
      <c r="B121" s="6" t="s">
        <v>220</v>
      </c>
      <c r="C121" t="s">
        <v>15</v>
      </c>
      <c r="D121" t="s">
        <v>20</v>
      </c>
      <c r="E121" t="s">
        <v>28</v>
      </c>
      <c r="F121" t="s">
        <v>177</v>
      </c>
      <c r="G121" t="s">
        <v>44</v>
      </c>
      <c r="H121" t="s">
        <v>133</v>
      </c>
      <c r="I121" t="s">
        <v>152</v>
      </c>
      <c r="J121" t="s">
        <v>23</v>
      </c>
      <c r="K121">
        <f t="shared" si="4"/>
        <v>76</v>
      </c>
      <c r="L121">
        <f t="shared" si="5"/>
        <v>0</v>
      </c>
    </row>
    <row r="122" spans="1:12">
      <c r="A122" t="s">
        <v>59</v>
      </c>
      <c r="B122" s="6" t="s">
        <v>221</v>
      </c>
      <c r="C122" t="s">
        <v>15</v>
      </c>
      <c r="D122" t="s">
        <v>20</v>
      </c>
      <c r="E122" t="s">
        <v>28</v>
      </c>
      <c r="F122" t="s">
        <v>177</v>
      </c>
      <c r="G122" t="s">
        <v>44</v>
      </c>
      <c r="H122" t="s">
        <v>133</v>
      </c>
      <c r="I122" t="s">
        <v>21</v>
      </c>
      <c r="J122" t="s">
        <v>23</v>
      </c>
      <c r="K122">
        <f t="shared" si="4"/>
        <v>76</v>
      </c>
      <c r="L122">
        <f t="shared" si="5"/>
        <v>0</v>
      </c>
    </row>
    <row r="123" spans="1:12">
      <c r="A123" t="s">
        <v>59</v>
      </c>
      <c r="B123" s="6" t="s">
        <v>222</v>
      </c>
      <c r="C123" t="s">
        <v>15</v>
      </c>
      <c r="D123" t="s">
        <v>20</v>
      </c>
      <c r="E123" t="s">
        <v>28</v>
      </c>
      <c r="F123" t="s">
        <v>177</v>
      </c>
      <c r="G123" t="s">
        <v>43</v>
      </c>
      <c r="H123" t="s">
        <v>133</v>
      </c>
      <c r="I123" t="s">
        <v>21</v>
      </c>
      <c r="J123" t="s">
        <v>23</v>
      </c>
      <c r="K123">
        <f t="shared" si="4"/>
        <v>76</v>
      </c>
      <c r="L123">
        <f t="shared" si="5"/>
        <v>0</v>
      </c>
    </row>
    <row r="124" spans="1:12">
      <c r="A124" t="s">
        <v>59</v>
      </c>
      <c r="B124" s="6" t="s">
        <v>223</v>
      </c>
      <c r="C124" t="s">
        <v>15</v>
      </c>
      <c r="D124" t="s">
        <v>20</v>
      </c>
      <c r="E124" t="s">
        <v>28</v>
      </c>
      <c r="F124" t="s">
        <v>177</v>
      </c>
      <c r="G124" t="s">
        <v>96</v>
      </c>
      <c r="H124" t="s">
        <v>133</v>
      </c>
      <c r="I124" t="s">
        <v>21</v>
      </c>
      <c r="J124" t="s">
        <v>23</v>
      </c>
      <c r="K124">
        <f t="shared" si="4"/>
        <v>76</v>
      </c>
      <c r="L124">
        <f t="shared" si="5"/>
        <v>0</v>
      </c>
    </row>
    <row r="125" spans="1:12">
      <c r="A125" t="s">
        <v>59</v>
      </c>
      <c r="B125" s="6" t="s">
        <v>224</v>
      </c>
      <c r="C125" t="s">
        <v>15</v>
      </c>
      <c r="D125" t="s">
        <v>20</v>
      </c>
      <c r="E125" t="s">
        <v>28</v>
      </c>
      <c r="F125" t="s">
        <v>177</v>
      </c>
      <c r="G125" t="s">
        <v>39</v>
      </c>
      <c r="H125" t="s">
        <v>135</v>
      </c>
      <c r="I125" t="s">
        <v>152</v>
      </c>
      <c r="J125" t="s">
        <v>23</v>
      </c>
      <c r="K125">
        <f t="shared" si="4"/>
        <v>76</v>
      </c>
      <c r="L125">
        <f t="shared" si="5"/>
        <v>0</v>
      </c>
    </row>
    <row r="126" spans="1:12">
      <c r="A126" t="s">
        <v>59</v>
      </c>
      <c r="B126" s="6" t="s">
        <v>225</v>
      </c>
      <c r="C126" t="s">
        <v>15</v>
      </c>
      <c r="D126" t="s">
        <v>20</v>
      </c>
      <c r="E126" t="s">
        <v>28</v>
      </c>
      <c r="F126" t="s">
        <v>177</v>
      </c>
      <c r="G126" t="s">
        <v>64</v>
      </c>
      <c r="H126" t="s">
        <v>135</v>
      </c>
      <c r="I126" t="s">
        <v>150</v>
      </c>
      <c r="J126" t="s">
        <v>23</v>
      </c>
      <c r="K126">
        <f t="shared" si="4"/>
        <v>76</v>
      </c>
      <c r="L126">
        <f t="shared" si="5"/>
        <v>0</v>
      </c>
    </row>
    <row r="127" spans="1:12">
      <c r="A127" t="s">
        <v>59</v>
      </c>
      <c r="B127" s="6" t="s">
        <v>226</v>
      </c>
      <c r="C127" t="s">
        <v>15</v>
      </c>
      <c r="D127" t="s">
        <v>20</v>
      </c>
      <c r="E127" t="s">
        <v>28</v>
      </c>
      <c r="F127" t="s">
        <v>177</v>
      </c>
      <c r="G127" t="s">
        <v>41</v>
      </c>
      <c r="H127" t="s">
        <v>135</v>
      </c>
      <c r="I127" t="s">
        <v>61</v>
      </c>
      <c r="J127" t="s">
        <v>23</v>
      </c>
      <c r="K127">
        <f t="shared" si="4"/>
        <v>76</v>
      </c>
      <c r="L127">
        <f t="shared" si="5"/>
        <v>0</v>
      </c>
    </row>
    <row r="128" spans="1:12">
      <c r="A128" t="s">
        <v>59</v>
      </c>
      <c r="B128" s="6" t="s">
        <v>227</v>
      </c>
      <c r="C128" t="s">
        <v>15</v>
      </c>
      <c r="D128" t="s">
        <v>20</v>
      </c>
      <c r="E128" t="s">
        <v>28</v>
      </c>
      <c r="F128" t="s">
        <v>177</v>
      </c>
      <c r="G128" t="s">
        <v>26</v>
      </c>
      <c r="H128" t="s">
        <v>133</v>
      </c>
      <c r="I128" t="s">
        <v>61</v>
      </c>
      <c r="J128" t="s">
        <v>23</v>
      </c>
      <c r="K128">
        <f t="shared" si="4"/>
        <v>76</v>
      </c>
      <c r="L128">
        <f t="shared" si="5"/>
        <v>0</v>
      </c>
    </row>
    <row r="129" spans="1:12">
      <c r="A129" t="s">
        <v>59</v>
      </c>
      <c r="B129" s="6" t="s">
        <v>228</v>
      </c>
      <c r="C129" t="s">
        <v>15</v>
      </c>
      <c r="D129" t="s">
        <v>20</v>
      </c>
      <c r="E129" t="s">
        <v>28</v>
      </c>
      <c r="F129" t="s">
        <v>177</v>
      </c>
      <c r="G129" t="s">
        <v>42</v>
      </c>
      <c r="H129" t="s">
        <v>133</v>
      </c>
      <c r="I129" t="s">
        <v>65</v>
      </c>
      <c r="J129" t="s">
        <v>23</v>
      </c>
      <c r="K129">
        <f t="shared" si="4"/>
        <v>76</v>
      </c>
      <c r="L129">
        <f t="shared" si="5"/>
        <v>0</v>
      </c>
    </row>
    <row r="130" spans="1:12">
      <c r="A130" t="s">
        <v>59</v>
      </c>
      <c r="B130" s="6" t="s">
        <v>229</v>
      </c>
      <c r="C130" t="s">
        <v>15</v>
      </c>
      <c r="D130" t="s">
        <v>20</v>
      </c>
      <c r="E130" t="s">
        <v>28</v>
      </c>
      <c r="F130" t="s">
        <v>177</v>
      </c>
      <c r="G130" t="s">
        <v>96</v>
      </c>
      <c r="H130" t="s">
        <v>133</v>
      </c>
      <c r="I130" t="s">
        <v>65</v>
      </c>
      <c r="J130" t="s">
        <v>23</v>
      </c>
      <c r="K130">
        <f t="shared" si="4"/>
        <v>76</v>
      </c>
      <c r="L130">
        <f t="shared" si="5"/>
        <v>0</v>
      </c>
    </row>
    <row r="131" spans="1:12">
      <c r="A131" t="s">
        <v>59</v>
      </c>
      <c r="B131" s="6" t="s">
        <v>230</v>
      </c>
      <c r="C131" t="s">
        <v>15</v>
      </c>
      <c r="D131" t="s">
        <v>20</v>
      </c>
      <c r="E131" t="s">
        <v>28</v>
      </c>
      <c r="F131" t="s">
        <v>195</v>
      </c>
      <c r="G131" t="s">
        <v>24</v>
      </c>
      <c r="H131" t="s">
        <v>133</v>
      </c>
      <c r="I131" t="s">
        <v>61</v>
      </c>
      <c r="J131" t="s">
        <v>23</v>
      </c>
      <c r="K131">
        <f t="shared" si="4"/>
        <v>76</v>
      </c>
      <c r="L131">
        <f t="shared" si="5"/>
        <v>0</v>
      </c>
    </row>
    <row r="132" spans="1:12">
      <c r="A132" t="s">
        <v>59</v>
      </c>
      <c r="B132" s="6" t="s">
        <v>231</v>
      </c>
      <c r="C132" t="s">
        <v>15</v>
      </c>
      <c r="D132" t="s">
        <v>20</v>
      </c>
      <c r="E132" t="s">
        <v>28</v>
      </c>
      <c r="F132" t="s">
        <v>177</v>
      </c>
      <c r="G132" t="s">
        <v>96</v>
      </c>
      <c r="H132" t="s">
        <v>135</v>
      </c>
      <c r="I132" t="s">
        <v>67</v>
      </c>
      <c r="J132" t="s">
        <v>23</v>
      </c>
      <c r="K132">
        <f t="shared" si="4"/>
        <v>76</v>
      </c>
      <c r="L132">
        <f t="shared" si="5"/>
        <v>0</v>
      </c>
    </row>
    <row r="133" spans="1:12">
      <c r="A133" t="s">
        <v>59</v>
      </c>
      <c r="B133" s="6" t="s">
        <v>232</v>
      </c>
      <c r="C133" t="s">
        <v>15</v>
      </c>
      <c r="D133" t="s">
        <v>20</v>
      </c>
      <c r="E133" t="s">
        <v>28</v>
      </c>
      <c r="F133" t="s">
        <v>177</v>
      </c>
      <c r="G133" t="s">
        <v>96</v>
      </c>
      <c r="H133" t="s">
        <v>135</v>
      </c>
      <c r="I133" t="s">
        <v>67</v>
      </c>
      <c r="J133" t="s">
        <v>23</v>
      </c>
      <c r="K133">
        <f t="shared" si="4"/>
        <v>76</v>
      </c>
      <c r="L133">
        <f t="shared" si="5"/>
        <v>0</v>
      </c>
    </row>
    <row r="134" spans="1:12">
      <c r="A134" t="s">
        <v>59</v>
      </c>
      <c r="B134" s="6" t="s">
        <v>233</v>
      </c>
      <c r="C134" t="s">
        <v>15</v>
      </c>
      <c r="D134" t="s">
        <v>20</v>
      </c>
      <c r="E134" t="s">
        <v>28</v>
      </c>
      <c r="F134" t="s">
        <v>177</v>
      </c>
      <c r="G134" t="s">
        <v>24</v>
      </c>
      <c r="H134" t="s">
        <v>133</v>
      </c>
      <c r="I134" t="s">
        <v>61</v>
      </c>
      <c r="J134" t="s">
        <v>23</v>
      </c>
      <c r="K134">
        <f t="shared" si="4"/>
        <v>76</v>
      </c>
      <c r="L134">
        <f t="shared" si="5"/>
        <v>0</v>
      </c>
    </row>
    <row r="135" spans="1:12">
      <c r="A135" t="s">
        <v>59</v>
      </c>
      <c r="B135" s="6" t="s">
        <v>234</v>
      </c>
      <c r="C135" t="s">
        <v>15</v>
      </c>
      <c r="D135" t="s">
        <v>20</v>
      </c>
      <c r="E135" t="s">
        <v>28</v>
      </c>
      <c r="F135" t="s">
        <v>177</v>
      </c>
      <c r="G135" t="s">
        <v>44</v>
      </c>
      <c r="H135" t="s">
        <v>133</v>
      </c>
      <c r="I135" t="s">
        <v>61</v>
      </c>
      <c r="J135" t="s">
        <v>23</v>
      </c>
      <c r="K135">
        <f t="shared" si="4"/>
        <v>76</v>
      </c>
      <c r="L135">
        <f t="shared" si="5"/>
        <v>0</v>
      </c>
    </row>
    <row r="136" spans="1:12">
      <c r="A136" t="s">
        <v>59</v>
      </c>
      <c r="B136" s="6" t="s">
        <v>235</v>
      </c>
      <c r="C136" t="s">
        <v>15</v>
      </c>
      <c r="D136" t="s">
        <v>20</v>
      </c>
      <c r="E136" t="s">
        <v>28</v>
      </c>
      <c r="F136" t="s">
        <v>195</v>
      </c>
      <c r="G136" t="s">
        <v>96</v>
      </c>
      <c r="H136" t="s">
        <v>133</v>
      </c>
      <c r="I136" t="s">
        <v>152</v>
      </c>
      <c r="J136" t="s">
        <v>23</v>
      </c>
      <c r="K136">
        <f t="shared" si="4"/>
        <v>76</v>
      </c>
      <c r="L136">
        <f t="shared" si="5"/>
        <v>0</v>
      </c>
    </row>
    <row r="137" spans="1:12">
      <c r="A137" t="s">
        <v>59</v>
      </c>
      <c r="B137" s="6" t="s">
        <v>236</v>
      </c>
      <c r="C137" t="s">
        <v>15</v>
      </c>
      <c r="D137" t="s">
        <v>20</v>
      </c>
      <c r="E137" t="s">
        <v>28</v>
      </c>
      <c r="F137" t="s">
        <v>177</v>
      </c>
      <c r="G137" t="s">
        <v>39</v>
      </c>
      <c r="H137" t="s">
        <v>133</v>
      </c>
      <c r="I137" t="s">
        <v>152</v>
      </c>
      <c r="J137" t="s">
        <v>23</v>
      </c>
      <c r="K137">
        <f t="shared" si="4"/>
        <v>76</v>
      </c>
      <c r="L137">
        <f t="shared" si="5"/>
        <v>0</v>
      </c>
    </row>
    <row r="138" spans="1:12">
      <c r="A138" t="s">
        <v>59</v>
      </c>
      <c r="B138" s="6" t="s">
        <v>237</v>
      </c>
      <c r="C138" t="s">
        <v>15</v>
      </c>
      <c r="D138" t="s">
        <v>20</v>
      </c>
      <c r="E138" t="s">
        <v>28</v>
      </c>
      <c r="F138" t="s">
        <v>177</v>
      </c>
      <c r="G138" t="s">
        <v>45</v>
      </c>
      <c r="H138" t="s">
        <v>129</v>
      </c>
      <c r="I138" t="s">
        <v>152</v>
      </c>
      <c r="J138" t="s">
        <v>23</v>
      </c>
      <c r="K138">
        <f t="shared" si="4"/>
        <v>76</v>
      </c>
      <c r="L138">
        <f t="shared" si="5"/>
        <v>0</v>
      </c>
    </row>
    <row r="139" spans="1:12">
      <c r="A139" t="s">
        <v>59</v>
      </c>
      <c r="B139" s="6" t="s">
        <v>238</v>
      </c>
      <c r="C139" t="s">
        <v>15</v>
      </c>
      <c r="D139" t="s">
        <v>20</v>
      </c>
      <c r="E139" t="s">
        <v>28</v>
      </c>
      <c r="F139" t="s">
        <v>177</v>
      </c>
      <c r="G139" t="s">
        <v>45</v>
      </c>
      <c r="H139" t="s">
        <v>129</v>
      </c>
      <c r="I139" t="s">
        <v>152</v>
      </c>
      <c r="J139" t="s">
        <v>23</v>
      </c>
      <c r="K139">
        <f t="shared" si="4"/>
        <v>76</v>
      </c>
      <c r="L139">
        <f t="shared" si="5"/>
        <v>0</v>
      </c>
    </row>
    <row r="140" spans="1:12">
      <c r="A140" t="s">
        <v>59</v>
      </c>
      <c r="B140" s="6" t="s">
        <v>239</v>
      </c>
      <c r="C140" t="s">
        <v>15</v>
      </c>
      <c r="D140" t="s">
        <v>20</v>
      </c>
      <c r="E140" t="s">
        <v>28</v>
      </c>
      <c r="F140" t="s">
        <v>177</v>
      </c>
      <c r="G140" t="s">
        <v>39</v>
      </c>
      <c r="H140" t="s">
        <v>133</v>
      </c>
      <c r="I140" t="s">
        <v>65</v>
      </c>
      <c r="J140" t="s">
        <v>23</v>
      </c>
      <c r="K140">
        <f t="shared" si="4"/>
        <v>76</v>
      </c>
      <c r="L140">
        <f t="shared" si="5"/>
        <v>0</v>
      </c>
    </row>
    <row r="141" spans="1:12">
      <c r="A141" t="s">
        <v>59</v>
      </c>
      <c r="B141" s="6" t="s">
        <v>240</v>
      </c>
      <c r="C141" t="s">
        <v>15</v>
      </c>
      <c r="D141" t="s">
        <v>20</v>
      </c>
      <c r="E141" t="s">
        <v>28</v>
      </c>
      <c r="F141" t="s">
        <v>177</v>
      </c>
      <c r="G141" t="s">
        <v>24</v>
      </c>
      <c r="H141" t="s">
        <v>133</v>
      </c>
      <c r="I141" t="s">
        <v>61</v>
      </c>
      <c r="J141" t="s">
        <v>23</v>
      </c>
      <c r="K141">
        <f t="shared" si="4"/>
        <v>76</v>
      </c>
      <c r="L141">
        <f t="shared" si="5"/>
        <v>0</v>
      </c>
    </row>
    <row r="142" spans="1:12">
      <c r="A142" t="s">
        <v>59</v>
      </c>
      <c r="B142" s="6" t="s">
        <v>241</v>
      </c>
      <c r="C142" t="s">
        <v>15</v>
      </c>
      <c r="D142" t="s">
        <v>20</v>
      </c>
      <c r="E142" t="s">
        <v>28</v>
      </c>
      <c r="F142" t="s">
        <v>177</v>
      </c>
      <c r="G142" t="s">
        <v>24</v>
      </c>
      <c r="H142" t="s">
        <v>133</v>
      </c>
      <c r="I142" t="s">
        <v>61</v>
      </c>
      <c r="J142" t="s">
        <v>23</v>
      </c>
      <c r="K142">
        <f t="shared" si="4"/>
        <v>76</v>
      </c>
      <c r="L142">
        <f t="shared" si="5"/>
        <v>0</v>
      </c>
    </row>
    <row r="143" spans="1:12">
      <c r="A143" t="s">
        <v>59</v>
      </c>
      <c r="B143" s="6" t="s">
        <v>242</v>
      </c>
      <c r="C143" t="s">
        <v>15</v>
      </c>
      <c r="D143" t="s">
        <v>20</v>
      </c>
      <c r="E143" t="s">
        <v>28</v>
      </c>
      <c r="F143" t="s">
        <v>177</v>
      </c>
      <c r="G143" t="s">
        <v>43</v>
      </c>
      <c r="H143" t="s">
        <v>135</v>
      </c>
      <c r="I143" t="s">
        <v>152</v>
      </c>
      <c r="J143" t="s">
        <v>23</v>
      </c>
      <c r="K143">
        <f t="shared" si="4"/>
        <v>76</v>
      </c>
      <c r="L143">
        <f t="shared" si="5"/>
        <v>0</v>
      </c>
    </row>
    <row r="144" spans="1:12">
      <c r="A144" t="s">
        <v>59</v>
      </c>
      <c r="B144" s="6" t="s">
        <v>243</v>
      </c>
      <c r="C144" t="s">
        <v>15</v>
      </c>
      <c r="D144" t="s">
        <v>20</v>
      </c>
      <c r="E144" t="s">
        <v>28</v>
      </c>
      <c r="F144" t="s">
        <v>177</v>
      </c>
      <c r="G144" t="s">
        <v>43</v>
      </c>
      <c r="H144" t="s">
        <v>135</v>
      </c>
      <c r="I144" t="s">
        <v>152</v>
      </c>
      <c r="J144" t="s">
        <v>23</v>
      </c>
      <c r="K144">
        <f t="shared" si="4"/>
        <v>76</v>
      </c>
      <c r="L144">
        <f t="shared" si="5"/>
        <v>0</v>
      </c>
    </row>
    <row r="145" spans="1:12">
      <c r="A145" t="s">
        <v>59</v>
      </c>
      <c r="B145" s="6" t="s">
        <v>244</v>
      </c>
      <c r="C145" t="s">
        <v>15</v>
      </c>
      <c r="D145" t="s">
        <v>20</v>
      </c>
      <c r="E145" t="s">
        <v>28</v>
      </c>
      <c r="F145" t="s">
        <v>177</v>
      </c>
      <c r="G145" t="s">
        <v>47</v>
      </c>
      <c r="H145" t="s">
        <v>135</v>
      </c>
      <c r="I145" t="s">
        <v>61</v>
      </c>
      <c r="J145" t="s">
        <v>23</v>
      </c>
      <c r="K145">
        <f t="shared" si="4"/>
        <v>76</v>
      </c>
      <c r="L145">
        <f t="shared" si="5"/>
        <v>0</v>
      </c>
    </row>
    <row r="146" spans="1:12">
      <c r="A146" t="s">
        <v>59</v>
      </c>
      <c r="B146" s="6" t="s">
        <v>245</v>
      </c>
      <c r="C146" t="s">
        <v>15</v>
      </c>
      <c r="D146" t="s">
        <v>20</v>
      </c>
      <c r="E146" t="s">
        <v>28</v>
      </c>
      <c r="F146" t="s">
        <v>177</v>
      </c>
      <c r="G146" t="s">
        <v>47</v>
      </c>
      <c r="H146" t="s">
        <v>135</v>
      </c>
      <c r="I146" t="s">
        <v>61</v>
      </c>
      <c r="J146" t="s">
        <v>23</v>
      </c>
      <c r="K146">
        <f t="shared" si="4"/>
        <v>76</v>
      </c>
      <c r="L146">
        <f t="shared" si="5"/>
        <v>0</v>
      </c>
    </row>
    <row r="147" spans="1:12">
      <c r="A147" t="s">
        <v>59</v>
      </c>
      <c r="B147" s="6" t="s">
        <v>246</v>
      </c>
      <c r="C147" t="s">
        <v>15</v>
      </c>
      <c r="D147" t="s">
        <v>20</v>
      </c>
      <c r="E147" t="s">
        <v>28</v>
      </c>
      <c r="F147" t="s">
        <v>177</v>
      </c>
      <c r="G147" t="s">
        <v>45</v>
      </c>
      <c r="H147" t="s">
        <v>135</v>
      </c>
      <c r="I147" t="s">
        <v>152</v>
      </c>
      <c r="J147" t="s">
        <v>23</v>
      </c>
      <c r="K147">
        <f t="shared" si="4"/>
        <v>76</v>
      </c>
      <c r="L147">
        <f t="shared" si="5"/>
        <v>0</v>
      </c>
    </row>
    <row r="148" spans="1:12">
      <c r="A148" t="s">
        <v>59</v>
      </c>
      <c r="B148" s="6" t="s">
        <v>247</v>
      </c>
      <c r="C148" t="s">
        <v>15</v>
      </c>
      <c r="D148" t="s">
        <v>20</v>
      </c>
      <c r="E148" t="s">
        <v>28</v>
      </c>
      <c r="F148" t="s">
        <v>177</v>
      </c>
      <c r="G148" t="s">
        <v>44</v>
      </c>
      <c r="H148" t="s">
        <v>138</v>
      </c>
      <c r="I148" t="s">
        <v>152</v>
      </c>
      <c r="J148" t="s">
        <v>23</v>
      </c>
      <c r="K148">
        <f t="shared" si="4"/>
        <v>76</v>
      </c>
      <c r="L148">
        <f t="shared" si="5"/>
        <v>0</v>
      </c>
    </row>
    <row r="149" spans="1:12">
      <c r="A149" t="s">
        <v>59</v>
      </c>
      <c r="B149" s="6" t="s">
        <v>248</v>
      </c>
      <c r="C149" t="s">
        <v>15</v>
      </c>
      <c r="D149" t="s">
        <v>20</v>
      </c>
      <c r="E149" t="s">
        <v>28</v>
      </c>
      <c r="F149" t="s">
        <v>177</v>
      </c>
      <c r="G149" t="s">
        <v>44</v>
      </c>
      <c r="H149" t="s">
        <v>138</v>
      </c>
      <c r="I149" t="s">
        <v>67</v>
      </c>
      <c r="J149" t="s">
        <v>23</v>
      </c>
      <c r="K149">
        <f t="shared" si="4"/>
        <v>76</v>
      </c>
      <c r="L149">
        <f t="shared" si="5"/>
        <v>0</v>
      </c>
    </row>
    <row r="150" spans="1:12">
      <c r="A150" t="s">
        <v>59</v>
      </c>
      <c r="B150" s="6" t="s">
        <v>249</v>
      </c>
      <c r="C150" t="s">
        <v>15</v>
      </c>
      <c r="D150" t="s">
        <v>20</v>
      </c>
      <c r="E150" t="s">
        <v>28</v>
      </c>
      <c r="F150" t="s">
        <v>177</v>
      </c>
      <c r="G150" t="s">
        <v>45</v>
      </c>
      <c r="H150" t="s">
        <v>138</v>
      </c>
      <c r="I150" t="s">
        <v>61</v>
      </c>
      <c r="J150" t="s">
        <v>23</v>
      </c>
      <c r="K150">
        <f t="shared" si="4"/>
        <v>76</v>
      </c>
      <c r="L150">
        <f t="shared" si="5"/>
        <v>0</v>
      </c>
    </row>
    <row r="151" spans="1:12">
      <c r="A151" t="s">
        <v>59</v>
      </c>
      <c r="B151" s="6" t="s">
        <v>250</v>
      </c>
      <c r="C151" t="s">
        <v>15</v>
      </c>
      <c r="D151" t="s">
        <v>20</v>
      </c>
      <c r="E151" t="s">
        <v>28</v>
      </c>
      <c r="F151" t="s">
        <v>177</v>
      </c>
      <c r="G151" t="s">
        <v>38</v>
      </c>
      <c r="H151" t="s">
        <v>138</v>
      </c>
      <c r="I151" t="s">
        <v>65</v>
      </c>
      <c r="J151" t="s">
        <v>23</v>
      </c>
      <c r="K151">
        <f t="shared" si="4"/>
        <v>76</v>
      </c>
      <c r="L151">
        <f t="shared" si="5"/>
        <v>0</v>
      </c>
    </row>
    <row r="152" spans="1:12">
      <c r="A152" t="s">
        <v>59</v>
      </c>
      <c r="B152" s="6" t="s">
        <v>251</v>
      </c>
      <c r="C152" t="s">
        <v>15</v>
      </c>
      <c r="D152" t="s">
        <v>20</v>
      </c>
      <c r="E152" t="s">
        <v>28</v>
      </c>
      <c r="F152" t="s">
        <v>177</v>
      </c>
      <c r="G152" t="s">
        <v>37</v>
      </c>
      <c r="H152" t="s">
        <v>138</v>
      </c>
      <c r="I152" t="s">
        <v>152</v>
      </c>
      <c r="J152" t="s">
        <v>23</v>
      </c>
      <c r="K152">
        <f t="shared" si="4"/>
        <v>76</v>
      </c>
      <c r="L152">
        <f t="shared" si="5"/>
        <v>0</v>
      </c>
    </row>
    <row r="153" spans="1:12">
      <c r="A153" t="s">
        <v>59</v>
      </c>
      <c r="B153" s="6" t="s">
        <v>252</v>
      </c>
      <c r="C153" t="s">
        <v>15</v>
      </c>
      <c r="D153" t="s">
        <v>20</v>
      </c>
      <c r="E153" t="s">
        <v>28</v>
      </c>
      <c r="F153" t="s">
        <v>177</v>
      </c>
      <c r="G153" t="s">
        <v>162</v>
      </c>
      <c r="H153" t="s">
        <v>101</v>
      </c>
      <c r="I153" t="s">
        <v>152</v>
      </c>
      <c r="J153" t="s">
        <v>23</v>
      </c>
      <c r="K153">
        <f t="shared" si="4"/>
        <v>76</v>
      </c>
      <c r="L153">
        <f t="shared" si="5"/>
        <v>0</v>
      </c>
    </row>
    <row r="154" spans="1:12">
      <c r="A154" t="s">
        <v>59</v>
      </c>
      <c r="B154" s="6" t="s">
        <v>253</v>
      </c>
      <c r="C154" t="s">
        <v>15</v>
      </c>
      <c r="D154" t="s">
        <v>20</v>
      </c>
      <c r="E154" t="s">
        <v>28</v>
      </c>
      <c r="F154" t="s">
        <v>177</v>
      </c>
      <c r="G154" t="s">
        <v>162</v>
      </c>
      <c r="H154" t="s">
        <v>101</v>
      </c>
      <c r="I154" t="s">
        <v>152</v>
      </c>
      <c r="J154" t="s">
        <v>23</v>
      </c>
      <c r="K154">
        <f t="shared" si="4"/>
        <v>76</v>
      </c>
      <c r="L154">
        <f t="shared" si="5"/>
        <v>0</v>
      </c>
    </row>
    <row r="155" spans="1:12">
      <c r="A155" t="s">
        <v>59</v>
      </c>
      <c r="B155" s="6" t="s">
        <v>254</v>
      </c>
      <c r="C155" t="s">
        <v>15</v>
      </c>
      <c r="D155" t="s">
        <v>20</v>
      </c>
      <c r="E155" t="s">
        <v>28</v>
      </c>
      <c r="F155" t="s">
        <v>177</v>
      </c>
      <c r="G155" t="s">
        <v>162</v>
      </c>
      <c r="H155" t="s">
        <v>101</v>
      </c>
      <c r="I155" t="s">
        <v>61</v>
      </c>
      <c r="J155" t="s">
        <v>23</v>
      </c>
      <c r="K155">
        <f t="shared" si="4"/>
        <v>76</v>
      </c>
      <c r="L155">
        <f t="shared" si="5"/>
        <v>0</v>
      </c>
    </row>
    <row r="156" spans="1:12">
      <c r="A156" t="s">
        <v>59</v>
      </c>
      <c r="B156" s="6" t="s">
        <v>255</v>
      </c>
      <c r="C156" t="s">
        <v>15</v>
      </c>
      <c r="D156" t="s">
        <v>20</v>
      </c>
      <c r="E156" t="s">
        <v>28</v>
      </c>
      <c r="F156" t="s">
        <v>177</v>
      </c>
      <c r="G156" t="s">
        <v>162</v>
      </c>
      <c r="H156" t="s">
        <v>101</v>
      </c>
      <c r="I156" t="s">
        <v>21</v>
      </c>
      <c r="J156" t="s">
        <v>23</v>
      </c>
      <c r="K156">
        <f t="shared" si="4"/>
        <v>76</v>
      </c>
      <c r="L156">
        <f t="shared" si="5"/>
        <v>0</v>
      </c>
    </row>
    <row r="157" spans="1:12">
      <c r="A157" t="s">
        <v>59</v>
      </c>
      <c r="B157" s="6" t="s">
        <v>256</v>
      </c>
      <c r="C157" t="s">
        <v>15</v>
      </c>
      <c r="D157" t="s">
        <v>20</v>
      </c>
      <c r="E157" t="s">
        <v>28</v>
      </c>
      <c r="F157" t="s">
        <v>177</v>
      </c>
      <c r="G157" t="s">
        <v>162</v>
      </c>
      <c r="H157" t="s">
        <v>101</v>
      </c>
      <c r="I157" t="s">
        <v>67</v>
      </c>
      <c r="J157" t="s">
        <v>23</v>
      </c>
      <c r="K157">
        <f t="shared" si="4"/>
        <v>76</v>
      </c>
      <c r="L157">
        <f t="shared" si="5"/>
        <v>0</v>
      </c>
    </row>
    <row r="158" spans="1:12">
      <c r="A158" t="s">
        <v>59</v>
      </c>
      <c r="B158" s="6" t="s">
        <v>257</v>
      </c>
      <c r="C158" t="s">
        <v>15</v>
      </c>
      <c r="D158" t="s">
        <v>20</v>
      </c>
      <c r="E158" t="s">
        <v>28</v>
      </c>
      <c r="F158" t="s">
        <v>177</v>
      </c>
      <c r="G158" t="s">
        <v>37</v>
      </c>
      <c r="H158" t="s">
        <v>101</v>
      </c>
      <c r="I158" t="s">
        <v>152</v>
      </c>
      <c r="J158" t="s">
        <v>23</v>
      </c>
      <c r="K158">
        <f t="shared" si="4"/>
        <v>76</v>
      </c>
      <c r="L158">
        <f t="shared" si="5"/>
        <v>0</v>
      </c>
    </row>
    <row r="159" spans="1:12">
      <c r="A159" t="s">
        <v>59</v>
      </c>
      <c r="B159" s="6" t="s">
        <v>258</v>
      </c>
      <c r="C159" t="s">
        <v>15</v>
      </c>
      <c r="D159" t="s">
        <v>20</v>
      </c>
      <c r="E159" t="s">
        <v>28</v>
      </c>
      <c r="F159" t="s">
        <v>177</v>
      </c>
      <c r="G159" t="s">
        <v>164</v>
      </c>
      <c r="H159" t="s">
        <v>101</v>
      </c>
      <c r="I159" t="s">
        <v>152</v>
      </c>
      <c r="J159" t="s">
        <v>23</v>
      </c>
      <c r="K159">
        <f t="shared" si="4"/>
        <v>76</v>
      </c>
      <c r="L159">
        <f t="shared" si="5"/>
        <v>0</v>
      </c>
    </row>
    <row r="160" spans="1:12">
      <c r="A160" t="s">
        <v>59</v>
      </c>
      <c r="B160" s="6" t="s">
        <v>259</v>
      </c>
      <c r="C160" t="s">
        <v>15</v>
      </c>
      <c r="D160" t="s">
        <v>20</v>
      </c>
      <c r="E160" t="s">
        <v>28</v>
      </c>
      <c r="F160" t="s">
        <v>177</v>
      </c>
      <c r="G160" t="s">
        <v>164</v>
      </c>
      <c r="H160" t="s">
        <v>101</v>
      </c>
      <c r="I160" t="s">
        <v>65</v>
      </c>
      <c r="J160" t="s">
        <v>23</v>
      </c>
      <c r="K160">
        <f t="shared" si="4"/>
        <v>76</v>
      </c>
      <c r="L160">
        <f t="shared" si="5"/>
        <v>0</v>
      </c>
    </row>
    <row r="161" spans="1:12">
      <c r="A161" t="s">
        <v>59</v>
      </c>
      <c r="B161" s="6" t="s">
        <v>260</v>
      </c>
      <c r="C161" t="s">
        <v>15</v>
      </c>
      <c r="D161" t="s">
        <v>20</v>
      </c>
      <c r="E161" t="s">
        <v>28</v>
      </c>
      <c r="F161" t="s">
        <v>177</v>
      </c>
      <c r="G161" t="s">
        <v>162</v>
      </c>
      <c r="H161" t="s">
        <v>101</v>
      </c>
      <c r="I161" t="s">
        <v>65</v>
      </c>
      <c r="J161" t="s">
        <v>23</v>
      </c>
      <c r="K161">
        <f t="shared" si="4"/>
        <v>76</v>
      </c>
      <c r="L161">
        <f t="shared" si="5"/>
        <v>0</v>
      </c>
    </row>
    <row r="162" spans="1:12">
      <c r="A162" t="s">
        <v>59</v>
      </c>
      <c r="B162" s="6" t="s">
        <v>261</v>
      </c>
      <c r="C162" t="s">
        <v>15</v>
      </c>
      <c r="D162" t="s">
        <v>20</v>
      </c>
      <c r="E162" t="s">
        <v>28</v>
      </c>
      <c r="F162" t="s">
        <v>177</v>
      </c>
      <c r="G162" t="s">
        <v>164</v>
      </c>
      <c r="H162" t="s">
        <v>101</v>
      </c>
      <c r="I162" t="s">
        <v>152</v>
      </c>
      <c r="J162" t="s">
        <v>23</v>
      </c>
      <c r="K162">
        <f t="shared" si="4"/>
        <v>76</v>
      </c>
      <c r="L162">
        <f t="shared" si="5"/>
        <v>0</v>
      </c>
    </row>
    <row r="163" spans="1:12">
      <c r="A163" t="s">
        <v>59</v>
      </c>
      <c r="B163" s="6" t="s">
        <v>262</v>
      </c>
      <c r="C163" t="s">
        <v>15</v>
      </c>
      <c r="D163" t="s">
        <v>20</v>
      </c>
      <c r="E163" t="s">
        <v>28</v>
      </c>
      <c r="F163" t="s">
        <v>177</v>
      </c>
      <c r="G163" t="s">
        <v>164</v>
      </c>
      <c r="H163" t="s">
        <v>101</v>
      </c>
      <c r="I163" t="s">
        <v>152</v>
      </c>
      <c r="J163" t="s">
        <v>23</v>
      </c>
      <c r="K163">
        <f t="shared" si="4"/>
        <v>76</v>
      </c>
      <c r="L163">
        <f t="shared" si="5"/>
        <v>0</v>
      </c>
    </row>
    <row r="164" spans="1:12">
      <c r="A164" t="s">
        <v>59</v>
      </c>
      <c r="B164" s="6" t="s">
        <v>263</v>
      </c>
      <c r="C164" t="s">
        <v>15</v>
      </c>
      <c r="D164" t="s">
        <v>20</v>
      </c>
      <c r="E164" t="s">
        <v>28</v>
      </c>
      <c r="F164" t="s">
        <v>177</v>
      </c>
      <c r="G164" t="s">
        <v>162</v>
      </c>
      <c r="H164" t="s">
        <v>101</v>
      </c>
      <c r="I164" t="s">
        <v>65</v>
      </c>
      <c r="J164" t="s">
        <v>23</v>
      </c>
      <c r="K164">
        <f t="shared" si="4"/>
        <v>76</v>
      </c>
      <c r="L164">
        <f t="shared" si="5"/>
        <v>0</v>
      </c>
    </row>
    <row r="165" spans="1:12">
      <c r="A165" t="s">
        <v>59</v>
      </c>
      <c r="B165" s="6" t="s">
        <v>264</v>
      </c>
      <c r="C165" t="s">
        <v>15</v>
      </c>
      <c r="D165" t="s">
        <v>20</v>
      </c>
      <c r="E165" t="s">
        <v>28</v>
      </c>
      <c r="F165" t="s">
        <v>177</v>
      </c>
      <c r="G165" t="s">
        <v>30</v>
      </c>
      <c r="H165" t="s">
        <v>101</v>
      </c>
      <c r="I165" t="s">
        <v>152</v>
      </c>
      <c r="J165" t="s">
        <v>23</v>
      </c>
      <c r="K165">
        <f t="shared" si="4"/>
        <v>76</v>
      </c>
      <c r="L165">
        <f t="shared" si="5"/>
        <v>0</v>
      </c>
    </row>
    <row r="166" spans="1:12">
      <c r="A166" t="s">
        <v>59</v>
      </c>
      <c r="B166" s="6" t="s">
        <v>265</v>
      </c>
      <c r="C166" t="s">
        <v>15</v>
      </c>
      <c r="D166" t="s">
        <v>20</v>
      </c>
      <c r="E166" t="s">
        <v>28</v>
      </c>
      <c r="F166" t="s">
        <v>177</v>
      </c>
      <c r="G166" t="s">
        <v>35</v>
      </c>
      <c r="H166" t="s">
        <v>101</v>
      </c>
      <c r="I166" t="s">
        <v>152</v>
      </c>
      <c r="J166" t="s">
        <v>23</v>
      </c>
      <c r="K166">
        <f t="shared" si="4"/>
        <v>76</v>
      </c>
      <c r="L166">
        <f t="shared" si="5"/>
        <v>0</v>
      </c>
    </row>
    <row r="167" spans="1:12">
      <c r="A167" t="s">
        <v>59</v>
      </c>
      <c r="B167" s="6" t="s">
        <v>266</v>
      </c>
      <c r="C167" t="s">
        <v>15</v>
      </c>
      <c r="D167" t="s">
        <v>20</v>
      </c>
      <c r="E167" t="s">
        <v>28</v>
      </c>
      <c r="F167" t="s">
        <v>177</v>
      </c>
      <c r="G167" t="s">
        <v>30</v>
      </c>
      <c r="H167" t="s">
        <v>101</v>
      </c>
      <c r="I167" t="s">
        <v>152</v>
      </c>
      <c r="J167" t="s">
        <v>23</v>
      </c>
      <c r="K167">
        <f t="shared" si="4"/>
        <v>76</v>
      </c>
      <c r="L167">
        <f t="shared" si="5"/>
        <v>0</v>
      </c>
    </row>
    <row r="168" spans="1:12">
      <c r="A168" t="s">
        <v>59</v>
      </c>
      <c r="B168" s="6" t="s">
        <v>267</v>
      </c>
      <c r="C168" t="s">
        <v>15</v>
      </c>
      <c r="D168" t="s">
        <v>20</v>
      </c>
      <c r="E168" t="s">
        <v>28</v>
      </c>
      <c r="F168" t="s">
        <v>177</v>
      </c>
      <c r="G168" t="s">
        <v>34</v>
      </c>
      <c r="H168" t="s">
        <v>101</v>
      </c>
      <c r="I168" t="s">
        <v>152</v>
      </c>
      <c r="J168" t="s">
        <v>23</v>
      </c>
      <c r="K168">
        <f t="shared" si="4"/>
        <v>76</v>
      </c>
      <c r="L168">
        <f t="shared" si="5"/>
        <v>0</v>
      </c>
    </row>
    <row r="169" spans="1:12">
      <c r="A169" t="s">
        <v>59</v>
      </c>
      <c r="B169" s="6" t="s">
        <v>268</v>
      </c>
      <c r="C169" t="s">
        <v>15</v>
      </c>
      <c r="D169" t="s">
        <v>20</v>
      </c>
      <c r="E169" t="s">
        <v>28</v>
      </c>
      <c r="F169" t="s">
        <v>177</v>
      </c>
      <c r="G169" t="s">
        <v>33</v>
      </c>
      <c r="H169" t="s">
        <v>101</v>
      </c>
      <c r="I169" t="s">
        <v>65</v>
      </c>
      <c r="J169" t="s">
        <v>23</v>
      </c>
      <c r="K169">
        <f t="shared" si="4"/>
        <v>76</v>
      </c>
      <c r="L169">
        <f t="shared" si="5"/>
        <v>0</v>
      </c>
    </row>
    <row r="170" spans="1:12">
      <c r="A170" t="s">
        <v>59</v>
      </c>
      <c r="B170" s="6" t="s">
        <v>269</v>
      </c>
      <c r="C170" t="s">
        <v>15</v>
      </c>
      <c r="D170" t="s">
        <v>20</v>
      </c>
      <c r="E170" t="s">
        <v>28</v>
      </c>
      <c r="F170" t="s">
        <v>177</v>
      </c>
      <c r="G170" t="s">
        <v>34</v>
      </c>
      <c r="H170" t="s">
        <v>101</v>
      </c>
      <c r="I170" t="s">
        <v>67</v>
      </c>
      <c r="J170" t="s">
        <v>23</v>
      </c>
      <c r="K170">
        <f t="shared" ref="K170:K218" si="6">LEN(A170&amp;B170&amp;C170&amp;D170&amp;E170&amp;F170&amp;G170&amp;H170&amp;I170&amp;J170)</f>
        <v>76</v>
      </c>
      <c r="L170">
        <f t="shared" ref="L170:L218" si="7">IFERROR(IF(OR(NOT(AND(LEFT(A170,2)="D:",IFERROR(VALUE(RIGHT(A170,LEN(A170)-2))&gt;=0,FALSE))),NOT(AND(LEFT(B170,2)="C:",IFERROR(VALUE(RIGHT(B170,LEN(B170)-2))&gt;=0,FALSE))),NOT(AND(LEFT(C170,2)="S:",IFERROR(VALUE(RIGHT(C170,LEN(C170)-2))&gt;=0,FALSE))),NOT(AND(LEFT(D170,2)="W:",OR(RIGHT(D170,LEN(D170)-2)="N",RIGHT(D170,LEN(D170)-2)="NE",RIGHT(D170,LEN(D170)-2)="E",RIGHT(D170,LEN(D170)-2)="SE",RIGHT(D170,LEN(D170)-2)="S",RIGHT(D170,LEN(D170)-2)="SW",RIGHT(D170,LEN(D170)-2)="W",RIGHT(D170,LEN(D170)-2)="NW"))),NOT(AND(LEFT(E170,2)="A:",IFERROR(VALUE(RIGHT(E170,LEN(E170)-2))&gt;=0,FALSE))),NOT(AND(LEFT(F170,2)="R:",IFERROR(VALUE(RIGHT(F170,LEN(F170)-2))&gt;=0,FALSE))),NOT(AND(LEFT(G170,2)="H:",IFERROR(VALUE(RIGHT(G170,LEN(G170)-2))&gt;=0,FALSE))),NOT(AND(LEFT(H170,2)="T:",IFERROR(VALUE(RIGHT(H170,LEN(H170)-2))&gt;=-50,FALSE))),NOT(AND(LEFT(I170,2)="P:",IFERROR(VALUE(RIGHT(I170,LEN(I170)-2))&gt;=900,FALSE))),NOT(AND(LEFT(J170,2)="B:",IFERROR(VALUE(RIGHT(J170,LEN(J170)-2))&gt;=0,FALSE))),AND(K170&lt;&gt;75,K170&lt;&gt;76)),1,0),1)</f>
        <v>0</v>
      </c>
    </row>
    <row r="171" spans="1:12">
      <c r="A171" t="s">
        <v>59</v>
      </c>
      <c r="B171" s="6" t="s">
        <v>270</v>
      </c>
      <c r="C171" t="s">
        <v>15</v>
      </c>
      <c r="D171" t="s">
        <v>20</v>
      </c>
      <c r="E171" t="s">
        <v>28</v>
      </c>
      <c r="F171" t="s">
        <v>177</v>
      </c>
      <c r="G171" t="s">
        <v>271</v>
      </c>
      <c r="H171" t="s">
        <v>101</v>
      </c>
      <c r="I171" t="s">
        <v>65</v>
      </c>
      <c r="J171" t="s">
        <v>23</v>
      </c>
      <c r="K171">
        <f t="shared" si="6"/>
        <v>76</v>
      </c>
      <c r="L171">
        <f t="shared" si="7"/>
        <v>0</v>
      </c>
    </row>
    <row r="172" spans="1:12">
      <c r="A172" t="s">
        <v>59</v>
      </c>
      <c r="B172" s="6" t="s">
        <v>272</v>
      </c>
      <c r="C172" t="s">
        <v>15</v>
      </c>
      <c r="D172" t="s">
        <v>20</v>
      </c>
      <c r="E172" t="s">
        <v>28</v>
      </c>
      <c r="F172" t="s">
        <v>177</v>
      </c>
      <c r="G172" t="s">
        <v>273</v>
      </c>
      <c r="H172" t="s">
        <v>138</v>
      </c>
      <c r="I172" t="s">
        <v>22</v>
      </c>
      <c r="J172" t="s">
        <v>23</v>
      </c>
      <c r="K172">
        <f t="shared" si="6"/>
        <v>76</v>
      </c>
      <c r="L172">
        <f t="shared" si="7"/>
        <v>0</v>
      </c>
    </row>
    <row r="173" spans="1:12">
      <c r="A173" t="s">
        <v>59</v>
      </c>
      <c r="B173" s="6" t="s">
        <v>274</v>
      </c>
      <c r="C173" t="s">
        <v>15</v>
      </c>
      <c r="D173" t="s">
        <v>20</v>
      </c>
      <c r="E173" t="s">
        <v>28</v>
      </c>
      <c r="F173" t="s">
        <v>177</v>
      </c>
      <c r="G173" t="s">
        <v>275</v>
      </c>
      <c r="H173" t="s">
        <v>276</v>
      </c>
      <c r="I173" t="s">
        <v>67</v>
      </c>
      <c r="J173" t="s">
        <v>23</v>
      </c>
      <c r="K173">
        <f t="shared" si="6"/>
        <v>76</v>
      </c>
      <c r="L173">
        <f t="shared" si="7"/>
        <v>0</v>
      </c>
    </row>
    <row r="174" spans="1:12">
      <c r="A174" t="s">
        <v>59</v>
      </c>
      <c r="B174" s="6" t="s">
        <v>277</v>
      </c>
      <c r="C174" t="s">
        <v>15</v>
      </c>
      <c r="D174" t="s">
        <v>20</v>
      </c>
      <c r="E174" t="s">
        <v>28</v>
      </c>
      <c r="F174" t="s">
        <v>177</v>
      </c>
      <c r="G174" t="s">
        <v>25</v>
      </c>
      <c r="H174" t="s">
        <v>126</v>
      </c>
      <c r="I174" t="s">
        <v>65</v>
      </c>
      <c r="J174" t="s">
        <v>23</v>
      </c>
      <c r="K174">
        <f t="shared" si="6"/>
        <v>76</v>
      </c>
      <c r="L174">
        <f t="shared" si="7"/>
        <v>0</v>
      </c>
    </row>
    <row r="175" spans="1:12">
      <c r="A175" t="s">
        <v>59</v>
      </c>
      <c r="B175" s="6" t="s">
        <v>278</v>
      </c>
      <c r="C175" t="s">
        <v>15</v>
      </c>
      <c r="D175" t="s">
        <v>20</v>
      </c>
      <c r="E175" t="s">
        <v>28</v>
      </c>
      <c r="F175" t="s">
        <v>177</v>
      </c>
      <c r="G175" t="s">
        <v>24</v>
      </c>
      <c r="H175" t="s">
        <v>138</v>
      </c>
      <c r="I175" t="s">
        <v>152</v>
      </c>
      <c r="J175" t="s">
        <v>23</v>
      </c>
      <c r="K175">
        <f t="shared" si="6"/>
        <v>76</v>
      </c>
      <c r="L175">
        <f t="shared" si="7"/>
        <v>0</v>
      </c>
    </row>
    <row r="176" spans="1:12">
      <c r="A176" t="s">
        <v>59</v>
      </c>
      <c r="B176" s="6" t="s">
        <v>279</v>
      </c>
      <c r="C176" t="s">
        <v>15</v>
      </c>
      <c r="D176" t="s">
        <v>20</v>
      </c>
      <c r="E176" t="s">
        <v>28</v>
      </c>
      <c r="F176" t="s">
        <v>177</v>
      </c>
      <c r="G176" t="s">
        <v>178</v>
      </c>
      <c r="H176" t="s">
        <v>101</v>
      </c>
      <c r="I176" t="s">
        <v>67</v>
      </c>
      <c r="J176" t="s">
        <v>23</v>
      </c>
      <c r="K176">
        <f t="shared" si="6"/>
        <v>76</v>
      </c>
      <c r="L176">
        <f t="shared" si="7"/>
        <v>0</v>
      </c>
    </row>
    <row r="177" spans="1:12">
      <c r="A177" t="s">
        <v>59</v>
      </c>
      <c r="B177" s="6" t="s">
        <v>280</v>
      </c>
      <c r="C177" t="s">
        <v>15</v>
      </c>
      <c r="D177" t="s">
        <v>20</v>
      </c>
      <c r="E177" t="s">
        <v>28</v>
      </c>
      <c r="F177" t="s">
        <v>177</v>
      </c>
      <c r="G177" t="s">
        <v>48</v>
      </c>
      <c r="H177" t="s">
        <v>101</v>
      </c>
      <c r="I177" t="s">
        <v>65</v>
      </c>
      <c r="J177" t="s">
        <v>23</v>
      </c>
      <c r="K177">
        <f t="shared" si="6"/>
        <v>76</v>
      </c>
      <c r="L177">
        <f t="shared" si="7"/>
        <v>0</v>
      </c>
    </row>
    <row r="178" spans="1:12">
      <c r="A178" t="s">
        <v>59</v>
      </c>
      <c r="B178" s="6" t="s">
        <v>281</v>
      </c>
      <c r="C178" t="s">
        <v>15</v>
      </c>
      <c r="D178" t="s">
        <v>20</v>
      </c>
      <c r="E178" t="s">
        <v>28</v>
      </c>
      <c r="F178" t="s">
        <v>177</v>
      </c>
      <c r="G178" t="s">
        <v>162</v>
      </c>
      <c r="H178" t="s">
        <v>101</v>
      </c>
      <c r="I178" t="s">
        <v>152</v>
      </c>
      <c r="J178" t="s">
        <v>23</v>
      </c>
      <c r="K178">
        <f t="shared" si="6"/>
        <v>76</v>
      </c>
      <c r="L178">
        <f t="shared" si="7"/>
        <v>0</v>
      </c>
    </row>
    <row r="179" spans="1:12">
      <c r="A179" t="s">
        <v>59</v>
      </c>
      <c r="B179" s="6" t="s">
        <v>282</v>
      </c>
      <c r="C179" t="s">
        <v>15</v>
      </c>
      <c r="D179" t="s">
        <v>20</v>
      </c>
      <c r="E179" t="s">
        <v>28</v>
      </c>
      <c r="F179" t="s">
        <v>177</v>
      </c>
      <c r="G179" t="s">
        <v>162</v>
      </c>
      <c r="H179" t="s">
        <v>101</v>
      </c>
      <c r="I179" t="s">
        <v>152</v>
      </c>
      <c r="J179" t="s">
        <v>23</v>
      </c>
      <c r="K179">
        <f t="shared" si="6"/>
        <v>76</v>
      </c>
      <c r="L179">
        <f t="shared" si="7"/>
        <v>0</v>
      </c>
    </row>
    <row r="180" spans="1:12">
      <c r="A180" t="s">
        <v>59</v>
      </c>
      <c r="B180" s="6" t="s">
        <v>283</v>
      </c>
      <c r="C180" t="s">
        <v>15</v>
      </c>
      <c r="D180" t="s">
        <v>20</v>
      </c>
      <c r="E180" t="s">
        <v>28</v>
      </c>
      <c r="F180" t="s">
        <v>177</v>
      </c>
      <c r="G180" t="s">
        <v>162</v>
      </c>
      <c r="H180" t="s">
        <v>101</v>
      </c>
      <c r="I180" t="s">
        <v>152</v>
      </c>
      <c r="J180" t="s">
        <v>23</v>
      </c>
      <c r="K180">
        <f t="shared" si="6"/>
        <v>76</v>
      </c>
      <c r="L180">
        <f t="shared" si="7"/>
        <v>0</v>
      </c>
    </row>
    <row r="181" spans="1:12">
      <c r="A181" t="s">
        <v>59</v>
      </c>
      <c r="B181" s="6" t="s">
        <v>284</v>
      </c>
      <c r="C181" t="s">
        <v>15</v>
      </c>
      <c r="D181" t="s">
        <v>20</v>
      </c>
      <c r="E181" t="s">
        <v>28</v>
      </c>
      <c r="F181" t="s">
        <v>177</v>
      </c>
      <c r="G181" t="s">
        <v>162</v>
      </c>
      <c r="H181" t="s">
        <v>98</v>
      </c>
      <c r="I181" t="s">
        <v>61</v>
      </c>
      <c r="J181" t="s">
        <v>23</v>
      </c>
      <c r="K181">
        <f t="shared" si="6"/>
        <v>76</v>
      </c>
      <c r="L181">
        <f t="shared" si="7"/>
        <v>0</v>
      </c>
    </row>
    <row r="182" spans="1:12">
      <c r="A182" t="s">
        <v>59</v>
      </c>
      <c r="B182" s="6" t="s">
        <v>285</v>
      </c>
      <c r="C182" t="s">
        <v>15</v>
      </c>
      <c r="D182" t="s">
        <v>20</v>
      </c>
      <c r="E182" t="s">
        <v>28</v>
      </c>
      <c r="F182" t="s">
        <v>177</v>
      </c>
      <c r="G182" t="s">
        <v>162</v>
      </c>
      <c r="H182" t="s">
        <v>101</v>
      </c>
      <c r="I182" t="s">
        <v>152</v>
      </c>
      <c r="J182" t="s">
        <v>23</v>
      </c>
      <c r="K182">
        <f t="shared" si="6"/>
        <v>76</v>
      </c>
      <c r="L182">
        <f t="shared" si="7"/>
        <v>0</v>
      </c>
    </row>
    <row r="183" spans="1:12">
      <c r="A183" t="s">
        <v>59</v>
      </c>
      <c r="B183" s="6" t="s">
        <v>286</v>
      </c>
      <c r="C183" t="s">
        <v>15</v>
      </c>
      <c r="D183" t="s">
        <v>20</v>
      </c>
      <c r="E183" t="s">
        <v>28</v>
      </c>
      <c r="F183" t="s">
        <v>177</v>
      </c>
      <c r="G183" t="s">
        <v>48</v>
      </c>
      <c r="H183" t="s">
        <v>101</v>
      </c>
      <c r="I183" t="s">
        <v>152</v>
      </c>
      <c r="J183" t="s">
        <v>23</v>
      </c>
      <c r="K183">
        <f t="shared" si="6"/>
        <v>76</v>
      </c>
      <c r="L183">
        <f t="shared" si="7"/>
        <v>0</v>
      </c>
    </row>
    <row r="184" spans="1:12">
      <c r="A184" t="s">
        <v>59</v>
      </c>
      <c r="B184" s="6" t="s">
        <v>287</v>
      </c>
      <c r="C184" t="s">
        <v>15</v>
      </c>
      <c r="D184" t="s">
        <v>20</v>
      </c>
      <c r="E184" t="s">
        <v>28</v>
      </c>
      <c r="F184" t="s">
        <v>177</v>
      </c>
      <c r="G184" t="s">
        <v>271</v>
      </c>
      <c r="H184" t="s">
        <v>101</v>
      </c>
      <c r="I184" t="s">
        <v>150</v>
      </c>
      <c r="J184" t="s">
        <v>23</v>
      </c>
      <c r="K184">
        <f t="shared" si="6"/>
        <v>76</v>
      </c>
      <c r="L184">
        <f t="shared" si="7"/>
        <v>0</v>
      </c>
    </row>
    <row r="185" spans="1:12">
      <c r="A185" t="s">
        <v>59</v>
      </c>
      <c r="B185" s="6" t="s">
        <v>288</v>
      </c>
      <c r="C185" t="s">
        <v>15</v>
      </c>
      <c r="D185" t="s">
        <v>20</v>
      </c>
      <c r="E185" t="s">
        <v>28</v>
      </c>
      <c r="F185" t="s">
        <v>177</v>
      </c>
      <c r="G185" t="s">
        <v>143</v>
      </c>
      <c r="H185" t="s">
        <v>98</v>
      </c>
      <c r="I185" t="s">
        <v>65</v>
      </c>
      <c r="J185" t="s">
        <v>23</v>
      </c>
      <c r="K185">
        <f t="shared" si="6"/>
        <v>76</v>
      </c>
      <c r="L185">
        <f t="shared" si="7"/>
        <v>0</v>
      </c>
    </row>
    <row r="186" spans="1:12">
      <c r="A186" t="s">
        <v>59</v>
      </c>
      <c r="B186" s="6" t="s">
        <v>289</v>
      </c>
      <c r="C186" t="s">
        <v>15</v>
      </c>
      <c r="D186" t="s">
        <v>20</v>
      </c>
      <c r="E186" t="s">
        <v>28</v>
      </c>
      <c r="F186" t="s">
        <v>177</v>
      </c>
      <c r="G186" t="s">
        <v>290</v>
      </c>
      <c r="H186" t="s">
        <v>101</v>
      </c>
      <c r="I186" t="s">
        <v>152</v>
      </c>
      <c r="J186" t="s">
        <v>23</v>
      </c>
      <c r="K186">
        <f t="shared" si="6"/>
        <v>76</v>
      </c>
      <c r="L186">
        <f t="shared" si="7"/>
        <v>0</v>
      </c>
    </row>
    <row r="187" spans="1:12">
      <c r="A187" t="s">
        <v>59</v>
      </c>
      <c r="B187" s="6" t="s">
        <v>291</v>
      </c>
      <c r="C187" t="s">
        <v>15</v>
      </c>
      <c r="D187" t="s">
        <v>31</v>
      </c>
      <c r="E187" t="s">
        <v>32</v>
      </c>
      <c r="F187" t="s">
        <v>17</v>
      </c>
      <c r="G187" t="s">
        <v>162</v>
      </c>
      <c r="H187" t="s">
        <v>138</v>
      </c>
      <c r="I187" t="s">
        <v>292</v>
      </c>
      <c r="J187" t="s">
        <v>23</v>
      </c>
      <c r="K187">
        <f t="shared" si="6"/>
        <v>76</v>
      </c>
      <c r="L187">
        <f t="shared" si="7"/>
        <v>0</v>
      </c>
    </row>
    <row r="188" spans="1:12">
      <c r="A188" t="s">
        <v>59</v>
      </c>
      <c r="B188" s="6" t="s">
        <v>293</v>
      </c>
      <c r="C188" t="s">
        <v>15</v>
      </c>
      <c r="D188" t="s">
        <v>20</v>
      </c>
      <c r="E188" t="s">
        <v>28</v>
      </c>
      <c r="F188" t="s">
        <v>17</v>
      </c>
      <c r="G188" t="s">
        <v>30</v>
      </c>
      <c r="H188" t="s">
        <v>138</v>
      </c>
      <c r="I188" t="s">
        <v>22</v>
      </c>
      <c r="J188" t="s">
        <v>23</v>
      </c>
      <c r="K188">
        <f t="shared" si="6"/>
        <v>76</v>
      </c>
      <c r="L188">
        <f t="shared" si="7"/>
        <v>0</v>
      </c>
    </row>
    <row r="189" spans="1:12">
      <c r="A189" t="s">
        <v>307</v>
      </c>
      <c r="B189" s="6" t="s">
        <v>308</v>
      </c>
      <c r="C189" t="s">
        <v>15</v>
      </c>
      <c r="D189" t="s">
        <v>299</v>
      </c>
      <c r="E189" t="s">
        <v>300</v>
      </c>
      <c r="F189" t="s">
        <v>17</v>
      </c>
      <c r="G189" t="s">
        <v>309</v>
      </c>
      <c r="H189" t="s">
        <v>310</v>
      </c>
      <c r="I189" t="s">
        <v>292</v>
      </c>
      <c r="J189" t="s">
        <v>18</v>
      </c>
      <c r="K189">
        <f t="shared" si="6"/>
        <v>75</v>
      </c>
      <c r="L189">
        <f t="shared" si="7"/>
        <v>0</v>
      </c>
    </row>
    <row r="190" spans="1:12">
      <c r="A190" t="s">
        <v>307</v>
      </c>
      <c r="B190" s="6" t="s">
        <v>311</v>
      </c>
      <c r="C190" t="s">
        <v>15</v>
      </c>
      <c r="D190" t="s">
        <v>299</v>
      </c>
      <c r="E190" t="s">
        <v>300</v>
      </c>
      <c r="F190" t="s">
        <v>17</v>
      </c>
      <c r="G190" t="s">
        <v>312</v>
      </c>
      <c r="H190" t="s">
        <v>310</v>
      </c>
      <c r="I190" t="s">
        <v>292</v>
      </c>
      <c r="J190" t="s">
        <v>18</v>
      </c>
      <c r="K190">
        <f t="shared" si="6"/>
        <v>75</v>
      </c>
      <c r="L190">
        <f t="shared" si="7"/>
        <v>0</v>
      </c>
    </row>
    <row r="191" spans="1:12">
      <c r="A191" t="s">
        <v>307</v>
      </c>
      <c r="B191" s="6" t="s">
        <v>313</v>
      </c>
      <c r="C191" t="s">
        <v>15</v>
      </c>
      <c r="D191" t="s">
        <v>299</v>
      </c>
      <c r="E191" t="s">
        <v>300</v>
      </c>
      <c r="F191" t="s">
        <v>17</v>
      </c>
      <c r="G191" t="s">
        <v>314</v>
      </c>
      <c r="H191" t="s">
        <v>310</v>
      </c>
      <c r="I191" t="s">
        <v>292</v>
      </c>
      <c r="J191" t="s">
        <v>18</v>
      </c>
      <c r="K191">
        <f t="shared" si="6"/>
        <v>75</v>
      </c>
      <c r="L191">
        <f t="shared" si="7"/>
        <v>0</v>
      </c>
    </row>
    <row r="192" spans="1:12">
      <c r="A192" t="s">
        <v>307</v>
      </c>
      <c r="B192" s="6" t="s">
        <v>315</v>
      </c>
      <c r="C192" t="s">
        <v>15</v>
      </c>
      <c r="D192" t="s">
        <v>299</v>
      </c>
      <c r="E192" t="s">
        <v>300</v>
      </c>
      <c r="F192" t="s">
        <v>17</v>
      </c>
      <c r="G192" t="s">
        <v>316</v>
      </c>
      <c r="H192" t="s">
        <v>317</v>
      </c>
      <c r="I192" t="s">
        <v>292</v>
      </c>
      <c r="J192" t="s">
        <v>18</v>
      </c>
      <c r="K192">
        <f t="shared" si="6"/>
        <v>75</v>
      </c>
      <c r="L192">
        <f t="shared" si="7"/>
        <v>0</v>
      </c>
    </row>
    <row r="193" spans="1:12">
      <c r="A193" t="s">
        <v>307</v>
      </c>
      <c r="B193" s="6" t="s">
        <v>318</v>
      </c>
      <c r="C193" t="s">
        <v>15</v>
      </c>
      <c r="D193" t="s">
        <v>299</v>
      </c>
      <c r="E193" t="s">
        <v>300</v>
      </c>
      <c r="F193" t="s">
        <v>17</v>
      </c>
      <c r="G193" t="s">
        <v>319</v>
      </c>
      <c r="H193" t="s">
        <v>317</v>
      </c>
      <c r="I193" t="s">
        <v>292</v>
      </c>
      <c r="J193" t="s">
        <v>18</v>
      </c>
      <c r="K193">
        <f t="shared" si="6"/>
        <v>75</v>
      </c>
      <c r="L193">
        <f t="shared" si="7"/>
        <v>0</v>
      </c>
    </row>
    <row r="194" spans="1:12">
      <c r="A194" t="s">
        <v>307</v>
      </c>
      <c r="B194" s="6" t="s">
        <v>320</v>
      </c>
      <c r="C194" t="s">
        <v>15</v>
      </c>
      <c r="D194" t="s">
        <v>299</v>
      </c>
      <c r="E194" t="s">
        <v>300</v>
      </c>
      <c r="F194" t="s">
        <v>17</v>
      </c>
      <c r="G194" t="s">
        <v>316</v>
      </c>
      <c r="H194" t="s">
        <v>317</v>
      </c>
      <c r="I194" t="s">
        <v>292</v>
      </c>
      <c r="J194" t="s">
        <v>18</v>
      </c>
      <c r="K194">
        <f t="shared" si="6"/>
        <v>75</v>
      </c>
      <c r="L194">
        <f t="shared" si="7"/>
        <v>0</v>
      </c>
    </row>
    <row r="195" spans="1:12">
      <c r="A195" t="s">
        <v>307</v>
      </c>
      <c r="B195" s="6" t="s">
        <v>321</v>
      </c>
      <c r="C195" t="s">
        <v>15</v>
      </c>
      <c r="D195" t="s">
        <v>299</v>
      </c>
      <c r="E195" t="s">
        <v>300</v>
      </c>
      <c r="F195" t="s">
        <v>17</v>
      </c>
      <c r="G195" t="s">
        <v>312</v>
      </c>
      <c r="H195" t="s">
        <v>322</v>
      </c>
      <c r="I195" t="s">
        <v>292</v>
      </c>
      <c r="J195" t="s">
        <v>18</v>
      </c>
      <c r="K195">
        <f t="shared" si="6"/>
        <v>75</v>
      </c>
      <c r="L195">
        <f t="shared" si="7"/>
        <v>0</v>
      </c>
    </row>
    <row r="196" spans="1:12">
      <c r="A196" t="s">
        <v>307</v>
      </c>
      <c r="B196" s="6" t="s">
        <v>323</v>
      </c>
      <c r="C196" t="s">
        <v>15</v>
      </c>
      <c r="D196" t="s">
        <v>299</v>
      </c>
      <c r="E196" t="s">
        <v>300</v>
      </c>
      <c r="F196" t="s">
        <v>17</v>
      </c>
      <c r="G196" t="s">
        <v>324</v>
      </c>
      <c r="H196" t="s">
        <v>322</v>
      </c>
      <c r="I196" t="s">
        <v>292</v>
      </c>
      <c r="J196" t="s">
        <v>18</v>
      </c>
      <c r="K196">
        <f t="shared" si="6"/>
        <v>75</v>
      </c>
      <c r="L196">
        <f t="shared" si="7"/>
        <v>0</v>
      </c>
    </row>
    <row r="197" spans="1:12">
      <c r="A197" t="s">
        <v>307</v>
      </c>
      <c r="B197" s="6" t="s">
        <v>325</v>
      </c>
      <c r="C197" t="s">
        <v>15</v>
      </c>
      <c r="D197" t="s">
        <v>299</v>
      </c>
      <c r="E197" t="s">
        <v>300</v>
      </c>
      <c r="F197" t="s">
        <v>17</v>
      </c>
      <c r="G197" t="s">
        <v>326</v>
      </c>
      <c r="H197" t="s">
        <v>322</v>
      </c>
      <c r="I197" t="s">
        <v>292</v>
      </c>
      <c r="J197" t="s">
        <v>18</v>
      </c>
      <c r="K197">
        <f t="shared" si="6"/>
        <v>75</v>
      </c>
      <c r="L197">
        <f t="shared" si="7"/>
        <v>0</v>
      </c>
    </row>
    <row r="198" spans="1:12">
      <c r="A198" t="s">
        <v>307</v>
      </c>
      <c r="B198" s="6" t="s">
        <v>327</v>
      </c>
      <c r="C198" t="s">
        <v>15</v>
      </c>
      <c r="D198" t="s">
        <v>299</v>
      </c>
      <c r="E198" t="s">
        <v>300</v>
      </c>
      <c r="F198" t="s">
        <v>17</v>
      </c>
      <c r="G198" t="s">
        <v>312</v>
      </c>
      <c r="H198" t="s">
        <v>322</v>
      </c>
      <c r="I198" t="s">
        <v>292</v>
      </c>
      <c r="J198" t="s">
        <v>18</v>
      </c>
      <c r="K198">
        <f t="shared" si="6"/>
        <v>75</v>
      </c>
      <c r="L198">
        <f t="shared" si="7"/>
        <v>0</v>
      </c>
    </row>
    <row r="199" spans="1:12">
      <c r="A199" t="s">
        <v>307</v>
      </c>
      <c r="B199" s="6" t="s">
        <v>328</v>
      </c>
      <c r="C199" t="s">
        <v>15</v>
      </c>
      <c r="D199" t="s">
        <v>299</v>
      </c>
      <c r="E199" t="s">
        <v>300</v>
      </c>
      <c r="F199" t="s">
        <v>17</v>
      </c>
      <c r="G199" t="s">
        <v>314</v>
      </c>
      <c r="H199" t="s">
        <v>322</v>
      </c>
      <c r="I199" t="s">
        <v>292</v>
      </c>
      <c r="J199" t="s">
        <v>18</v>
      </c>
      <c r="K199">
        <f t="shared" si="6"/>
        <v>75</v>
      </c>
      <c r="L199">
        <f t="shared" si="7"/>
        <v>0</v>
      </c>
    </row>
    <row r="200" spans="1:12">
      <c r="A200" t="s">
        <v>307</v>
      </c>
      <c r="B200" s="6" t="s">
        <v>329</v>
      </c>
      <c r="C200" t="s">
        <v>330</v>
      </c>
      <c r="D200" t="s">
        <v>31</v>
      </c>
      <c r="E200" t="s">
        <v>32</v>
      </c>
      <c r="F200" t="s">
        <v>17</v>
      </c>
      <c r="G200" t="s">
        <v>331</v>
      </c>
      <c r="H200" t="s">
        <v>322</v>
      </c>
      <c r="I200" t="s">
        <v>292</v>
      </c>
      <c r="J200" t="s">
        <v>18</v>
      </c>
      <c r="K200">
        <f t="shared" si="6"/>
        <v>76</v>
      </c>
      <c r="L200">
        <f t="shared" si="7"/>
        <v>0</v>
      </c>
    </row>
    <row r="201" spans="1:12">
      <c r="A201" t="s">
        <v>307</v>
      </c>
      <c r="B201" s="6" t="s">
        <v>332</v>
      </c>
      <c r="C201" t="s">
        <v>333</v>
      </c>
      <c r="D201" t="s">
        <v>20</v>
      </c>
      <c r="E201" t="s">
        <v>28</v>
      </c>
      <c r="F201" t="s">
        <v>17</v>
      </c>
      <c r="G201" t="s">
        <v>334</v>
      </c>
      <c r="H201" t="s">
        <v>322</v>
      </c>
      <c r="I201" t="s">
        <v>292</v>
      </c>
      <c r="J201" t="s">
        <v>18</v>
      </c>
      <c r="K201">
        <f t="shared" si="6"/>
        <v>76</v>
      </c>
      <c r="L201">
        <f t="shared" si="7"/>
        <v>0</v>
      </c>
    </row>
    <row r="202" spans="1:12">
      <c r="A202" t="s">
        <v>307</v>
      </c>
      <c r="B202" s="6" t="s">
        <v>335</v>
      </c>
      <c r="C202" t="s">
        <v>336</v>
      </c>
      <c r="D202" t="s">
        <v>297</v>
      </c>
      <c r="E202" t="s">
        <v>298</v>
      </c>
      <c r="F202" t="s">
        <v>337</v>
      </c>
      <c r="G202" t="s">
        <v>338</v>
      </c>
      <c r="H202" t="s">
        <v>322</v>
      </c>
      <c r="I202" t="s">
        <v>292</v>
      </c>
      <c r="J202" t="s">
        <v>18</v>
      </c>
      <c r="K202">
        <f t="shared" si="6"/>
        <v>75</v>
      </c>
      <c r="L202">
        <f t="shared" si="7"/>
        <v>0</v>
      </c>
    </row>
    <row r="203" spans="1:12">
      <c r="A203" t="s">
        <v>307</v>
      </c>
      <c r="B203" s="6" t="s">
        <v>339</v>
      </c>
      <c r="C203" t="s">
        <v>15</v>
      </c>
      <c r="D203" t="s">
        <v>20</v>
      </c>
      <c r="E203" t="s">
        <v>28</v>
      </c>
      <c r="F203" t="s">
        <v>340</v>
      </c>
      <c r="G203" t="s">
        <v>312</v>
      </c>
      <c r="H203" t="s">
        <v>322</v>
      </c>
      <c r="I203" t="s">
        <v>292</v>
      </c>
      <c r="J203" t="s">
        <v>18</v>
      </c>
      <c r="K203">
        <f t="shared" si="6"/>
        <v>76</v>
      </c>
      <c r="L203">
        <f t="shared" si="7"/>
        <v>0</v>
      </c>
    </row>
    <row r="204" spans="1:12">
      <c r="A204" t="s">
        <v>307</v>
      </c>
      <c r="B204" s="6" t="s">
        <v>341</v>
      </c>
      <c r="C204" t="s">
        <v>15</v>
      </c>
      <c r="D204" t="s">
        <v>20</v>
      </c>
      <c r="E204" t="s">
        <v>28</v>
      </c>
      <c r="F204" t="s">
        <v>342</v>
      </c>
      <c r="G204" t="s">
        <v>343</v>
      </c>
      <c r="H204" t="s">
        <v>322</v>
      </c>
      <c r="I204" t="s">
        <v>292</v>
      </c>
      <c r="J204" t="s">
        <v>18</v>
      </c>
      <c r="K204">
        <f t="shared" si="6"/>
        <v>76</v>
      </c>
      <c r="L204">
        <f t="shared" si="7"/>
        <v>0</v>
      </c>
    </row>
    <row r="205" spans="1:12">
      <c r="A205" t="s">
        <v>307</v>
      </c>
      <c r="B205" s="6" t="s">
        <v>344</v>
      </c>
      <c r="C205" t="s">
        <v>15</v>
      </c>
      <c r="D205" t="s">
        <v>20</v>
      </c>
      <c r="E205" t="s">
        <v>28</v>
      </c>
      <c r="F205" t="s">
        <v>176</v>
      </c>
      <c r="G205" t="s">
        <v>343</v>
      </c>
      <c r="H205" t="s">
        <v>322</v>
      </c>
      <c r="I205" t="s">
        <v>292</v>
      </c>
      <c r="J205" t="s">
        <v>18</v>
      </c>
      <c r="K205">
        <f t="shared" si="6"/>
        <v>76</v>
      </c>
      <c r="L205">
        <f t="shared" si="7"/>
        <v>0</v>
      </c>
    </row>
    <row r="206" spans="1:12">
      <c r="A206" t="s">
        <v>307</v>
      </c>
      <c r="B206" s="6" t="s">
        <v>345</v>
      </c>
      <c r="C206" t="s">
        <v>15</v>
      </c>
      <c r="D206" t="s">
        <v>20</v>
      </c>
      <c r="E206" t="s">
        <v>28</v>
      </c>
      <c r="F206" t="s">
        <v>195</v>
      </c>
      <c r="G206" t="s">
        <v>346</v>
      </c>
      <c r="H206" t="s">
        <v>322</v>
      </c>
      <c r="I206" t="s">
        <v>292</v>
      </c>
      <c r="J206" t="s">
        <v>18</v>
      </c>
      <c r="K206">
        <f t="shared" si="6"/>
        <v>76</v>
      </c>
      <c r="L206">
        <f t="shared" si="7"/>
        <v>0</v>
      </c>
    </row>
    <row r="207" spans="1:12">
      <c r="A207" t="s">
        <v>307</v>
      </c>
      <c r="B207" s="6" t="s">
        <v>347</v>
      </c>
      <c r="C207" t="s">
        <v>15</v>
      </c>
      <c r="D207" t="s">
        <v>20</v>
      </c>
      <c r="E207" t="s">
        <v>28</v>
      </c>
      <c r="F207" t="s">
        <v>176</v>
      </c>
      <c r="G207" t="s">
        <v>348</v>
      </c>
      <c r="H207" t="s">
        <v>322</v>
      </c>
      <c r="I207" t="s">
        <v>292</v>
      </c>
      <c r="J207" t="s">
        <v>18</v>
      </c>
      <c r="K207">
        <f t="shared" si="6"/>
        <v>76</v>
      </c>
      <c r="L207">
        <f t="shared" si="7"/>
        <v>0</v>
      </c>
    </row>
    <row r="208" spans="1:12">
      <c r="A208" t="s">
        <v>307</v>
      </c>
      <c r="B208" s="6" t="s">
        <v>349</v>
      </c>
      <c r="C208" t="s">
        <v>15</v>
      </c>
      <c r="D208" t="s">
        <v>20</v>
      </c>
      <c r="E208" t="s">
        <v>28</v>
      </c>
      <c r="F208" t="s">
        <v>176</v>
      </c>
      <c r="G208" t="s">
        <v>343</v>
      </c>
      <c r="H208" t="s">
        <v>322</v>
      </c>
      <c r="I208" t="s">
        <v>292</v>
      </c>
      <c r="J208" t="s">
        <v>18</v>
      </c>
      <c r="K208">
        <f t="shared" si="6"/>
        <v>76</v>
      </c>
      <c r="L208">
        <f t="shared" si="7"/>
        <v>0</v>
      </c>
    </row>
    <row r="209" spans="1:12">
      <c r="A209" t="s">
        <v>307</v>
      </c>
      <c r="B209" s="6" t="s">
        <v>350</v>
      </c>
      <c r="C209" t="s">
        <v>15</v>
      </c>
      <c r="D209" t="s">
        <v>20</v>
      </c>
      <c r="E209" t="s">
        <v>28</v>
      </c>
      <c r="F209" t="s">
        <v>176</v>
      </c>
      <c r="G209" t="s">
        <v>351</v>
      </c>
      <c r="H209" t="s">
        <v>322</v>
      </c>
      <c r="I209" t="s">
        <v>292</v>
      </c>
      <c r="J209" t="s">
        <v>18</v>
      </c>
      <c r="K209">
        <f t="shared" si="6"/>
        <v>76</v>
      </c>
      <c r="L209">
        <f t="shared" si="7"/>
        <v>0</v>
      </c>
    </row>
    <row r="210" spans="1:12">
      <c r="A210" t="s">
        <v>307</v>
      </c>
      <c r="B210" s="6" t="s">
        <v>352</v>
      </c>
      <c r="C210" t="s">
        <v>15</v>
      </c>
      <c r="D210" t="s">
        <v>20</v>
      </c>
      <c r="E210" t="s">
        <v>28</v>
      </c>
      <c r="F210" t="s">
        <v>176</v>
      </c>
      <c r="G210" t="s">
        <v>353</v>
      </c>
      <c r="H210" t="s">
        <v>354</v>
      </c>
      <c r="I210" t="s">
        <v>292</v>
      </c>
      <c r="J210" t="s">
        <v>18</v>
      </c>
      <c r="K210">
        <f t="shared" si="6"/>
        <v>76</v>
      </c>
      <c r="L210">
        <f t="shared" si="7"/>
        <v>0</v>
      </c>
    </row>
    <row r="211" spans="1:12">
      <c r="A211" t="s">
        <v>307</v>
      </c>
      <c r="B211" s="6" t="s">
        <v>355</v>
      </c>
      <c r="C211" t="s">
        <v>15</v>
      </c>
      <c r="D211" t="s">
        <v>20</v>
      </c>
      <c r="E211" t="s">
        <v>28</v>
      </c>
      <c r="F211" t="s">
        <v>176</v>
      </c>
      <c r="G211" t="s">
        <v>356</v>
      </c>
      <c r="H211" t="s">
        <v>354</v>
      </c>
      <c r="I211" t="s">
        <v>292</v>
      </c>
      <c r="J211" t="s">
        <v>18</v>
      </c>
      <c r="K211">
        <f t="shared" si="6"/>
        <v>76</v>
      </c>
      <c r="L211">
        <f t="shared" si="7"/>
        <v>0</v>
      </c>
    </row>
    <row r="212" spans="1:12">
      <c r="A212" t="s">
        <v>307</v>
      </c>
      <c r="B212" s="6" t="s">
        <v>357</v>
      </c>
      <c r="C212" t="s">
        <v>15</v>
      </c>
      <c r="D212" t="s">
        <v>20</v>
      </c>
      <c r="E212" t="s">
        <v>28</v>
      </c>
      <c r="F212" t="s">
        <v>176</v>
      </c>
      <c r="G212" t="s">
        <v>358</v>
      </c>
      <c r="H212" t="s">
        <v>354</v>
      </c>
      <c r="I212" t="s">
        <v>292</v>
      </c>
      <c r="J212" t="s">
        <v>18</v>
      </c>
      <c r="K212">
        <f t="shared" si="6"/>
        <v>76</v>
      </c>
      <c r="L212">
        <f t="shared" si="7"/>
        <v>0</v>
      </c>
    </row>
    <row r="213" spans="1:12">
      <c r="A213" t="s">
        <v>307</v>
      </c>
      <c r="B213" s="6" t="s">
        <v>359</v>
      </c>
      <c r="C213" t="s">
        <v>15</v>
      </c>
      <c r="D213" t="s">
        <v>20</v>
      </c>
      <c r="E213" t="s">
        <v>28</v>
      </c>
      <c r="F213" t="s">
        <v>176</v>
      </c>
      <c r="G213" t="s">
        <v>360</v>
      </c>
      <c r="H213" t="s">
        <v>354</v>
      </c>
      <c r="I213" t="s">
        <v>292</v>
      </c>
      <c r="J213" t="s">
        <v>18</v>
      </c>
      <c r="K213">
        <f t="shared" si="6"/>
        <v>76</v>
      </c>
      <c r="L213">
        <f t="shared" si="7"/>
        <v>0</v>
      </c>
    </row>
    <row r="214" spans="1:12">
      <c r="A214" t="s">
        <v>307</v>
      </c>
      <c r="B214" s="6" t="s">
        <v>361</v>
      </c>
      <c r="C214" t="s">
        <v>15</v>
      </c>
      <c r="D214" t="s">
        <v>20</v>
      </c>
      <c r="E214" t="s">
        <v>28</v>
      </c>
      <c r="F214" t="s">
        <v>176</v>
      </c>
      <c r="G214" t="s">
        <v>353</v>
      </c>
      <c r="H214" t="s">
        <v>354</v>
      </c>
      <c r="I214" t="s">
        <v>292</v>
      </c>
      <c r="J214" t="s">
        <v>18</v>
      </c>
      <c r="K214">
        <f t="shared" si="6"/>
        <v>76</v>
      </c>
      <c r="L214">
        <f t="shared" si="7"/>
        <v>0</v>
      </c>
    </row>
    <row r="215" spans="1:12">
      <c r="A215" t="s">
        <v>307</v>
      </c>
      <c r="B215" s="6" t="s">
        <v>362</v>
      </c>
      <c r="C215" t="s">
        <v>15</v>
      </c>
      <c r="D215" t="s">
        <v>20</v>
      </c>
      <c r="E215" t="s">
        <v>28</v>
      </c>
      <c r="F215" t="s">
        <v>176</v>
      </c>
      <c r="G215" t="s">
        <v>346</v>
      </c>
      <c r="H215" t="s">
        <v>354</v>
      </c>
      <c r="I215" t="s">
        <v>292</v>
      </c>
      <c r="J215" t="s">
        <v>18</v>
      </c>
      <c r="K215">
        <f t="shared" si="6"/>
        <v>76</v>
      </c>
      <c r="L215">
        <f t="shared" si="7"/>
        <v>0</v>
      </c>
    </row>
    <row r="216" spans="1:12">
      <c r="A216" t="s">
        <v>307</v>
      </c>
      <c r="B216" s="6" t="s">
        <v>363</v>
      </c>
      <c r="C216" t="s">
        <v>15</v>
      </c>
      <c r="D216" t="s">
        <v>20</v>
      </c>
      <c r="E216" t="s">
        <v>28</v>
      </c>
      <c r="F216" t="s">
        <v>176</v>
      </c>
      <c r="G216" t="s">
        <v>356</v>
      </c>
      <c r="H216" t="s">
        <v>354</v>
      </c>
      <c r="I216" t="s">
        <v>292</v>
      </c>
      <c r="J216" t="s">
        <v>18</v>
      </c>
      <c r="K216">
        <f t="shared" si="6"/>
        <v>76</v>
      </c>
      <c r="L216">
        <f t="shared" si="7"/>
        <v>0</v>
      </c>
    </row>
    <row r="217" spans="1:12">
      <c r="A217" t="s">
        <v>307</v>
      </c>
      <c r="B217" s="6" t="s">
        <v>364</v>
      </c>
      <c r="C217" t="s">
        <v>15</v>
      </c>
      <c r="D217" t="s">
        <v>20</v>
      </c>
      <c r="E217" t="s">
        <v>28</v>
      </c>
      <c r="F217" t="s">
        <v>176</v>
      </c>
      <c r="G217" t="s">
        <v>343</v>
      </c>
      <c r="H217" t="s">
        <v>354</v>
      </c>
      <c r="I217" t="s">
        <v>292</v>
      </c>
      <c r="J217" t="s">
        <v>18</v>
      </c>
      <c r="K217">
        <f t="shared" si="6"/>
        <v>76</v>
      </c>
      <c r="L217">
        <f t="shared" si="7"/>
        <v>0</v>
      </c>
    </row>
    <row r="218" spans="1:12">
      <c r="A218" t="s">
        <v>307</v>
      </c>
      <c r="B218" s="6" t="s">
        <v>365</v>
      </c>
      <c r="C218" t="s">
        <v>15</v>
      </c>
      <c r="D218" t="s">
        <v>20</v>
      </c>
      <c r="E218" t="s">
        <v>28</v>
      </c>
      <c r="F218" t="s">
        <v>176</v>
      </c>
      <c r="G218" t="s">
        <v>356</v>
      </c>
      <c r="H218" t="s">
        <v>354</v>
      </c>
      <c r="I218" t="s">
        <v>292</v>
      </c>
      <c r="J218" t="s">
        <v>18</v>
      </c>
      <c r="K218">
        <f t="shared" si="6"/>
        <v>76</v>
      </c>
      <c r="L218">
        <f t="shared" si="7"/>
        <v>0</v>
      </c>
    </row>
    <row r="219" spans="1:12">
      <c r="A219" t="s">
        <v>307</v>
      </c>
      <c r="B219" s="6" t="s">
        <v>366</v>
      </c>
      <c r="C219" t="s">
        <v>15</v>
      </c>
      <c r="D219" t="s">
        <v>20</v>
      </c>
      <c r="E219" t="s">
        <v>28</v>
      </c>
      <c r="F219" t="s">
        <v>176</v>
      </c>
      <c r="G219" t="s">
        <v>367</v>
      </c>
      <c r="H219" t="s">
        <v>354</v>
      </c>
      <c r="I219" t="s">
        <v>292</v>
      </c>
      <c r="J219" t="s">
        <v>18</v>
      </c>
      <c r="K219">
        <f t="shared" ref="K219:K269" si="8">LEN(A219&amp;B219&amp;C219&amp;D219&amp;E219&amp;F219&amp;G219&amp;H219&amp;I219&amp;J219)</f>
        <v>76</v>
      </c>
      <c r="L219">
        <f t="shared" ref="L219:L269" si="9">IFERROR(IF(OR(NOT(AND(LEFT(A219,2)="D:",IFERROR(VALUE(RIGHT(A219,LEN(A219)-2))&gt;=0,FALSE))),NOT(AND(LEFT(B219,2)="C:",IFERROR(VALUE(RIGHT(B219,LEN(B219)-2))&gt;=0,FALSE))),NOT(AND(LEFT(C219,2)="S:",IFERROR(VALUE(RIGHT(C219,LEN(C219)-2))&gt;=0,FALSE))),NOT(AND(LEFT(D219,2)="W:",OR(RIGHT(D219,LEN(D219)-2)="N",RIGHT(D219,LEN(D219)-2)="NE",RIGHT(D219,LEN(D219)-2)="E",RIGHT(D219,LEN(D219)-2)="SE",RIGHT(D219,LEN(D219)-2)="S",RIGHT(D219,LEN(D219)-2)="SW",RIGHT(D219,LEN(D219)-2)="W",RIGHT(D219,LEN(D219)-2)="NW"))),NOT(AND(LEFT(E219,2)="A:",IFERROR(VALUE(RIGHT(E219,LEN(E219)-2))&gt;=0,FALSE))),NOT(AND(LEFT(F219,2)="R:",IFERROR(VALUE(RIGHT(F219,LEN(F219)-2))&gt;=0,FALSE))),NOT(AND(LEFT(G219,2)="H:",IFERROR(VALUE(RIGHT(G219,LEN(G219)-2))&gt;=0,FALSE))),NOT(AND(LEFT(H219,2)="T:",IFERROR(VALUE(RIGHT(H219,LEN(H219)-2))&gt;=-50,FALSE))),NOT(AND(LEFT(I219,2)="P:",IFERROR(VALUE(RIGHT(I219,LEN(I219)-2))&gt;=900,FALSE))),NOT(AND(LEFT(J219,2)="B:",IFERROR(VALUE(RIGHT(J219,LEN(J219)-2))&gt;=0,FALSE))),AND(K219&lt;&gt;75,K219&lt;&gt;76)),1,0),1)</f>
        <v>0</v>
      </c>
    </row>
    <row r="220" spans="1:12">
      <c r="A220" t="s">
        <v>307</v>
      </c>
      <c r="B220" s="6" t="s">
        <v>368</v>
      </c>
      <c r="C220" t="s">
        <v>369</v>
      </c>
      <c r="D220" t="s">
        <v>20</v>
      </c>
      <c r="E220" t="s">
        <v>28</v>
      </c>
      <c r="F220" t="s">
        <v>176</v>
      </c>
      <c r="G220" t="s">
        <v>367</v>
      </c>
      <c r="H220" t="s">
        <v>370</v>
      </c>
      <c r="I220" t="s">
        <v>292</v>
      </c>
      <c r="J220" t="s">
        <v>18</v>
      </c>
      <c r="K220">
        <f t="shared" si="8"/>
        <v>76</v>
      </c>
      <c r="L220">
        <f t="shared" si="9"/>
        <v>0</v>
      </c>
    </row>
    <row r="221" spans="1:12">
      <c r="A221" t="s">
        <v>307</v>
      </c>
      <c r="B221" s="6" t="s">
        <v>371</v>
      </c>
      <c r="C221" t="s">
        <v>372</v>
      </c>
      <c r="D221" t="s">
        <v>20</v>
      </c>
      <c r="E221" t="s">
        <v>28</v>
      </c>
      <c r="F221" t="s">
        <v>176</v>
      </c>
      <c r="G221" t="s">
        <v>373</v>
      </c>
      <c r="H221" t="s">
        <v>354</v>
      </c>
      <c r="I221" t="s">
        <v>292</v>
      </c>
      <c r="J221" t="s">
        <v>18</v>
      </c>
      <c r="K221">
        <f t="shared" si="8"/>
        <v>76</v>
      </c>
      <c r="L221">
        <f t="shared" si="9"/>
        <v>0</v>
      </c>
    </row>
    <row r="222" spans="1:12">
      <c r="A222" t="s">
        <v>307</v>
      </c>
      <c r="B222" s="6" t="s">
        <v>374</v>
      </c>
      <c r="C222" t="s">
        <v>375</v>
      </c>
      <c r="D222" t="s">
        <v>20</v>
      </c>
      <c r="E222" t="s">
        <v>28</v>
      </c>
      <c r="F222" t="s">
        <v>176</v>
      </c>
      <c r="G222" t="s">
        <v>373</v>
      </c>
      <c r="H222" t="s">
        <v>354</v>
      </c>
      <c r="I222" t="s">
        <v>292</v>
      </c>
      <c r="J222" t="s">
        <v>18</v>
      </c>
      <c r="K222">
        <f t="shared" si="8"/>
        <v>76</v>
      </c>
      <c r="L222">
        <f t="shared" si="9"/>
        <v>0</v>
      </c>
    </row>
    <row r="223" spans="1:12">
      <c r="A223" t="s">
        <v>307</v>
      </c>
      <c r="B223" s="6" t="s">
        <v>376</v>
      </c>
      <c r="C223" t="s">
        <v>15</v>
      </c>
      <c r="D223" t="s">
        <v>20</v>
      </c>
      <c r="E223" t="s">
        <v>28</v>
      </c>
      <c r="F223" t="s">
        <v>176</v>
      </c>
      <c r="G223" t="s">
        <v>377</v>
      </c>
      <c r="H223" t="s">
        <v>354</v>
      </c>
      <c r="I223" t="s">
        <v>378</v>
      </c>
      <c r="J223" t="s">
        <v>18</v>
      </c>
      <c r="K223">
        <f t="shared" si="8"/>
        <v>76</v>
      </c>
      <c r="L223">
        <f t="shared" si="9"/>
        <v>0</v>
      </c>
    </row>
    <row r="224" spans="1:12">
      <c r="A224" t="s">
        <v>307</v>
      </c>
      <c r="B224" s="6" t="s">
        <v>379</v>
      </c>
      <c r="C224" t="s">
        <v>15</v>
      </c>
      <c r="D224" t="s">
        <v>16</v>
      </c>
      <c r="E224" t="s">
        <v>58</v>
      </c>
      <c r="F224" t="s">
        <v>176</v>
      </c>
      <c r="G224" t="s">
        <v>334</v>
      </c>
      <c r="H224" t="s">
        <v>317</v>
      </c>
      <c r="I224" t="s">
        <v>292</v>
      </c>
      <c r="J224" t="s">
        <v>18</v>
      </c>
      <c r="K224">
        <f t="shared" si="8"/>
        <v>75</v>
      </c>
      <c r="L224">
        <f t="shared" si="9"/>
        <v>0</v>
      </c>
    </row>
    <row r="225" spans="1:12">
      <c r="A225" t="s">
        <v>307</v>
      </c>
      <c r="B225" s="6" t="s">
        <v>380</v>
      </c>
      <c r="C225" t="s">
        <v>15</v>
      </c>
      <c r="D225" t="s">
        <v>146</v>
      </c>
      <c r="E225" t="s">
        <v>147</v>
      </c>
      <c r="F225" t="s">
        <v>17</v>
      </c>
      <c r="G225" t="s">
        <v>381</v>
      </c>
      <c r="H225" t="s">
        <v>382</v>
      </c>
      <c r="I225" t="s">
        <v>292</v>
      </c>
      <c r="J225" t="s">
        <v>18</v>
      </c>
      <c r="K225">
        <f t="shared" si="8"/>
        <v>76</v>
      </c>
      <c r="L225">
        <f t="shared" si="9"/>
        <v>0</v>
      </c>
    </row>
    <row r="226" spans="1:12">
      <c r="A226" t="s">
        <v>307</v>
      </c>
      <c r="B226" s="6" t="s">
        <v>383</v>
      </c>
      <c r="C226" t="s">
        <v>15</v>
      </c>
      <c r="D226" t="s">
        <v>146</v>
      </c>
      <c r="E226" t="s">
        <v>147</v>
      </c>
      <c r="F226" t="s">
        <v>17</v>
      </c>
      <c r="G226" t="s">
        <v>384</v>
      </c>
      <c r="H226" t="s">
        <v>382</v>
      </c>
      <c r="I226" t="s">
        <v>292</v>
      </c>
      <c r="J226" t="s">
        <v>18</v>
      </c>
      <c r="K226">
        <f t="shared" si="8"/>
        <v>76</v>
      </c>
      <c r="L226">
        <f t="shared" si="9"/>
        <v>0</v>
      </c>
    </row>
    <row r="227" spans="1:12">
      <c r="A227" t="s">
        <v>307</v>
      </c>
      <c r="B227" s="6" t="s">
        <v>385</v>
      </c>
      <c r="C227" t="s">
        <v>15</v>
      </c>
      <c r="D227" t="s">
        <v>146</v>
      </c>
      <c r="E227" t="s">
        <v>147</v>
      </c>
      <c r="F227" t="s">
        <v>17</v>
      </c>
      <c r="G227" t="s">
        <v>386</v>
      </c>
      <c r="H227" t="s">
        <v>382</v>
      </c>
      <c r="I227" t="s">
        <v>292</v>
      </c>
      <c r="J227" t="s">
        <v>18</v>
      </c>
      <c r="K227">
        <f t="shared" si="8"/>
        <v>76</v>
      </c>
      <c r="L227">
        <f t="shared" si="9"/>
        <v>0</v>
      </c>
    </row>
    <row r="228" spans="1:12">
      <c r="A228" t="s">
        <v>307</v>
      </c>
      <c r="B228" s="6" t="s">
        <v>387</v>
      </c>
      <c r="C228" t="s">
        <v>15</v>
      </c>
      <c r="D228" t="s">
        <v>146</v>
      </c>
      <c r="E228" t="s">
        <v>147</v>
      </c>
      <c r="F228" t="s">
        <v>17</v>
      </c>
      <c r="G228" t="s">
        <v>309</v>
      </c>
      <c r="H228" t="s">
        <v>382</v>
      </c>
      <c r="I228" t="s">
        <v>292</v>
      </c>
      <c r="J228" t="s">
        <v>18</v>
      </c>
      <c r="K228">
        <f t="shared" si="8"/>
        <v>76</v>
      </c>
      <c r="L228">
        <f t="shared" si="9"/>
        <v>0</v>
      </c>
    </row>
    <row r="229" spans="1:12">
      <c r="A229" t="s">
        <v>307</v>
      </c>
      <c r="B229" s="6" t="s">
        <v>388</v>
      </c>
      <c r="C229" t="s">
        <v>15</v>
      </c>
      <c r="D229" t="s">
        <v>146</v>
      </c>
      <c r="E229" t="s">
        <v>147</v>
      </c>
      <c r="F229" t="s">
        <v>17</v>
      </c>
      <c r="G229" t="s">
        <v>309</v>
      </c>
      <c r="H229" t="s">
        <v>310</v>
      </c>
      <c r="I229" t="s">
        <v>292</v>
      </c>
      <c r="J229" t="s">
        <v>18</v>
      </c>
      <c r="K229">
        <f t="shared" si="8"/>
        <v>76</v>
      </c>
      <c r="L229">
        <f t="shared" si="9"/>
        <v>0</v>
      </c>
    </row>
    <row r="230" spans="1:12">
      <c r="A230" t="s">
        <v>307</v>
      </c>
      <c r="B230" s="6" t="s">
        <v>389</v>
      </c>
      <c r="C230" t="s">
        <v>15</v>
      </c>
      <c r="D230" t="s">
        <v>146</v>
      </c>
      <c r="E230" t="s">
        <v>147</v>
      </c>
      <c r="F230" t="s">
        <v>17</v>
      </c>
      <c r="G230" t="s">
        <v>314</v>
      </c>
      <c r="H230" t="s">
        <v>310</v>
      </c>
      <c r="I230" t="s">
        <v>292</v>
      </c>
      <c r="J230" t="s">
        <v>18</v>
      </c>
      <c r="K230">
        <f t="shared" si="8"/>
        <v>76</v>
      </c>
      <c r="L230">
        <f t="shared" si="9"/>
        <v>0</v>
      </c>
    </row>
    <row r="231" spans="1:12">
      <c r="A231" t="s">
        <v>307</v>
      </c>
      <c r="B231" s="6" t="s">
        <v>390</v>
      </c>
      <c r="C231" t="s">
        <v>15</v>
      </c>
      <c r="D231" t="s">
        <v>146</v>
      </c>
      <c r="E231" t="s">
        <v>147</v>
      </c>
      <c r="F231" t="s">
        <v>17</v>
      </c>
      <c r="G231" t="s">
        <v>314</v>
      </c>
      <c r="H231" t="s">
        <v>310</v>
      </c>
      <c r="I231" t="s">
        <v>292</v>
      </c>
      <c r="J231" t="s">
        <v>18</v>
      </c>
      <c r="K231">
        <f t="shared" si="8"/>
        <v>76</v>
      </c>
      <c r="L231">
        <f t="shared" si="9"/>
        <v>0</v>
      </c>
    </row>
    <row r="232" spans="1:12">
      <c r="A232" t="s">
        <v>307</v>
      </c>
      <c r="B232" s="6" t="s">
        <v>391</v>
      </c>
      <c r="C232" t="s">
        <v>15</v>
      </c>
      <c r="D232" t="s">
        <v>146</v>
      </c>
      <c r="E232" t="s">
        <v>147</v>
      </c>
      <c r="F232" t="s">
        <v>392</v>
      </c>
      <c r="G232" t="s">
        <v>319</v>
      </c>
      <c r="H232" t="s">
        <v>310</v>
      </c>
      <c r="I232" t="s">
        <v>292</v>
      </c>
      <c r="J232" t="s">
        <v>18</v>
      </c>
      <c r="K232">
        <f t="shared" si="8"/>
        <v>76</v>
      </c>
      <c r="L232">
        <f t="shared" si="9"/>
        <v>0</v>
      </c>
    </row>
    <row r="233" spans="1:12">
      <c r="A233" t="s">
        <v>307</v>
      </c>
      <c r="B233" s="6" t="s">
        <v>393</v>
      </c>
      <c r="C233" t="s">
        <v>15</v>
      </c>
      <c r="D233" t="s">
        <v>146</v>
      </c>
      <c r="E233" t="s">
        <v>147</v>
      </c>
      <c r="F233" t="s">
        <v>392</v>
      </c>
      <c r="G233" t="s">
        <v>394</v>
      </c>
      <c r="H233" t="s">
        <v>310</v>
      </c>
      <c r="I233" t="s">
        <v>292</v>
      </c>
      <c r="J233" t="s">
        <v>18</v>
      </c>
      <c r="K233">
        <f t="shared" si="8"/>
        <v>76</v>
      </c>
      <c r="L233">
        <f t="shared" si="9"/>
        <v>0</v>
      </c>
    </row>
    <row r="234" spans="1:12">
      <c r="A234" t="s">
        <v>307</v>
      </c>
      <c r="B234" s="6" t="s">
        <v>395</v>
      </c>
      <c r="C234" t="s">
        <v>15</v>
      </c>
      <c r="D234" t="s">
        <v>146</v>
      </c>
      <c r="E234" t="s">
        <v>147</v>
      </c>
      <c r="F234" t="s">
        <v>392</v>
      </c>
      <c r="G234" t="s">
        <v>309</v>
      </c>
      <c r="H234" t="s">
        <v>310</v>
      </c>
      <c r="I234" t="s">
        <v>292</v>
      </c>
      <c r="J234" t="s">
        <v>18</v>
      </c>
      <c r="K234">
        <f t="shared" si="8"/>
        <v>76</v>
      </c>
      <c r="L234">
        <f t="shared" si="9"/>
        <v>0</v>
      </c>
    </row>
    <row r="235" spans="1:12">
      <c r="A235" t="s">
        <v>307</v>
      </c>
      <c r="B235" s="6" t="s">
        <v>396</v>
      </c>
      <c r="C235" t="s">
        <v>15</v>
      </c>
      <c r="D235" t="s">
        <v>146</v>
      </c>
      <c r="E235" t="s">
        <v>147</v>
      </c>
      <c r="F235" t="s">
        <v>392</v>
      </c>
      <c r="G235" t="s">
        <v>314</v>
      </c>
      <c r="H235" t="s">
        <v>310</v>
      </c>
      <c r="I235" t="s">
        <v>292</v>
      </c>
      <c r="J235" t="s">
        <v>18</v>
      </c>
      <c r="K235">
        <f t="shared" si="8"/>
        <v>76</v>
      </c>
      <c r="L235">
        <f t="shared" si="9"/>
        <v>0</v>
      </c>
    </row>
    <row r="236" spans="1:12">
      <c r="A236" t="s">
        <v>307</v>
      </c>
      <c r="B236" s="6" t="s">
        <v>397</v>
      </c>
      <c r="C236" t="s">
        <v>15</v>
      </c>
      <c r="D236" t="s">
        <v>146</v>
      </c>
      <c r="E236" t="s">
        <v>147</v>
      </c>
      <c r="F236" t="s">
        <v>392</v>
      </c>
      <c r="G236" t="s">
        <v>314</v>
      </c>
      <c r="H236" t="s">
        <v>310</v>
      </c>
      <c r="I236" t="s">
        <v>292</v>
      </c>
      <c r="J236" t="s">
        <v>18</v>
      </c>
      <c r="K236">
        <f t="shared" si="8"/>
        <v>76</v>
      </c>
      <c r="L236">
        <f t="shared" si="9"/>
        <v>0</v>
      </c>
    </row>
    <row r="237" spans="1:12">
      <c r="A237" t="s">
        <v>307</v>
      </c>
      <c r="B237" s="6" t="s">
        <v>398</v>
      </c>
      <c r="C237" t="s">
        <v>15</v>
      </c>
      <c r="D237" t="s">
        <v>146</v>
      </c>
      <c r="E237" t="s">
        <v>147</v>
      </c>
      <c r="F237" t="s">
        <v>392</v>
      </c>
      <c r="G237" t="s">
        <v>399</v>
      </c>
      <c r="H237" t="s">
        <v>310</v>
      </c>
      <c r="I237" t="s">
        <v>292</v>
      </c>
      <c r="J237" t="s">
        <v>18</v>
      </c>
      <c r="K237">
        <f t="shared" si="8"/>
        <v>76</v>
      </c>
      <c r="L237">
        <f t="shared" si="9"/>
        <v>0</v>
      </c>
    </row>
    <row r="238" spans="1:12">
      <c r="A238" t="s">
        <v>307</v>
      </c>
      <c r="B238" s="6" t="s">
        <v>400</v>
      </c>
      <c r="C238" t="s">
        <v>15</v>
      </c>
      <c r="D238" t="s">
        <v>146</v>
      </c>
      <c r="E238" t="s">
        <v>147</v>
      </c>
      <c r="F238" t="s">
        <v>392</v>
      </c>
      <c r="G238" t="s">
        <v>399</v>
      </c>
      <c r="H238" t="s">
        <v>310</v>
      </c>
      <c r="I238" t="s">
        <v>292</v>
      </c>
      <c r="J238" t="s">
        <v>18</v>
      </c>
      <c r="K238">
        <f t="shared" si="8"/>
        <v>76</v>
      </c>
      <c r="L238">
        <f t="shared" si="9"/>
        <v>0</v>
      </c>
    </row>
    <row r="239" spans="1:12">
      <c r="A239" t="s">
        <v>307</v>
      </c>
      <c r="B239" s="6" t="s">
        <v>401</v>
      </c>
      <c r="C239" t="s">
        <v>15</v>
      </c>
      <c r="D239" t="s">
        <v>146</v>
      </c>
      <c r="E239" t="s">
        <v>147</v>
      </c>
      <c r="F239" t="s">
        <v>392</v>
      </c>
      <c r="G239" t="s">
        <v>309</v>
      </c>
      <c r="H239" t="s">
        <v>310</v>
      </c>
      <c r="I239" t="s">
        <v>292</v>
      </c>
      <c r="J239" t="s">
        <v>18</v>
      </c>
      <c r="K239">
        <f t="shared" si="8"/>
        <v>76</v>
      </c>
      <c r="L239">
        <f t="shared" si="9"/>
        <v>0</v>
      </c>
    </row>
    <row r="240" spans="1:12">
      <c r="A240" t="s">
        <v>307</v>
      </c>
      <c r="B240" s="6" t="s">
        <v>402</v>
      </c>
      <c r="C240" t="s">
        <v>15</v>
      </c>
      <c r="D240" t="s">
        <v>146</v>
      </c>
      <c r="E240" t="s">
        <v>147</v>
      </c>
      <c r="F240" t="s">
        <v>392</v>
      </c>
      <c r="G240" t="s">
        <v>386</v>
      </c>
      <c r="H240" t="s">
        <v>310</v>
      </c>
      <c r="I240" t="s">
        <v>292</v>
      </c>
      <c r="J240" t="s">
        <v>18</v>
      </c>
      <c r="K240">
        <f t="shared" si="8"/>
        <v>76</v>
      </c>
      <c r="L240">
        <f t="shared" si="9"/>
        <v>0</v>
      </c>
    </row>
    <row r="241" spans="1:12">
      <c r="A241" t="s">
        <v>307</v>
      </c>
      <c r="B241" s="6" t="s">
        <v>403</v>
      </c>
      <c r="C241" t="s">
        <v>15</v>
      </c>
      <c r="D241" t="s">
        <v>146</v>
      </c>
      <c r="E241" t="s">
        <v>147</v>
      </c>
      <c r="F241" t="s">
        <v>404</v>
      </c>
      <c r="G241" t="s">
        <v>386</v>
      </c>
      <c r="H241" t="s">
        <v>310</v>
      </c>
      <c r="I241" t="s">
        <v>292</v>
      </c>
      <c r="J241" t="s">
        <v>18</v>
      </c>
      <c r="K241">
        <f t="shared" si="8"/>
        <v>76</v>
      </c>
      <c r="L241">
        <f t="shared" si="9"/>
        <v>0</v>
      </c>
    </row>
    <row r="242" spans="1:12">
      <c r="A242" t="s">
        <v>307</v>
      </c>
      <c r="B242" s="6" t="s">
        <v>405</v>
      </c>
      <c r="C242" t="s">
        <v>15</v>
      </c>
      <c r="D242" t="s">
        <v>146</v>
      </c>
      <c r="E242" t="s">
        <v>147</v>
      </c>
      <c r="F242" t="s">
        <v>392</v>
      </c>
      <c r="G242" t="s">
        <v>399</v>
      </c>
      <c r="H242" t="s">
        <v>310</v>
      </c>
      <c r="I242" t="s">
        <v>292</v>
      </c>
      <c r="J242" t="s">
        <v>18</v>
      </c>
      <c r="K242">
        <f t="shared" si="8"/>
        <v>76</v>
      </c>
      <c r="L242">
        <f t="shared" si="9"/>
        <v>0</v>
      </c>
    </row>
    <row r="243" spans="1:12">
      <c r="A243" t="s">
        <v>307</v>
      </c>
      <c r="B243" s="6" t="s">
        <v>406</v>
      </c>
      <c r="C243" t="s">
        <v>15</v>
      </c>
      <c r="D243" t="s">
        <v>146</v>
      </c>
      <c r="E243" t="s">
        <v>147</v>
      </c>
      <c r="F243" t="s">
        <v>392</v>
      </c>
      <c r="G243" t="s">
        <v>399</v>
      </c>
      <c r="H243" t="s">
        <v>310</v>
      </c>
      <c r="I243" t="s">
        <v>292</v>
      </c>
      <c r="J243" t="s">
        <v>18</v>
      </c>
      <c r="K243">
        <f t="shared" si="8"/>
        <v>76</v>
      </c>
      <c r="L243">
        <f t="shared" si="9"/>
        <v>0</v>
      </c>
    </row>
    <row r="244" spans="1:12">
      <c r="A244" t="s">
        <v>307</v>
      </c>
      <c r="B244" s="6" t="s">
        <v>407</v>
      </c>
      <c r="C244" t="s">
        <v>15</v>
      </c>
      <c r="D244" t="s">
        <v>146</v>
      </c>
      <c r="E244" t="s">
        <v>147</v>
      </c>
      <c r="F244" t="s">
        <v>392</v>
      </c>
      <c r="G244" t="s">
        <v>399</v>
      </c>
      <c r="H244" t="s">
        <v>310</v>
      </c>
      <c r="I244" t="s">
        <v>292</v>
      </c>
      <c r="J244" t="s">
        <v>18</v>
      </c>
      <c r="K244">
        <f t="shared" si="8"/>
        <v>76</v>
      </c>
      <c r="L244">
        <f t="shared" si="9"/>
        <v>0</v>
      </c>
    </row>
    <row r="245" spans="1:12">
      <c r="A245" t="s">
        <v>307</v>
      </c>
      <c r="B245" s="6" t="s">
        <v>408</v>
      </c>
      <c r="C245" t="s">
        <v>15</v>
      </c>
      <c r="D245" t="s">
        <v>146</v>
      </c>
      <c r="E245" t="s">
        <v>147</v>
      </c>
      <c r="F245" t="s">
        <v>392</v>
      </c>
      <c r="G245" t="s">
        <v>338</v>
      </c>
      <c r="H245" t="s">
        <v>310</v>
      </c>
      <c r="I245" t="s">
        <v>292</v>
      </c>
      <c r="J245" t="s">
        <v>18</v>
      </c>
      <c r="K245">
        <f t="shared" si="8"/>
        <v>76</v>
      </c>
      <c r="L245">
        <f t="shared" si="9"/>
        <v>0</v>
      </c>
    </row>
    <row r="246" spans="1:12">
      <c r="A246" t="s">
        <v>307</v>
      </c>
      <c r="B246" s="6" t="s">
        <v>409</v>
      </c>
      <c r="C246" t="s">
        <v>15</v>
      </c>
      <c r="D246" t="s">
        <v>146</v>
      </c>
      <c r="E246" t="s">
        <v>147</v>
      </c>
      <c r="F246" t="s">
        <v>392</v>
      </c>
      <c r="G246" t="s">
        <v>338</v>
      </c>
      <c r="H246" t="s">
        <v>310</v>
      </c>
      <c r="I246" t="s">
        <v>292</v>
      </c>
      <c r="J246" t="s">
        <v>18</v>
      </c>
      <c r="K246">
        <f t="shared" si="8"/>
        <v>76</v>
      </c>
      <c r="L246">
        <f t="shared" si="9"/>
        <v>0</v>
      </c>
    </row>
    <row r="247" spans="1:12">
      <c r="A247" t="s">
        <v>307</v>
      </c>
      <c r="B247" s="6" t="s">
        <v>410</v>
      </c>
      <c r="C247" t="s">
        <v>15</v>
      </c>
      <c r="D247" t="s">
        <v>146</v>
      </c>
      <c r="E247" t="s">
        <v>147</v>
      </c>
      <c r="F247" t="s">
        <v>392</v>
      </c>
      <c r="G247" t="s">
        <v>338</v>
      </c>
      <c r="H247" t="s">
        <v>317</v>
      </c>
      <c r="I247" t="s">
        <v>292</v>
      </c>
      <c r="J247" t="s">
        <v>18</v>
      </c>
      <c r="K247">
        <f t="shared" si="8"/>
        <v>76</v>
      </c>
      <c r="L247">
        <f t="shared" si="9"/>
        <v>0</v>
      </c>
    </row>
    <row r="248" spans="1:12">
      <c r="A248" t="s">
        <v>307</v>
      </c>
      <c r="B248" s="6" t="s">
        <v>411</v>
      </c>
      <c r="C248" t="s">
        <v>15</v>
      </c>
      <c r="D248" t="s">
        <v>146</v>
      </c>
      <c r="E248" t="s">
        <v>147</v>
      </c>
      <c r="F248" t="s">
        <v>17</v>
      </c>
      <c r="G248" t="s">
        <v>412</v>
      </c>
      <c r="H248" t="s">
        <v>101</v>
      </c>
      <c r="I248" t="s">
        <v>292</v>
      </c>
      <c r="J248" t="s">
        <v>18</v>
      </c>
      <c r="K248">
        <f t="shared" si="8"/>
        <v>76</v>
      </c>
      <c r="L248">
        <f t="shared" si="9"/>
        <v>0</v>
      </c>
    </row>
    <row r="249" spans="1:12">
      <c r="A249" t="s">
        <v>307</v>
      </c>
      <c r="B249" s="6" t="s">
        <v>413</v>
      </c>
      <c r="C249" t="s">
        <v>15</v>
      </c>
      <c r="D249" t="s">
        <v>146</v>
      </c>
      <c r="E249" t="s">
        <v>147</v>
      </c>
      <c r="F249" t="s">
        <v>17</v>
      </c>
      <c r="G249" t="s">
        <v>414</v>
      </c>
      <c r="H249" t="s">
        <v>98</v>
      </c>
      <c r="I249" t="s">
        <v>292</v>
      </c>
      <c r="J249" t="s">
        <v>18</v>
      </c>
      <c r="K249">
        <f t="shared" si="8"/>
        <v>76</v>
      </c>
      <c r="L249">
        <f t="shared" si="9"/>
        <v>0</v>
      </c>
    </row>
    <row r="250" spans="1:12">
      <c r="A250" t="s">
        <v>307</v>
      </c>
      <c r="B250" s="6" t="s">
        <v>415</v>
      </c>
      <c r="C250" t="s">
        <v>15</v>
      </c>
      <c r="D250" t="s">
        <v>146</v>
      </c>
      <c r="E250" t="s">
        <v>147</v>
      </c>
      <c r="F250" t="s">
        <v>17</v>
      </c>
      <c r="G250" t="s">
        <v>416</v>
      </c>
      <c r="H250" t="s">
        <v>84</v>
      </c>
      <c r="I250" t="s">
        <v>292</v>
      </c>
      <c r="J250" t="s">
        <v>18</v>
      </c>
      <c r="K250">
        <f t="shared" si="8"/>
        <v>76</v>
      </c>
      <c r="L250">
        <f t="shared" si="9"/>
        <v>0</v>
      </c>
    </row>
    <row r="251" spans="1:12">
      <c r="A251" t="s">
        <v>307</v>
      </c>
      <c r="B251" s="6" t="s">
        <v>417</v>
      </c>
      <c r="C251" t="s">
        <v>15</v>
      </c>
      <c r="D251" t="s">
        <v>146</v>
      </c>
      <c r="E251" t="s">
        <v>147</v>
      </c>
      <c r="F251" t="s">
        <v>17</v>
      </c>
      <c r="G251" t="s">
        <v>418</v>
      </c>
      <c r="H251" t="s">
        <v>419</v>
      </c>
      <c r="I251" t="s">
        <v>292</v>
      </c>
      <c r="J251" t="s">
        <v>18</v>
      </c>
      <c r="K251">
        <f t="shared" si="8"/>
        <v>76</v>
      </c>
      <c r="L251">
        <f t="shared" si="9"/>
        <v>0</v>
      </c>
    </row>
    <row r="252" spans="1:12">
      <c r="A252" t="s">
        <v>307</v>
      </c>
      <c r="B252" s="6" t="s">
        <v>420</v>
      </c>
      <c r="C252" t="s">
        <v>15</v>
      </c>
      <c r="D252" t="s">
        <v>146</v>
      </c>
      <c r="E252" t="s">
        <v>147</v>
      </c>
      <c r="F252" t="s">
        <v>17</v>
      </c>
      <c r="G252" t="s">
        <v>421</v>
      </c>
      <c r="H252" t="s">
        <v>422</v>
      </c>
      <c r="I252" t="s">
        <v>292</v>
      </c>
      <c r="J252" t="s">
        <v>18</v>
      </c>
      <c r="K252">
        <f t="shared" si="8"/>
        <v>76</v>
      </c>
      <c r="L252">
        <f t="shared" si="9"/>
        <v>0</v>
      </c>
    </row>
    <row r="253" spans="1:12">
      <c r="A253" t="s">
        <v>307</v>
      </c>
      <c r="B253" s="6" t="s">
        <v>423</v>
      </c>
      <c r="C253" t="s">
        <v>15</v>
      </c>
      <c r="D253" t="s">
        <v>299</v>
      </c>
      <c r="E253" t="s">
        <v>300</v>
      </c>
      <c r="F253" t="s">
        <v>392</v>
      </c>
      <c r="G253" t="s">
        <v>424</v>
      </c>
      <c r="H253" t="s">
        <v>46</v>
      </c>
      <c r="I253" t="s">
        <v>292</v>
      </c>
      <c r="J253" t="s">
        <v>18</v>
      </c>
      <c r="K253">
        <f t="shared" si="8"/>
        <v>75</v>
      </c>
      <c r="L253">
        <f t="shared" si="9"/>
        <v>0</v>
      </c>
    </row>
    <row r="254" spans="1:12">
      <c r="A254" t="s">
        <v>307</v>
      </c>
      <c r="B254" s="6" t="s">
        <v>425</v>
      </c>
      <c r="C254" t="s">
        <v>15</v>
      </c>
      <c r="D254" t="s">
        <v>299</v>
      </c>
      <c r="E254" t="s">
        <v>300</v>
      </c>
      <c r="F254" t="s">
        <v>17</v>
      </c>
      <c r="G254" t="s">
        <v>424</v>
      </c>
      <c r="H254" t="s">
        <v>46</v>
      </c>
      <c r="I254" t="s">
        <v>292</v>
      </c>
      <c r="J254" t="s">
        <v>18</v>
      </c>
      <c r="K254">
        <f t="shared" si="8"/>
        <v>75</v>
      </c>
      <c r="L254">
        <f t="shared" si="9"/>
        <v>0</v>
      </c>
    </row>
    <row r="255" spans="1:12">
      <c r="A255" t="s">
        <v>307</v>
      </c>
      <c r="B255" s="6" t="s">
        <v>431</v>
      </c>
      <c r="C255" t="s">
        <v>15</v>
      </c>
      <c r="D255" t="s">
        <v>299</v>
      </c>
      <c r="E255" t="s">
        <v>300</v>
      </c>
      <c r="F255" t="s">
        <v>392</v>
      </c>
      <c r="G255" t="s">
        <v>432</v>
      </c>
      <c r="H255" t="s">
        <v>433</v>
      </c>
      <c r="I255" t="s">
        <v>292</v>
      </c>
      <c r="J255" t="s">
        <v>18</v>
      </c>
      <c r="K255">
        <f t="shared" si="8"/>
        <v>75</v>
      </c>
      <c r="L255">
        <f t="shared" si="9"/>
        <v>0</v>
      </c>
    </row>
    <row r="256" spans="1:12">
      <c r="A256" t="s">
        <v>307</v>
      </c>
      <c r="B256" s="6" t="s">
        <v>435</v>
      </c>
      <c r="C256" t="s">
        <v>15</v>
      </c>
      <c r="D256" t="s">
        <v>299</v>
      </c>
      <c r="E256" t="s">
        <v>300</v>
      </c>
      <c r="F256" t="s">
        <v>392</v>
      </c>
      <c r="G256" t="s">
        <v>386</v>
      </c>
      <c r="H256" t="s">
        <v>433</v>
      </c>
      <c r="I256" t="s">
        <v>292</v>
      </c>
      <c r="J256" t="s">
        <v>18</v>
      </c>
      <c r="K256">
        <f t="shared" si="8"/>
        <v>75</v>
      </c>
      <c r="L256">
        <f t="shared" si="9"/>
        <v>0</v>
      </c>
    </row>
    <row r="257" spans="1:12">
      <c r="A257" t="s">
        <v>307</v>
      </c>
      <c r="B257" s="6" t="s">
        <v>436</v>
      </c>
      <c r="C257" t="s">
        <v>15</v>
      </c>
      <c r="D257" t="s">
        <v>299</v>
      </c>
      <c r="E257" t="s">
        <v>300</v>
      </c>
      <c r="F257" t="s">
        <v>392</v>
      </c>
      <c r="G257" t="s">
        <v>386</v>
      </c>
      <c r="H257" t="s">
        <v>433</v>
      </c>
      <c r="I257" t="s">
        <v>292</v>
      </c>
      <c r="J257" t="s">
        <v>18</v>
      </c>
      <c r="K257">
        <f t="shared" si="8"/>
        <v>75</v>
      </c>
      <c r="L257">
        <f t="shared" si="9"/>
        <v>0</v>
      </c>
    </row>
    <row r="258" spans="1:12">
      <c r="A258" t="s">
        <v>307</v>
      </c>
      <c r="B258" s="6" t="s">
        <v>437</v>
      </c>
      <c r="C258" t="s">
        <v>15</v>
      </c>
      <c r="D258" t="s">
        <v>299</v>
      </c>
      <c r="E258" t="s">
        <v>300</v>
      </c>
      <c r="F258" t="s">
        <v>392</v>
      </c>
      <c r="G258" t="s">
        <v>386</v>
      </c>
      <c r="H258" t="s">
        <v>438</v>
      </c>
      <c r="I258" t="s">
        <v>292</v>
      </c>
      <c r="J258" t="s">
        <v>18</v>
      </c>
      <c r="K258">
        <f t="shared" si="8"/>
        <v>75</v>
      </c>
      <c r="L258">
        <f t="shared" si="9"/>
        <v>0</v>
      </c>
    </row>
    <row r="259" spans="1:12">
      <c r="A259" t="s">
        <v>307</v>
      </c>
      <c r="B259" s="6" t="s">
        <v>439</v>
      </c>
      <c r="C259" t="s">
        <v>15</v>
      </c>
      <c r="D259" t="s">
        <v>16</v>
      </c>
      <c r="E259" t="s">
        <v>58</v>
      </c>
      <c r="F259" t="s">
        <v>392</v>
      </c>
      <c r="G259" t="s">
        <v>334</v>
      </c>
      <c r="H259" t="s">
        <v>440</v>
      </c>
      <c r="I259" t="s">
        <v>292</v>
      </c>
      <c r="J259" t="s">
        <v>18</v>
      </c>
      <c r="K259">
        <f t="shared" si="8"/>
        <v>75</v>
      </c>
      <c r="L259">
        <f t="shared" si="9"/>
        <v>0</v>
      </c>
    </row>
    <row r="260" spans="1:12">
      <c r="A260" t="s">
        <v>307</v>
      </c>
      <c r="B260" s="6" t="s">
        <v>441</v>
      </c>
      <c r="C260" t="s">
        <v>15</v>
      </c>
      <c r="D260" t="s">
        <v>16</v>
      </c>
      <c r="E260" t="s">
        <v>58</v>
      </c>
      <c r="F260" t="s">
        <v>392</v>
      </c>
      <c r="G260" t="s">
        <v>432</v>
      </c>
      <c r="H260" t="s">
        <v>440</v>
      </c>
      <c r="I260" t="s">
        <v>292</v>
      </c>
      <c r="J260" t="s">
        <v>18</v>
      </c>
      <c r="K260">
        <f t="shared" si="8"/>
        <v>75</v>
      </c>
      <c r="L260">
        <f t="shared" si="9"/>
        <v>0</v>
      </c>
    </row>
    <row r="261" spans="1:12">
      <c r="A261" t="s">
        <v>307</v>
      </c>
      <c r="B261" s="6" t="s">
        <v>442</v>
      </c>
      <c r="C261" t="s">
        <v>15</v>
      </c>
      <c r="D261" t="s">
        <v>16</v>
      </c>
      <c r="E261" t="s">
        <v>58</v>
      </c>
      <c r="F261" t="s">
        <v>392</v>
      </c>
      <c r="G261" t="s">
        <v>424</v>
      </c>
      <c r="H261" t="s">
        <v>440</v>
      </c>
      <c r="I261" t="s">
        <v>292</v>
      </c>
      <c r="J261" t="s">
        <v>18</v>
      </c>
      <c r="K261">
        <f t="shared" si="8"/>
        <v>75</v>
      </c>
      <c r="L261">
        <f t="shared" si="9"/>
        <v>0</v>
      </c>
    </row>
    <row r="262" spans="1:12">
      <c r="A262" t="s">
        <v>307</v>
      </c>
      <c r="B262" s="6" t="s">
        <v>443</v>
      </c>
      <c r="C262" t="s">
        <v>15</v>
      </c>
      <c r="D262" t="s">
        <v>16</v>
      </c>
      <c r="E262" t="s">
        <v>58</v>
      </c>
      <c r="F262" t="s">
        <v>17</v>
      </c>
      <c r="G262" t="s">
        <v>394</v>
      </c>
      <c r="H262" t="s">
        <v>444</v>
      </c>
      <c r="I262" t="s">
        <v>292</v>
      </c>
      <c r="J262" t="s">
        <v>18</v>
      </c>
      <c r="K262">
        <f t="shared" si="8"/>
        <v>75</v>
      </c>
      <c r="L262">
        <f t="shared" si="9"/>
        <v>0</v>
      </c>
    </row>
    <row r="263" spans="1:12">
      <c r="A263" t="s">
        <v>307</v>
      </c>
      <c r="B263" s="6" t="s">
        <v>445</v>
      </c>
      <c r="C263" t="s">
        <v>15</v>
      </c>
      <c r="D263" t="s">
        <v>16</v>
      </c>
      <c r="E263" t="s">
        <v>58</v>
      </c>
      <c r="F263" t="s">
        <v>392</v>
      </c>
      <c r="G263" t="s">
        <v>394</v>
      </c>
      <c r="H263" t="s">
        <v>444</v>
      </c>
      <c r="I263" t="s">
        <v>292</v>
      </c>
      <c r="J263" t="s">
        <v>18</v>
      </c>
      <c r="K263">
        <f t="shared" si="8"/>
        <v>75</v>
      </c>
      <c r="L263">
        <f t="shared" si="9"/>
        <v>0</v>
      </c>
    </row>
    <row r="264" spans="1:12">
      <c r="A264" t="s">
        <v>307</v>
      </c>
      <c r="B264" s="6" t="s">
        <v>446</v>
      </c>
      <c r="C264" t="s">
        <v>15</v>
      </c>
      <c r="D264" t="s">
        <v>16</v>
      </c>
      <c r="E264" t="s">
        <v>58</v>
      </c>
      <c r="F264" t="s">
        <v>392</v>
      </c>
      <c r="G264" t="s">
        <v>434</v>
      </c>
      <c r="H264" t="s">
        <v>447</v>
      </c>
      <c r="I264" t="s">
        <v>292</v>
      </c>
      <c r="J264" t="s">
        <v>18</v>
      </c>
      <c r="K264">
        <f t="shared" si="8"/>
        <v>75</v>
      </c>
      <c r="L264">
        <f t="shared" si="9"/>
        <v>0</v>
      </c>
    </row>
    <row r="265" spans="1:12">
      <c r="A265" t="s">
        <v>307</v>
      </c>
      <c r="B265" s="6" t="s">
        <v>448</v>
      </c>
      <c r="C265" t="s">
        <v>15</v>
      </c>
      <c r="D265" t="s">
        <v>16</v>
      </c>
      <c r="E265" t="s">
        <v>58</v>
      </c>
      <c r="F265" t="s">
        <v>392</v>
      </c>
      <c r="G265" t="s">
        <v>386</v>
      </c>
      <c r="H265" t="s">
        <v>447</v>
      </c>
      <c r="I265" t="s">
        <v>292</v>
      </c>
      <c r="J265" t="s">
        <v>18</v>
      </c>
      <c r="K265">
        <f t="shared" si="8"/>
        <v>75</v>
      </c>
      <c r="L265">
        <f t="shared" si="9"/>
        <v>0</v>
      </c>
    </row>
    <row r="266" spans="1:12">
      <c r="A266" t="s">
        <v>307</v>
      </c>
      <c r="B266" s="6" t="s">
        <v>449</v>
      </c>
      <c r="C266" t="s">
        <v>15</v>
      </c>
      <c r="D266" t="s">
        <v>16</v>
      </c>
      <c r="E266" t="s">
        <v>58</v>
      </c>
      <c r="F266" t="s">
        <v>392</v>
      </c>
      <c r="G266" t="s">
        <v>450</v>
      </c>
      <c r="H266" t="s">
        <v>447</v>
      </c>
      <c r="I266" t="s">
        <v>292</v>
      </c>
      <c r="J266" t="s">
        <v>18</v>
      </c>
      <c r="K266">
        <f t="shared" si="8"/>
        <v>75</v>
      </c>
      <c r="L266">
        <f t="shared" si="9"/>
        <v>0</v>
      </c>
    </row>
    <row r="267" spans="1:12">
      <c r="A267" t="s">
        <v>307</v>
      </c>
      <c r="B267" s="6" t="s">
        <v>451</v>
      </c>
      <c r="C267" t="s">
        <v>15</v>
      </c>
      <c r="D267" t="s">
        <v>16</v>
      </c>
      <c r="E267" t="s">
        <v>58</v>
      </c>
      <c r="F267" t="s">
        <v>392</v>
      </c>
      <c r="G267" t="s">
        <v>450</v>
      </c>
      <c r="H267" t="s">
        <v>447</v>
      </c>
      <c r="I267" t="s">
        <v>292</v>
      </c>
      <c r="J267" t="s">
        <v>18</v>
      </c>
      <c r="K267">
        <f t="shared" si="8"/>
        <v>75</v>
      </c>
      <c r="L267">
        <f t="shared" si="9"/>
        <v>0</v>
      </c>
    </row>
    <row r="268" spans="1:12">
      <c r="A268" t="s">
        <v>307</v>
      </c>
      <c r="B268" s="6" t="s">
        <v>452</v>
      </c>
      <c r="C268" t="s">
        <v>15</v>
      </c>
      <c r="D268" t="s">
        <v>16</v>
      </c>
      <c r="E268" t="s">
        <v>58</v>
      </c>
      <c r="F268" t="s">
        <v>392</v>
      </c>
      <c r="G268" t="s">
        <v>450</v>
      </c>
      <c r="H268" t="s">
        <v>447</v>
      </c>
      <c r="I268" t="s">
        <v>292</v>
      </c>
      <c r="J268" t="s">
        <v>18</v>
      </c>
      <c r="K268">
        <f t="shared" si="8"/>
        <v>75</v>
      </c>
      <c r="L268">
        <f t="shared" si="9"/>
        <v>0</v>
      </c>
    </row>
    <row r="269" spans="1:12">
      <c r="A269" t="s">
        <v>307</v>
      </c>
      <c r="B269" s="6" t="s">
        <v>453</v>
      </c>
      <c r="C269" t="s">
        <v>15</v>
      </c>
      <c r="D269" t="s">
        <v>16</v>
      </c>
      <c r="E269" t="s">
        <v>58</v>
      </c>
      <c r="F269" t="s">
        <v>392</v>
      </c>
      <c r="G269" t="s">
        <v>450</v>
      </c>
      <c r="H269" t="s">
        <v>447</v>
      </c>
      <c r="I269" t="s">
        <v>292</v>
      </c>
      <c r="J269" t="s">
        <v>18</v>
      </c>
      <c r="K269">
        <f t="shared" si="8"/>
        <v>75</v>
      </c>
      <c r="L269">
        <f t="shared" si="9"/>
        <v>0</v>
      </c>
    </row>
    <row r="270" spans="1:12">
      <c r="A270" t="s">
        <v>307</v>
      </c>
      <c r="B270" s="6" t="s">
        <v>454</v>
      </c>
      <c r="C270" t="s">
        <v>15</v>
      </c>
      <c r="D270" t="s">
        <v>16</v>
      </c>
      <c r="E270" t="s">
        <v>58</v>
      </c>
      <c r="F270" t="s">
        <v>17</v>
      </c>
      <c r="G270" t="s">
        <v>424</v>
      </c>
      <c r="H270" t="s">
        <v>455</v>
      </c>
      <c r="I270" t="s">
        <v>292</v>
      </c>
      <c r="J270" t="s">
        <v>18</v>
      </c>
      <c r="K270">
        <f t="shared" ref="K270:K314" si="10">LEN(A270&amp;B270&amp;C270&amp;D270&amp;E270&amp;F270&amp;G270&amp;H270&amp;I270&amp;J270)</f>
        <v>75</v>
      </c>
      <c r="L270">
        <f t="shared" ref="L270:L314" si="11">IFERROR(IF(OR(NOT(AND(LEFT(A270,2)="D:",IFERROR(VALUE(RIGHT(A270,LEN(A270)-2))&gt;=0,FALSE))),NOT(AND(LEFT(B270,2)="C:",IFERROR(VALUE(RIGHT(B270,LEN(B270)-2))&gt;=0,FALSE))),NOT(AND(LEFT(C270,2)="S:",IFERROR(VALUE(RIGHT(C270,LEN(C270)-2))&gt;=0,FALSE))),NOT(AND(LEFT(D270,2)="W:",OR(RIGHT(D270,LEN(D270)-2)="N",RIGHT(D270,LEN(D270)-2)="NE",RIGHT(D270,LEN(D270)-2)="E",RIGHT(D270,LEN(D270)-2)="SE",RIGHT(D270,LEN(D270)-2)="S",RIGHT(D270,LEN(D270)-2)="SW",RIGHT(D270,LEN(D270)-2)="W",RIGHT(D270,LEN(D270)-2)="NW"))),NOT(AND(LEFT(E270,2)="A:",IFERROR(VALUE(RIGHT(E270,LEN(E270)-2))&gt;=0,FALSE))),NOT(AND(LEFT(F270,2)="R:",IFERROR(VALUE(RIGHT(F270,LEN(F270)-2))&gt;=0,FALSE))),NOT(AND(LEFT(G270,2)="H:",IFERROR(VALUE(RIGHT(G270,LEN(G270)-2))&gt;=0,FALSE))),NOT(AND(LEFT(H270,2)="T:",IFERROR(VALUE(RIGHT(H270,LEN(H270)-2))&gt;=-50,FALSE))),NOT(AND(LEFT(I270,2)="P:",IFERROR(VALUE(RIGHT(I270,LEN(I270)-2))&gt;=900,FALSE))),NOT(AND(LEFT(J270,2)="B:",IFERROR(VALUE(RIGHT(J270,LEN(J270)-2))&gt;=0,FALSE))),AND(K270&lt;&gt;75,K270&lt;&gt;76)),1,0),1)</f>
        <v>0</v>
      </c>
    </row>
    <row r="271" spans="1:12">
      <c r="A271" t="s">
        <v>307</v>
      </c>
      <c r="B271" s="6" t="s">
        <v>456</v>
      </c>
      <c r="C271" t="s">
        <v>15</v>
      </c>
      <c r="D271" t="s">
        <v>16</v>
      </c>
      <c r="E271" t="s">
        <v>58</v>
      </c>
      <c r="F271" t="s">
        <v>392</v>
      </c>
      <c r="G271" t="s">
        <v>424</v>
      </c>
      <c r="H271" t="s">
        <v>455</v>
      </c>
      <c r="I271" t="s">
        <v>292</v>
      </c>
      <c r="J271" t="s">
        <v>18</v>
      </c>
      <c r="K271">
        <f t="shared" si="10"/>
        <v>75</v>
      </c>
      <c r="L271">
        <f t="shared" si="11"/>
        <v>0</v>
      </c>
    </row>
    <row r="272" spans="1:12">
      <c r="A272" t="s">
        <v>307</v>
      </c>
      <c r="B272" s="6" t="s">
        <v>457</v>
      </c>
      <c r="C272" t="s">
        <v>15</v>
      </c>
      <c r="D272" t="s">
        <v>16</v>
      </c>
      <c r="E272" t="s">
        <v>58</v>
      </c>
      <c r="F272" t="s">
        <v>392</v>
      </c>
      <c r="G272" t="s">
        <v>424</v>
      </c>
      <c r="H272" t="s">
        <v>455</v>
      </c>
      <c r="I272" t="s">
        <v>292</v>
      </c>
      <c r="J272" t="s">
        <v>18</v>
      </c>
      <c r="K272">
        <f t="shared" si="10"/>
        <v>75</v>
      </c>
      <c r="L272">
        <f t="shared" si="11"/>
        <v>0</v>
      </c>
    </row>
    <row r="273" spans="1:12">
      <c r="A273" t="s">
        <v>307</v>
      </c>
      <c r="B273" s="6" t="s">
        <v>458</v>
      </c>
      <c r="C273" t="s">
        <v>15</v>
      </c>
      <c r="D273" t="s">
        <v>16</v>
      </c>
      <c r="E273" t="s">
        <v>58</v>
      </c>
      <c r="F273" t="s">
        <v>392</v>
      </c>
      <c r="G273" t="s">
        <v>424</v>
      </c>
      <c r="H273" t="s">
        <v>455</v>
      </c>
      <c r="I273" t="s">
        <v>292</v>
      </c>
      <c r="J273" t="s">
        <v>18</v>
      </c>
      <c r="K273">
        <f t="shared" si="10"/>
        <v>75</v>
      </c>
      <c r="L273">
        <f t="shared" si="11"/>
        <v>0</v>
      </c>
    </row>
    <row r="274" spans="1:12">
      <c r="A274" t="s">
        <v>307</v>
      </c>
      <c r="B274" s="6" t="s">
        <v>459</v>
      </c>
      <c r="C274" t="s">
        <v>15</v>
      </c>
      <c r="D274" t="s">
        <v>16</v>
      </c>
      <c r="E274" t="s">
        <v>58</v>
      </c>
      <c r="F274" t="s">
        <v>392</v>
      </c>
      <c r="G274" t="s">
        <v>424</v>
      </c>
      <c r="H274" t="s">
        <v>455</v>
      </c>
      <c r="I274" t="s">
        <v>292</v>
      </c>
      <c r="J274" t="s">
        <v>18</v>
      </c>
      <c r="K274">
        <f t="shared" si="10"/>
        <v>75</v>
      </c>
      <c r="L274">
        <f t="shared" si="11"/>
        <v>0</v>
      </c>
    </row>
    <row r="275" spans="1:12">
      <c r="A275" t="s">
        <v>307</v>
      </c>
      <c r="B275" s="6" t="s">
        <v>460</v>
      </c>
      <c r="C275" t="s">
        <v>15</v>
      </c>
      <c r="D275" t="s">
        <v>16</v>
      </c>
      <c r="E275" t="s">
        <v>58</v>
      </c>
      <c r="F275" t="s">
        <v>392</v>
      </c>
      <c r="G275" t="s">
        <v>424</v>
      </c>
      <c r="H275" t="s">
        <v>455</v>
      </c>
      <c r="I275" t="s">
        <v>292</v>
      </c>
      <c r="J275" t="s">
        <v>18</v>
      </c>
      <c r="K275">
        <f t="shared" si="10"/>
        <v>75</v>
      </c>
      <c r="L275">
        <f t="shared" si="11"/>
        <v>0</v>
      </c>
    </row>
    <row r="276" spans="1:12">
      <c r="A276" t="s">
        <v>307</v>
      </c>
      <c r="B276" s="6" t="s">
        <v>461</v>
      </c>
      <c r="C276" t="s">
        <v>15</v>
      </c>
      <c r="D276" t="s">
        <v>16</v>
      </c>
      <c r="E276" t="s">
        <v>58</v>
      </c>
      <c r="F276" t="s">
        <v>392</v>
      </c>
      <c r="G276" t="s">
        <v>384</v>
      </c>
      <c r="H276" t="s">
        <v>455</v>
      </c>
      <c r="I276" t="s">
        <v>292</v>
      </c>
      <c r="J276" t="s">
        <v>18</v>
      </c>
      <c r="K276">
        <f t="shared" si="10"/>
        <v>75</v>
      </c>
      <c r="L276">
        <f t="shared" si="11"/>
        <v>0</v>
      </c>
    </row>
    <row r="277" spans="1:12">
      <c r="A277" t="s">
        <v>307</v>
      </c>
      <c r="B277" s="6" t="s">
        <v>462</v>
      </c>
      <c r="C277" t="s">
        <v>463</v>
      </c>
      <c r="D277" t="s">
        <v>31</v>
      </c>
      <c r="E277" t="s">
        <v>32</v>
      </c>
      <c r="F277" t="s">
        <v>392</v>
      </c>
      <c r="G277" t="s">
        <v>334</v>
      </c>
      <c r="H277" t="s">
        <v>382</v>
      </c>
      <c r="I277" t="s">
        <v>292</v>
      </c>
      <c r="J277" t="s">
        <v>18</v>
      </c>
      <c r="K277">
        <f t="shared" si="10"/>
        <v>76</v>
      </c>
      <c r="L277">
        <f t="shared" si="11"/>
        <v>0</v>
      </c>
    </row>
    <row r="278" spans="1:12">
      <c r="A278" t="s">
        <v>307</v>
      </c>
      <c r="B278" s="6" t="s">
        <v>464</v>
      </c>
      <c r="C278" t="s">
        <v>465</v>
      </c>
      <c r="D278" t="s">
        <v>466</v>
      </c>
      <c r="E278" t="s">
        <v>467</v>
      </c>
      <c r="F278" t="s">
        <v>392</v>
      </c>
      <c r="G278" t="s">
        <v>432</v>
      </c>
      <c r="H278" t="s">
        <v>382</v>
      </c>
      <c r="I278" t="s">
        <v>292</v>
      </c>
      <c r="J278" t="s">
        <v>18</v>
      </c>
      <c r="K278">
        <f t="shared" si="10"/>
        <v>75</v>
      </c>
      <c r="L278">
        <f t="shared" si="11"/>
        <v>0</v>
      </c>
    </row>
    <row r="279" spans="1:12">
      <c r="A279" t="s">
        <v>307</v>
      </c>
      <c r="B279" s="6" t="s">
        <v>468</v>
      </c>
      <c r="C279" t="s">
        <v>15</v>
      </c>
      <c r="D279" t="s">
        <v>466</v>
      </c>
      <c r="E279" t="s">
        <v>467</v>
      </c>
      <c r="F279" t="s">
        <v>392</v>
      </c>
      <c r="G279" t="s">
        <v>469</v>
      </c>
      <c r="H279" t="s">
        <v>382</v>
      </c>
      <c r="I279" t="s">
        <v>292</v>
      </c>
      <c r="J279" t="s">
        <v>18</v>
      </c>
      <c r="K279">
        <f t="shared" si="10"/>
        <v>75</v>
      </c>
      <c r="L279">
        <f t="shared" si="11"/>
        <v>0</v>
      </c>
    </row>
    <row r="280" spans="1:12">
      <c r="A280" t="s">
        <v>307</v>
      </c>
      <c r="B280" s="6" t="s">
        <v>470</v>
      </c>
      <c r="C280" t="s">
        <v>15</v>
      </c>
      <c r="D280" t="s">
        <v>466</v>
      </c>
      <c r="E280" t="s">
        <v>467</v>
      </c>
      <c r="F280" t="s">
        <v>392</v>
      </c>
      <c r="G280" t="s">
        <v>432</v>
      </c>
      <c r="H280" t="s">
        <v>310</v>
      </c>
      <c r="I280" t="s">
        <v>292</v>
      </c>
      <c r="J280" t="s">
        <v>18</v>
      </c>
      <c r="K280">
        <f t="shared" si="10"/>
        <v>75</v>
      </c>
      <c r="L280">
        <f t="shared" si="11"/>
        <v>0</v>
      </c>
    </row>
    <row r="281" spans="1:12">
      <c r="A281" t="s">
        <v>307</v>
      </c>
      <c r="B281" s="6" t="s">
        <v>471</v>
      </c>
      <c r="C281" t="s">
        <v>15</v>
      </c>
      <c r="D281" t="s">
        <v>466</v>
      </c>
      <c r="E281" t="s">
        <v>467</v>
      </c>
      <c r="F281" t="s">
        <v>392</v>
      </c>
      <c r="G281" t="s">
        <v>469</v>
      </c>
      <c r="H281" t="s">
        <v>310</v>
      </c>
      <c r="I281" t="s">
        <v>292</v>
      </c>
      <c r="J281" t="s">
        <v>18</v>
      </c>
      <c r="K281">
        <f t="shared" si="10"/>
        <v>75</v>
      </c>
      <c r="L281">
        <f t="shared" si="11"/>
        <v>0</v>
      </c>
    </row>
    <row r="282" spans="1:12">
      <c r="A282" t="s">
        <v>307</v>
      </c>
      <c r="B282" s="6" t="s">
        <v>472</v>
      </c>
      <c r="C282" t="s">
        <v>15</v>
      </c>
      <c r="D282" t="s">
        <v>299</v>
      </c>
      <c r="E282" t="s">
        <v>300</v>
      </c>
      <c r="F282" t="s">
        <v>392</v>
      </c>
      <c r="G282" t="s">
        <v>432</v>
      </c>
      <c r="H282" t="s">
        <v>310</v>
      </c>
      <c r="I282" t="s">
        <v>292</v>
      </c>
      <c r="J282" t="s">
        <v>18</v>
      </c>
      <c r="K282">
        <f t="shared" si="10"/>
        <v>75</v>
      </c>
      <c r="L282">
        <f t="shared" si="11"/>
        <v>0</v>
      </c>
    </row>
    <row r="283" spans="1:12">
      <c r="A283" t="s">
        <v>307</v>
      </c>
      <c r="B283" s="6" t="s">
        <v>473</v>
      </c>
      <c r="C283" t="s">
        <v>15</v>
      </c>
      <c r="D283" t="s">
        <v>474</v>
      </c>
      <c r="E283" t="s">
        <v>475</v>
      </c>
      <c r="F283" t="s">
        <v>392</v>
      </c>
      <c r="G283" t="s">
        <v>476</v>
      </c>
      <c r="H283" t="s">
        <v>310</v>
      </c>
      <c r="I283" t="s">
        <v>292</v>
      </c>
      <c r="J283" t="s">
        <v>18</v>
      </c>
      <c r="K283">
        <f t="shared" si="10"/>
        <v>76</v>
      </c>
      <c r="L283">
        <f t="shared" si="11"/>
        <v>0</v>
      </c>
    </row>
    <row r="284" spans="1:12">
      <c r="A284" t="s">
        <v>307</v>
      </c>
      <c r="B284" s="6" t="s">
        <v>477</v>
      </c>
      <c r="C284" t="s">
        <v>15</v>
      </c>
      <c r="D284" t="s">
        <v>474</v>
      </c>
      <c r="E284" t="s">
        <v>475</v>
      </c>
      <c r="F284" t="s">
        <v>392</v>
      </c>
      <c r="G284" t="s">
        <v>469</v>
      </c>
      <c r="H284" t="s">
        <v>317</v>
      </c>
      <c r="I284" t="s">
        <v>292</v>
      </c>
      <c r="J284" t="s">
        <v>18</v>
      </c>
      <c r="K284">
        <f t="shared" si="10"/>
        <v>76</v>
      </c>
      <c r="L284">
        <f t="shared" si="11"/>
        <v>0</v>
      </c>
    </row>
    <row r="285" spans="1:12">
      <c r="A285" t="s">
        <v>307</v>
      </c>
      <c r="B285" s="6" t="s">
        <v>478</v>
      </c>
      <c r="C285" t="s">
        <v>479</v>
      </c>
      <c r="D285" t="s">
        <v>16</v>
      </c>
      <c r="E285" t="s">
        <v>58</v>
      </c>
      <c r="F285" t="s">
        <v>480</v>
      </c>
      <c r="G285" t="s">
        <v>476</v>
      </c>
      <c r="H285" t="s">
        <v>317</v>
      </c>
      <c r="I285" t="s">
        <v>292</v>
      </c>
      <c r="J285" t="s">
        <v>18</v>
      </c>
      <c r="K285">
        <f t="shared" si="10"/>
        <v>75</v>
      </c>
      <c r="L285">
        <f t="shared" si="11"/>
        <v>0</v>
      </c>
    </row>
    <row r="286" spans="1:12">
      <c r="A286" t="s">
        <v>307</v>
      </c>
      <c r="B286" s="6" t="s">
        <v>481</v>
      </c>
      <c r="C286" t="s">
        <v>465</v>
      </c>
      <c r="D286" t="s">
        <v>16</v>
      </c>
      <c r="E286" t="s">
        <v>58</v>
      </c>
      <c r="F286" t="s">
        <v>392</v>
      </c>
      <c r="G286" t="s">
        <v>384</v>
      </c>
      <c r="H286" t="s">
        <v>317</v>
      </c>
      <c r="I286" t="s">
        <v>292</v>
      </c>
      <c r="J286" t="s">
        <v>18</v>
      </c>
      <c r="K286">
        <f t="shared" si="10"/>
        <v>75</v>
      </c>
      <c r="L286">
        <f t="shared" si="11"/>
        <v>0</v>
      </c>
    </row>
    <row r="287" spans="1:12">
      <c r="A287" t="s">
        <v>307</v>
      </c>
      <c r="B287" s="6" t="s">
        <v>482</v>
      </c>
      <c r="C287" t="s">
        <v>15</v>
      </c>
      <c r="D287" t="s">
        <v>16</v>
      </c>
      <c r="E287" t="s">
        <v>58</v>
      </c>
      <c r="F287" t="s">
        <v>392</v>
      </c>
      <c r="G287" t="s">
        <v>384</v>
      </c>
      <c r="H287" t="s">
        <v>317</v>
      </c>
      <c r="I287" t="s">
        <v>292</v>
      </c>
      <c r="J287" t="s">
        <v>18</v>
      </c>
      <c r="K287">
        <f t="shared" si="10"/>
        <v>75</v>
      </c>
      <c r="L287">
        <f t="shared" si="11"/>
        <v>0</v>
      </c>
    </row>
    <row r="288" spans="1:12">
      <c r="A288" t="s">
        <v>307</v>
      </c>
      <c r="B288" s="6" t="s">
        <v>483</v>
      </c>
      <c r="C288" t="s">
        <v>484</v>
      </c>
      <c r="D288" t="s">
        <v>16</v>
      </c>
      <c r="E288" t="s">
        <v>58</v>
      </c>
      <c r="F288" t="s">
        <v>392</v>
      </c>
      <c r="G288" t="s">
        <v>485</v>
      </c>
      <c r="H288" t="s">
        <v>317</v>
      </c>
      <c r="I288" t="s">
        <v>292</v>
      </c>
      <c r="J288" t="s">
        <v>18</v>
      </c>
      <c r="K288">
        <f t="shared" si="10"/>
        <v>75</v>
      </c>
      <c r="L288">
        <f t="shared" si="11"/>
        <v>0</v>
      </c>
    </row>
    <row r="289" spans="1:12">
      <c r="A289" t="s">
        <v>307</v>
      </c>
      <c r="B289" s="6" t="s">
        <v>486</v>
      </c>
      <c r="C289" t="s">
        <v>15</v>
      </c>
      <c r="D289" t="s">
        <v>16</v>
      </c>
      <c r="E289" t="s">
        <v>58</v>
      </c>
      <c r="F289" t="s">
        <v>392</v>
      </c>
      <c r="G289" t="s">
        <v>485</v>
      </c>
      <c r="H289" t="s">
        <v>322</v>
      </c>
      <c r="I289" t="s">
        <v>292</v>
      </c>
      <c r="J289" t="s">
        <v>18</v>
      </c>
      <c r="K289">
        <f t="shared" si="10"/>
        <v>75</v>
      </c>
      <c r="L289">
        <f t="shared" si="11"/>
        <v>0</v>
      </c>
    </row>
    <row r="290" spans="1:12">
      <c r="A290" t="s">
        <v>307</v>
      </c>
      <c r="B290" s="6" t="s">
        <v>487</v>
      </c>
      <c r="C290" t="s">
        <v>15</v>
      </c>
      <c r="D290" t="s">
        <v>16</v>
      </c>
      <c r="E290" t="s">
        <v>58</v>
      </c>
      <c r="F290" t="s">
        <v>392</v>
      </c>
      <c r="G290" t="s">
        <v>488</v>
      </c>
      <c r="H290" t="s">
        <v>322</v>
      </c>
      <c r="I290" t="s">
        <v>292</v>
      </c>
      <c r="J290" t="s">
        <v>18</v>
      </c>
      <c r="K290">
        <f t="shared" si="10"/>
        <v>75</v>
      </c>
      <c r="L290">
        <f t="shared" si="11"/>
        <v>0</v>
      </c>
    </row>
    <row r="291" spans="1:12">
      <c r="A291" t="s">
        <v>307</v>
      </c>
      <c r="B291" s="6" t="s">
        <v>489</v>
      </c>
      <c r="C291" t="s">
        <v>490</v>
      </c>
      <c r="D291" t="s">
        <v>16</v>
      </c>
      <c r="E291" t="s">
        <v>58</v>
      </c>
      <c r="F291" t="s">
        <v>392</v>
      </c>
      <c r="G291" t="s">
        <v>488</v>
      </c>
      <c r="H291" t="s">
        <v>322</v>
      </c>
      <c r="I291" t="s">
        <v>292</v>
      </c>
      <c r="J291" t="s">
        <v>18</v>
      </c>
      <c r="K291">
        <f t="shared" si="10"/>
        <v>75</v>
      </c>
      <c r="L291">
        <f t="shared" si="11"/>
        <v>0</v>
      </c>
    </row>
    <row r="292" spans="1:12">
      <c r="A292" t="s">
        <v>307</v>
      </c>
      <c r="B292" s="6" t="s">
        <v>491</v>
      </c>
      <c r="C292" t="s">
        <v>15</v>
      </c>
      <c r="D292" t="s">
        <v>299</v>
      </c>
      <c r="E292" t="s">
        <v>300</v>
      </c>
      <c r="F292" t="s">
        <v>392</v>
      </c>
      <c r="G292" t="s">
        <v>492</v>
      </c>
      <c r="H292" t="s">
        <v>322</v>
      </c>
      <c r="I292" t="s">
        <v>292</v>
      </c>
      <c r="J292" t="s">
        <v>18</v>
      </c>
      <c r="K292">
        <f t="shared" si="10"/>
        <v>75</v>
      </c>
      <c r="L292">
        <f t="shared" si="11"/>
        <v>0</v>
      </c>
    </row>
    <row r="293" spans="1:12">
      <c r="A293" t="s">
        <v>307</v>
      </c>
      <c r="B293" s="6" t="s">
        <v>493</v>
      </c>
      <c r="C293" t="s">
        <v>494</v>
      </c>
      <c r="D293" t="s">
        <v>299</v>
      </c>
      <c r="E293" t="s">
        <v>300</v>
      </c>
      <c r="F293" t="s">
        <v>392</v>
      </c>
      <c r="G293" t="s">
        <v>381</v>
      </c>
      <c r="H293" t="s">
        <v>322</v>
      </c>
      <c r="I293" t="s">
        <v>292</v>
      </c>
      <c r="J293" t="s">
        <v>18</v>
      </c>
      <c r="K293">
        <f t="shared" si="10"/>
        <v>75</v>
      </c>
      <c r="L293">
        <f t="shared" si="11"/>
        <v>0</v>
      </c>
    </row>
    <row r="294" spans="1:12">
      <c r="A294" t="s">
        <v>307</v>
      </c>
      <c r="B294" s="6" t="s">
        <v>495</v>
      </c>
      <c r="C294" t="s">
        <v>496</v>
      </c>
      <c r="D294" t="s">
        <v>299</v>
      </c>
      <c r="E294" t="s">
        <v>300</v>
      </c>
      <c r="F294" t="s">
        <v>392</v>
      </c>
      <c r="G294" t="s">
        <v>381</v>
      </c>
      <c r="H294" t="s">
        <v>354</v>
      </c>
      <c r="I294" t="s">
        <v>292</v>
      </c>
      <c r="J294" t="s">
        <v>18</v>
      </c>
      <c r="K294">
        <f t="shared" si="10"/>
        <v>75</v>
      </c>
      <c r="L294">
        <f t="shared" si="11"/>
        <v>0</v>
      </c>
    </row>
    <row r="295" spans="1:12">
      <c r="A295" t="s">
        <v>307</v>
      </c>
      <c r="B295" s="6" t="s">
        <v>497</v>
      </c>
      <c r="C295" t="s">
        <v>15</v>
      </c>
      <c r="D295" t="s">
        <v>299</v>
      </c>
      <c r="E295" t="s">
        <v>300</v>
      </c>
      <c r="F295" t="s">
        <v>392</v>
      </c>
      <c r="G295" t="s">
        <v>498</v>
      </c>
      <c r="H295" t="s">
        <v>354</v>
      </c>
      <c r="I295" t="s">
        <v>292</v>
      </c>
      <c r="J295" t="s">
        <v>18</v>
      </c>
      <c r="K295">
        <f t="shared" si="10"/>
        <v>75</v>
      </c>
      <c r="L295">
        <f t="shared" si="11"/>
        <v>0</v>
      </c>
    </row>
    <row r="296" spans="1:12">
      <c r="A296" t="s">
        <v>307</v>
      </c>
      <c r="B296" s="6" t="s">
        <v>499</v>
      </c>
      <c r="C296" t="s">
        <v>15</v>
      </c>
      <c r="D296" t="s">
        <v>299</v>
      </c>
      <c r="E296" t="s">
        <v>300</v>
      </c>
      <c r="F296" t="s">
        <v>392</v>
      </c>
      <c r="G296" t="s">
        <v>485</v>
      </c>
      <c r="H296" t="s">
        <v>354</v>
      </c>
      <c r="I296" t="s">
        <v>292</v>
      </c>
      <c r="J296" t="s">
        <v>18</v>
      </c>
      <c r="K296">
        <f t="shared" si="10"/>
        <v>75</v>
      </c>
      <c r="L296">
        <f t="shared" si="11"/>
        <v>0</v>
      </c>
    </row>
    <row r="297" spans="1:12">
      <c r="A297" t="s">
        <v>307</v>
      </c>
      <c r="B297" s="6" t="s">
        <v>500</v>
      </c>
      <c r="C297" t="s">
        <v>15</v>
      </c>
      <c r="D297" t="s">
        <v>299</v>
      </c>
      <c r="E297" t="s">
        <v>300</v>
      </c>
      <c r="F297" t="s">
        <v>392</v>
      </c>
      <c r="G297" t="s">
        <v>485</v>
      </c>
      <c r="H297" t="s">
        <v>354</v>
      </c>
      <c r="I297" t="s">
        <v>292</v>
      </c>
      <c r="J297" t="s">
        <v>18</v>
      </c>
      <c r="K297">
        <f t="shared" si="10"/>
        <v>75</v>
      </c>
      <c r="L297">
        <f t="shared" si="11"/>
        <v>0</v>
      </c>
    </row>
    <row r="298" spans="1:12">
      <c r="A298" t="s">
        <v>307</v>
      </c>
      <c r="B298" s="6" t="s">
        <v>501</v>
      </c>
      <c r="C298" t="s">
        <v>502</v>
      </c>
      <c r="D298" t="s">
        <v>299</v>
      </c>
      <c r="E298" t="s">
        <v>300</v>
      </c>
      <c r="F298" t="s">
        <v>392</v>
      </c>
      <c r="G298" t="s">
        <v>384</v>
      </c>
      <c r="H298" t="s">
        <v>354</v>
      </c>
      <c r="I298" t="s">
        <v>292</v>
      </c>
      <c r="J298" t="s">
        <v>18</v>
      </c>
      <c r="K298">
        <f t="shared" si="10"/>
        <v>75</v>
      </c>
      <c r="L298">
        <f t="shared" si="11"/>
        <v>0</v>
      </c>
    </row>
    <row r="299" spans="1:12">
      <c r="A299" t="s">
        <v>307</v>
      </c>
      <c r="B299" s="6" t="s">
        <v>503</v>
      </c>
      <c r="C299" t="s">
        <v>504</v>
      </c>
      <c r="D299" t="s">
        <v>299</v>
      </c>
      <c r="E299" t="s">
        <v>300</v>
      </c>
      <c r="F299" t="s">
        <v>505</v>
      </c>
      <c r="G299" t="s">
        <v>384</v>
      </c>
      <c r="H299" t="s">
        <v>354</v>
      </c>
      <c r="I299" t="s">
        <v>292</v>
      </c>
      <c r="J299" t="s">
        <v>18</v>
      </c>
      <c r="K299">
        <f t="shared" si="10"/>
        <v>75</v>
      </c>
      <c r="L299">
        <f t="shared" si="11"/>
        <v>0</v>
      </c>
    </row>
    <row r="300" spans="1:12">
      <c r="A300" t="s">
        <v>307</v>
      </c>
      <c r="B300" s="6" t="s">
        <v>506</v>
      </c>
      <c r="C300" t="s">
        <v>15</v>
      </c>
      <c r="D300" t="s">
        <v>299</v>
      </c>
      <c r="E300" t="s">
        <v>300</v>
      </c>
      <c r="F300" t="s">
        <v>392</v>
      </c>
      <c r="G300" t="s">
        <v>485</v>
      </c>
      <c r="H300" t="s">
        <v>354</v>
      </c>
      <c r="I300" t="s">
        <v>292</v>
      </c>
      <c r="J300" t="s">
        <v>18</v>
      </c>
      <c r="K300">
        <f t="shared" si="10"/>
        <v>75</v>
      </c>
      <c r="L300">
        <f t="shared" si="11"/>
        <v>0</v>
      </c>
    </row>
    <row r="301" spans="1:12">
      <c r="A301" t="s">
        <v>307</v>
      </c>
      <c r="B301" s="6" t="s">
        <v>507</v>
      </c>
      <c r="C301" t="s">
        <v>15</v>
      </c>
      <c r="D301" t="s">
        <v>299</v>
      </c>
      <c r="E301" t="s">
        <v>300</v>
      </c>
      <c r="F301" t="s">
        <v>392</v>
      </c>
      <c r="G301" t="s">
        <v>485</v>
      </c>
      <c r="H301" t="s">
        <v>370</v>
      </c>
      <c r="I301" t="s">
        <v>292</v>
      </c>
      <c r="J301" t="s">
        <v>18</v>
      </c>
      <c r="K301">
        <f t="shared" si="10"/>
        <v>75</v>
      </c>
      <c r="L301">
        <f t="shared" si="11"/>
        <v>0</v>
      </c>
    </row>
    <row r="302" spans="1:12">
      <c r="A302" t="s">
        <v>307</v>
      </c>
      <c r="B302" s="6" t="s">
        <v>508</v>
      </c>
      <c r="C302" t="s">
        <v>15</v>
      </c>
      <c r="D302" t="s">
        <v>299</v>
      </c>
      <c r="E302" t="s">
        <v>300</v>
      </c>
      <c r="F302" t="s">
        <v>340</v>
      </c>
      <c r="G302" t="s">
        <v>498</v>
      </c>
      <c r="H302" t="s">
        <v>370</v>
      </c>
      <c r="I302" t="s">
        <v>292</v>
      </c>
      <c r="J302" t="s">
        <v>18</v>
      </c>
      <c r="K302">
        <f t="shared" si="10"/>
        <v>75</v>
      </c>
      <c r="L302">
        <f t="shared" si="11"/>
        <v>0</v>
      </c>
    </row>
    <row r="303" spans="1:12">
      <c r="A303" t="s">
        <v>307</v>
      </c>
      <c r="B303" s="6" t="s">
        <v>509</v>
      </c>
      <c r="C303" t="s">
        <v>15</v>
      </c>
      <c r="D303" t="s">
        <v>299</v>
      </c>
      <c r="E303" t="s">
        <v>300</v>
      </c>
      <c r="F303" t="s">
        <v>340</v>
      </c>
      <c r="G303" t="s">
        <v>510</v>
      </c>
      <c r="H303" t="s">
        <v>370</v>
      </c>
      <c r="I303" t="s">
        <v>292</v>
      </c>
      <c r="J303" t="s">
        <v>18</v>
      </c>
      <c r="K303">
        <f t="shared" si="10"/>
        <v>75</v>
      </c>
      <c r="L303">
        <f t="shared" si="11"/>
        <v>0</v>
      </c>
    </row>
    <row r="304" spans="1:12">
      <c r="A304" t="s">
        <v>307</v>
      </c>
      <c r="B304" s="6" t="s">
        <v>511</v>
      </c>
      <c r="C304" t="s">
        <v>15</v>
      </c>
      <c r="D304" t="s">
        <v>299</v>
      </c>
      <c r="E304" t="s">
        <v>300</v>
      </c>
      <c r="F304" t="s">
        <v>340</v>
      </c>
      <c r="G304" t="s">
        <v>512</v>
      </c>
      <c r="H304" t="s">
        <v>370</v>
      </c>
      <c r="I304" t="s">
        <v>292</v>
      </c>
      <c r="J304" t="s">
        <v>18</v>
      </c>
      <c r="K304">
        <f t="shared" si="10"/>
        <v>75</v>
      </c>
      <c r="L304">
        <f t="shared" si="11"/>
        <v>0</v>
      </c>
    </row>
    <row r="305" spans="1:12">
      <c r="A305" t="s">
        <v>307</v>
      </c>
      <c r="B305" s="6" t="s">
        <v>513</v>
      </c>
      <c r="C305" t="s">
        <v>15</v>
      </c>
      <c r="D305" t="s">
        <v>299</v>
      </c>
      <c r="E305" t="s">
        <v>300</v>
      </c>
      <c r="F305" t="s">
        <v>340</v>
      </c>
      <c r="G305" t="s">
        <v>485</v>
      </c>
      <c r="H305" t="s">
        <v>370</v>
      </c>
      <c r="I305" t="s">
        <v>292</v>
      </c>
      <c r="J305" t="s">
        <v>18</v>
      </c>
      <c r="K305">
        <f t="shared" si="10"/>
        <v>75</v>
      </c>
      <c r="L305">
        <f t="shared" si="11"/>
        <v>0</v>
      </c>
    </row>
    <row r="306" spans="1:12">
      <c r="A306" t="s">
        <v>307</v>
      </c>
      <c r="B306" s="6" t="s">
        <v>514</v>
      </c>
      <c r="C306" t="s">
        <v>15</v>
      </c>
      <c r="D306" t="s">
        <v>299</v>
      </c>
      <c r="E306" t="s">
        <v>300</v>
      </c>
      <c r="F306" t="s">
        <v>340</v>
      </c>
      <c r="G306" t="s">
        <v>384</v>
      </c>
      <c r="H306" t="s">
        <v>370</v>
      </c>
      <c r="I306" t="s">
        <v>292</v>
      </c>
      <c r="J306" t="s">
        <v>18</v>
      </c>
      <c r="K306">
        <f t="shared" si="10"/>
        <v>75</v>
      </c>
      <c r="L306">
        <f t="shared" si="11"/>
        <v>0</v>
      </c>
    </row>
    <row r="307" spans="1:12">
      <c r="A307" t="s">
        <v>307</v>
      </c>
      <c r="B307" s="6" t="s">
        <v>515</v>
      </c>
      <c r="C307" t="s">
        <v>15</v>
      </c>
      <c r="D307" t="s">
        <v>299</v>
      </c>
      <c r="E307" t="s">
        <v>300</v>
      </c>
      <c r="F307" t="s">
        <v>340</v>
      </c>
      <c r="G307" t="s">
        <v>485</v>
      </c>
      <c r="H307" t="s">
        <v>516</v>
      </c>
      <c r="I307" t="s">
        <v>292</v>
      </c>
      <c r="J307" t="s">
        <v>18</v>
      </c>
      <c r="K307">
        <f t="shared" si="10"/>
        <v>75</v>
      </c>
      <c r="L307">
        <f t="shared" si="11"/>
        <v>0</v>
      </c>
    </row>
    <row r="308" spans="1:12">
      <c r="A308" t="s">
        <v>307</v>
      </c>
      <c r="B308" s="6" t="s">
        <v>517</v>
      </c>
      <c r="C308" t="s">
        <v>15</v>
      </c>
      <c r="D308" t="s">
        <v>299</v>
      </c>
      <c r="E308" t="s">
        <v>300</v>
      </c>
      <c r="F308" t="s">
        <v>340</v>
      </c>
      <c r="G308" t="s">
        <v>485</v>
      </c>
      <c r="H308" t="s">
        <v>370</v>
      </c>
      <c r="I308" t="s">
        <v>292</v>
      </c>
      <c r="J308" t="s">
        <v>18</v>
      </c>
      <c r="K308">
        <f t="shared" si="10"/>
        <v>75</v>
      </c>
      <c r="L308">
        <f t="shared" si="11"/>
        <v>0</v>
      </c>
    </row>
    <row r="309" spans="1:12">
      <c r="A309" t="s">
        <v>307</v>
      </c>
      <c r="B309" s="6" t="s">
        <v>518</v>
      </c>
      <c r="C309" t="s">
        <v>15</v>
      </c>
      <c r="D309" t="s">
        <v>299</v>
      </c>
      <c r="E309" t="s">
        <v>300</v>
      </c>
      <c r="F309" t="s">
        <v>17</v>
      </c>
      <c r="G309" t="s">
        <v>485</v>
      </c>
      <c r="H309" t="s">
        <v>370</v>
      </c>
      <c r="I309" t="s">
        <v>292</v>
      </c>
      <c r="J309" t="s">
        <v>18</v>
      </c>
      <c r="K309">
        <f t="shared" si="10"/>
        <v>75</v>
      </c>
      <c r="L309">
        <f t="shared" si="11"/>
        <v>0</v>
      </c>
    </row>
    <row r="310" spans="1:12">
      <c r="A310" t="s">
        <v>307</v>
      </c>
      <c r="B310" s="6" t="s">
        <v>519</v>
      </c>
      <c r="C310" t="s">
        <v>15</v>
      </c>
      <c r="D310" t="s">
        <v>299</v>
      </c>
      <c r="E310" t="s">
        <v>300</v>
      </c>
      <c r="F310" t="s">
        <v>340</v>
      </c>
      <c r="G310" t="s">
        <v>498</v>
      </c>
      <c r="H310" t="s">
        <v>370</v>
      </c>
      <c r="I310" t="s">
        <v>292</v>
      </c>
      <c r="J310" t="s">
        <v>18</v>
      </c>
      <c r="K310">
        <f t="shared" si="10"/>
        <v>75</v>
      </c>
      <c r="L310">
        <f t="shared" si="11"/>
        <v>0</v>
      </c>
    </row>
    <row r="311" spans="1:12">
      <c r="A311" t="s">
        <v>307</v>
      </c>
      <c r="B311" s="6" t="s">
        <v>520</v>
      </c>
      <c r="C311" t="s">
        <v>15</v>
      </c>
      <c r="D311" t="s">
        <v>299</v>
      </c>
      <c r="E311" t="s">
        <v>300</v>
      </c>
      <c r="F311" t="s">
        <v>340</v>
      </c>
      <c r="G311" t="s">
        <v>498</v>
      </c>
      <c r="H311" t="s">
        <v>516</v>
      </c>
      <c r="I311" t="s">
        <v>292</v>
      </c>
      <c r="J311" t="s">
        <v>18</v>
      </c>
      <c r="K311">
        <f t="shared" si="10"/>
        <v>75</v>
      </c>
      <c r="L311">
        <f t="shared" si="11"/>
        <v>0</v>
      </c>
    </row>
    <row r="312" spans="1:12">
      <c r="A312" t="s">
        <v>307</v>
      </c>
      <c r="B312" s="6" t="s">
        <v>522</v>
      </c>
      <c r="C312" t="s">
        <v>15</v>
      </c>
      <c r="D312" t="s">
        <v>299</v>
      </c>
      <c r="E312" t="s">
        <v>300</v>
      </c>
      <c r="F312" t="s">
        <v>17</v>
      </c>
      <c r="G312" t="s">
        <v>521</v>
      </c>
      <c r="H312" t="s">
        <v>516</v>
      </c>
      <c r="I312" t="s">
        <v>292</v>
      </c>
      <c r="J312" t="s">
        <v>18</v>
      </c>
      <c r="K312">
        <f t="shared" si="10"/>
        <v>75</v>
      </c>
      <c r="L312">
        <f t="shared" si="11"/>
        <v>0</v>
      </c>
    </row>
    <row r="313" spans="1:12">
      <c r="A313" t="s">
        <v>307</v>
      </c>
      <c r="B313" s="6" t="s">
        <v>523</v>
      </c>
      <c r="C313" t="s">
        <v>15</v>
      </c>
      <c r="D313" t="s">
        <v>299</v>
      </c>
      <c r="E313" t="s">
        <v>300</v>
      </c>
      <c r="F313" t="s">
        <v>340</v>
      </c>
      <c r="G313" t="s">
        <v>512</v>
      </c>
      <c r="H313" t="s">
        <v>516</v>
      </c>
      <c r="I313" t="s">
        <v>292</v>
      </c>
      <c r="J313" t="s">
        <v>18</v>
      </c>
      <c r="K313">
        <f t="shared" si="10"/>
        <v>75</v>
      </c>
      <c r="L313">
        <f t="shared" si="11"/>
        <v>0</v>
      </c>
    </row>
    <row r="314" spans="1:12">
      <c r="A314" t="s">
        <v>307</v>
      </c>
      <c r="B314" s="6" t="s">
        <v>524</v>
      </c>
      <c r="C314" t="s">
        <v>15</v>
      </c>
      <c r="D314" t="s">
        <v>299</v>
      </c>
      <c r="E314" t="s">
        <v>300</v>
      </c>
      <c r="F314" t="s">
        <v>340</v>
      </c>
      <c r="G314" t="s">
        <v>492</v>
      </c>
      <c r="H314" t="s">
        <v>516</v>
      </c>
      <c r="I314" t="s">
        <v>292</v>
      </c>
      <c r="J314" t="s">
        <v>18</v>
      </c>
      <c r="K314">
        <f t="shared" si="10"/>
        <v>75</v>
      </c>
      <c r="L314">
        <f t="shared" si="11"/>
        <v>0</v>
      </c>
    </row>
    <row r="315" spans="1:12">
      <c r="A315" t="s">
        <v>307</v>
      </c>
      <c r="B315" s="6" t="s">
        <v>525</v>
      </c>
      <c r="C315" t="s">
        <v>15</v>
      </c>
      <c r="D315" t="s">
        <v>466</v>
      </c>
      <c r="E315" t="s">
        <v>467</v>
      </c>
      <c r="F315" t="s">
        <v>340</v>
      </c>
      <c r="G315" t="s">
        <v>526</v>
      </c>
      <c r="H315" t="s">
        <v>516</v>
      </c>
      <c r="I315" t="s">
        <v>292</v>
      </c>
      <c r="J315" t="s">
        <v>18</v>
      </c>
      <c r="K315">
        <f t="shared" ref="K315:K325" si="12">LEN(A315&amp;B315&amp;C315&amp;D315&amp;E315&amp;F315&amp;G315&amp;H315&amp;I315&amp;J315)</f>
        <v>75</v>
      </c>
      <c r="L315">
        <f t="shared" ref="L315:L325" si="13">IFERROR(IF(OR(NOT(AND(LEFT(A315,2)="D:",IFERROR(VALUE(RIGHT(A315,LEN(A315)-2))&gt;=0,FALSE))),NOT(AND(LEFT(B315,2)="C:",IFERROR(VALUE(RIGHT(B315,LEN(B315)-2))&gt;=0,FALSE))),NOT(AND(LEFT(C315,2)="S:",IFERROR(VALUE(RIGHT(C315,LEN(C315)-2))&gt;=0,FALSE))),NOT(AND(LEFT(D315,2)="W:",OR(RIGHT(D315,LEN(D315)-2)="N",RIGHT(D315,LEN(D315)-2)="NE",RIGHT(D315,LEN(D315)-2)="E",RIGHT(D315,LEN(D315)-2)="SE",RIGHT(D315,LEN(D315)-2)="S",RIGHT(D315,LEN(D315)-2)="SW",RIGHT(D315,LEN(D315)-2)="W",RIGHT(D315,LEN(D315)-2)="NW"))),NOT(AND(LEFT(E315,2)="A:",IFERROR(VALUE(RIGHT(E315,LEN(E315)-2))&gt;=0,FALSE))),NOT(AND(LEFT(F315,2)="R:",IFERROR(VALUE(RIGHT(F315,LEN(F315)-2))&gt;=0,FALSE))),NOT(AND(LEFT(G315,2)="H:",IFERROR(VALUE(RIGHT(G315,LEN(G315)-2))&gt;=0,FALSE))),NOT(AND(LEFT(H315,2)="T:",IFERROR(VALUE(RIGHT(H315,LEN(H315)-2))&gt;=-50,FALSE))),NOT(AND(LEFT(I315,2)="P:",IFERROR(VALUE(RIGHT(I315,LEN(I315)-2))&gt;=900,FALSE))),NOT(AND(LEFT(J315,2)="B:",IFERROR(VALUE(RIGHT(J315,LEN(J315)-2))&gt;=0,FALSE))),AND(K315&lt;&gt;75,K315&lt;&gt;76)),1,0),1)</f>
        <v>0</v>
      </c>
    </row>
    <row r="316" spans="1:12">
      <c r="A316" t="s">
        <v>307</v>
      </c>
      <c r="B316" s="6" t="s">
        <v>527</v>
      </c>
      <c r="C316" t="s">
        <v>15</v>
      </c>
      <c r="D316" t="s">
        <v>466</v>
      </c>
      <c r="E316" t="s">
        <v>467</v>
      </c>
      <c r="F316" t="s">
        <v>340</v>
      </c>
      <c r="G316" t="s">
        <v>528</v>
      </c>
      <c r="H316" t="s">
        <v>516</v>
      </c>
      <c r="I316" t="s">
        <v>292</v>
      </c>
      <c r="J316" t="s">
        <v>18</v>
      </c>
      <c r="K316">
        <f t="shared" si="12"/>
        <v>75</v>
      </c>
      <c r="L316">
        <f t="shared" si="13"/>
        <v>0</v>
      </c>
    </row>
    <row r="317" spans="1:12">
      <c r="A317" t="s">
        <v>307</v>
      </c>
      <c r="B317" s="6" t="s">
        <v>529</v>
      </c>
      <c r="C317" t="s">
        <v>15</v>
      </c>
      <c r="D317" t="s">
        <v>297</v>
      </c>
      <c r="E317" t="s">
        <v>298</v>
      </c>
      <c r="F317" t="s">
        <v>340</v>
      </c>
      <c r="G317" t="s">
        <v>19</v>
      </c>
      <c r="H317" t="s">
        <v>516</v>
      </c>
      <c r="I317" t="s">
        <v>292</v>
      </c>
      <c r="J317" t="s">
        <v>18</v>
      </c>
      <c r="K317">
        <f t="shared" si="12"/>
        <v>75</v>
      </c>
      <c r="L317">
        <f t="shared" si="13"/>
        <v>0</v>
      </c>
    </row>
    <row r="318" spans="1:12">
      <c r="A318" t="s">
        <v>307</v>
      </c>
      <c r="B318" s="6" t="s">
        <v>530</v>
      </c>
      <c r="C318" t="s">
        <v>15</v>
      </c>
      <c r="D318" t="s">
        <v>297</v>
      </c>
      <c r="E318" t="s">
        <v>298</v>
      </c>
      <c r="F318" t="s">
        <v>17</v>
      </c>
      <c r="G318" t="s">
        <v>531</v>
      </c>
      <c r="H318" t="s">
        <v>516</v>
      </c>
      <c r="I318" t="s">
        <v>292</v>
      </c>
      <c r="J318" t="s">
        <v>18</v>
      </c>
      <c r="K318">
        <f t="shared" si="12"/>
        <v>75</v>
      </c>
      <c r="L318">
        <f t="shared" si="13"/>
        <v>0</v>
      </c>
    </row>
    <row r="319" spans="1:12">
      <c r="A319" t="s">
        <v>307</v>
      </c>
      <c r="B319" s="6" t="s">
        <v>533</v>
      </c>
      <c r="C319" t="s">
        <v>534</v>
      </c>
      <c r="D319" t="s">
        <v>299</v>
      </c>
      <c r="E319" t="s">
        <v>300</v>
      </c>
      <c r="F319" t="s">
        <v>340</v>
      </c>
      <c r="G319" t="s">
        <v>532</v>
      </c>
      <c r="H319" t="s">
        <v>516</v>
      </c>
      <c r="I319" t="s">
        <v>292</v>
      </c>
      <c r="J319" t="s">
        <v>18</v>
      </c>
      <c r="K319">
        <f t="shared" si="12"/>
        <v>75</v>
      </c>
      <c r="L319">
        <f t="shared" si="13"/>
        <v>0</v>
      </c>
    </row>
    <row r="320" spans="1:12">
      <c r="A320" t="s">
        <v>307</v>
      </c>
      <c r="B320" s="6" t="s">
        <v>536</v>
      </c>
      <c r="C320" t="s">
        <v>537</v>
      </c>
      <c r="D320" t="s">
        <v>299</v>
      </c>
      <c r="E320" t="s">
        <v>300</v>
      </c>
      <c r="F320" t="s">
        <v>340</v>
      </c>
      <c r="G320" t="s">
        <v>532</v>
      </c>
      <c r="H320" t="s">
        <v>535</v>
      </c>
      <c r="I320" t="s">
        <v>292</v>
      </c>
      <c r="J320" t="s">
        <v>18</v>
      </c>
      <c r="K320">
        <f t="shared" si="12"/>
        <v>75</v>
      </c>
      <c r="L320">
        <f t="shared" si="13"/>
        <v>0</v>
      </c>
    </row>
    <row r="321" spans="1:12">
      <c r="A321" t="s">
        <v>307</v>
      </c>
      <c r="B321" s="6" t="s">
        <v>538</v>
      </c>
      <c r="C321" t="s">
        <v>539</v>
      </c>
      <c r="D321" t="s">
        <v>299</v>
      </c>
      <c r="E321" t="s">
        <v>300</v>
      </c>
      <c r="F321" t="s">
        <v>340</v>
      </c>
      <c r="G321" t="s">
        <v>532</v>
      </c>
      <c r="H321" t="s">
        <v>535</v>
      </c>
      <c r="I321" t="s">
        <v>292</v>
      </c>
      <c r="J321" t="s">
        <v>18</v>
      </c>
      <c r="K321">
        <f t="shared" si="12"/>
        <v>75</v>
      </c>
      <c r="L321">
        <f t="shared" si="13"/>
        <v>0</v>
      </c>
    </row>
    <row r="322" spans="1:12">
      <c r="A322" t="s">
        <v>307</v>
      </c>
      <c r="B322" s="6" t="s">
        <v>540</v>
      </c>
      <c r="C322" t="s">
        <v>15</v>
      </c>
      <c r="D322" t="s">
        <v>299</v>
      </c>
      <c r="E322" t="s">
        <v>300</v>
      </c>
      <c r="F322" t="s">
        <v>340</v>
      </c>
      <c r="G322" t="s">
        <v>531</v>
      </c>
      <c r="H322" t="s">
        <v>535</v>
      </c>
      <c r="I322" t="s">
        <v>292</v>
      </c>
      <c r="J322" t="s">
        <v>18</v>
      </c>
      <c r="K322">
        <f t="shared" si="12"/>
        <v>75</v>
      </c>
      <c r="L322">
        <f t="shared" si="13"/>
        <v>0</v>
      </c>
    </row>
    <row r="323" spans="1:12">
      <c r="A323" t="s">
        <v>307</v>
      </c>
      <c r="B323" s="6" t="s">
        <v>541</v>
      </c>
      <c r="C323" t="s">
        <v>15</v>
      </c>
      <c r="D323" t="s">
        <v>299</v>
      </c>
      <c r="E323" t="s">
        <v>300</v>
      </c>
      <c r="F323" t="s">
        <v>340</v>
      </c>
      <c r="G323" t="s">
        <v>532</v>
      </c>
      <c r="H323" t="s">
        <v>535</v>
      </c>
      <c r="I323" t="s">
        <v>292</v>
      </c>
      <c r="J323" t="s">
        <v>18</v>
      </c>
      <c r="K323">
        <f t="shared" si="12"/>
        <v>75</v>
      </c>
      <c r="L323">
        <f t="shared" si="13"/>
        <v>0</v>
      </c>
    </row>
    <row r="324" spans="1:12">
      <c r="A324" t="s">
        <v>307</v>
      </c>
      <c r="B324" s="6" t="s">
        <v>542</v>
      </c>
      <c r="C324" t="s">
        <v>15</v>
      </c>
      <c r="D324" t="s">
        <v>299</v>
      </c>
      <c r="E324" t="s">
        <v>300</v>
      </c>
      <c r="F324" t="s">
        <v>340</v>
      </c>
      <c r="G324" t="s">
        <v>532</v>
      </c>
      <c r="H324" t="s">
        <v>535</v>
      </c>
      <c r="I324" t="s">
        <v>292</v>
      </c>
      <c r="J324" t="s">
        <v>18</v>
      </c>
      <c r="K324">
        <f t="shared" si="12"/>
        <v>75</v>
      </c>
      <c r="L324">
        <f t="shared" si="13"/>
        <v>0</v>
      </c>
    </row>
    <row r="325" spans="1:12">
      <c r="A325" t="s">
        <v>307</v>
      </c>
      <c r="B325" s="6" t="s">
        <v>543</v>
      </c>
      <c r="C325" t="s">
        <v>15</v>
      </c>
      <c r="D325" t="s">
        <v>299</v>
      </c>
      <c r="E325" t="s">
        <v>300</v>
      </c>
      <c r="F325" t="s">
        <v>340</v>
      </c>
      <c r="G325" t="s">
        <v>532</v>
      </c>
      <c r="H325" t="s">
        <v>535</v>
      </c>
      <c r="I325" t="s">
        <v>292</v>
      </c>
      <c r="J325" t="s">
        <v>18</v>
      </c>
      <c r="K325">
        <f t="shared" si="12"/>
        <v>75</v>
      </c>
      <c r="L325">
        <f t="shared" si="13"/>
        <v>0</v>
      </c>
    </row>
  </sheetData>
  <autoFilter ref="A1:L32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364"/>
  <sheetViews>
    <sheetView zoomScale="85" zoomScaleNormal="85" workbookViewId="0"/>
  </sheetViews>
  <sheetFormatPr defaultRowHeight="12.75"/>
  <cols>
    <col min="1" max="1" width="10.5703125" style="4" bestFit="1" customWidth="1"/>
    <col min="2" max="2" width="8.5703125" bestFit="1" customWidth="1"/>
    <col min="3" max="3" width="7.7109375" customWidth="1"/>
    <col min="4" max="4" width="9.5703125" customWidth="1"/>
    <col min="5" max="5" width="6.7109375" customWidth="1"/>
    <col min="6" max="6" width="5.42578125" customWidth="1"/>
    <col min="7" max="7" width="10.28515625" customWidth="1"/>
    <col min="8" max="8" width="13.7109375" customWidth="1"/>
    <col min="9" max="9" width="10.28515625" customWidth="1"/>
    <col min="10" max="10" width="7.5703125" customWidth="1"/>
    <col min="11" max="11" width="7.7109375" customWidth="1"/>
  </cols>
  <sheetData>
    <row r="1" spans="1:12" ht="60.75" customHeight="1">
      <c r="A1" s="15" t="s">
        <v>0</v>
      </c>
      <c r="B1" s="16" t="s">
        <v>1</v>
      </c>
      <c r="C1" s="16" t="s">
        <v>301</v>
      </c>
      <c r="D1" s="16" t="s">
        <v>294</v>
      </c>
      <c r="E1" s="16" t="s">
        <v>302</v>
      </c>
      <c r="F1" s="16" t="s">
        <v>303</v>
      </c>
      <c r="G1" s="16" t="s">
        <v>304</v>
      </c>
      <c r="H1" s="16" t="s">
        <v>305</v>
      </c>
      <c r="I1" s="16" t="s">
        <v>306</v>
      </c>
      <c r="J1" s="16" t="s">
        <v>9</v>
      </c>
      <c r="K1" s="16" t="s">
        <v>10</v>
      </c>
      <c r="L1" s="16" t="s">
        <v>427</v>
      </c>
    </row>
    <row r="2" spans="1:12">
      <c r="A2" s="4">
        <v>41472</v>
      </c>
      <c r="C2" s="32">
        <v>1.1111111111111112</v>
      </c>
      <c r="D2" s="29"/>
      <c r="E2" s="35">
        <v>306</v>
      </c>
      <c r="F2" s="32">
        <v>0</v>
      </c>
      <c r="G2" s="33">
        <v>0</v>
      </c>
      <c r="H2" s="32">
        <v>18.3</v>
      </c>
      <c r="I2" s="34">
        <v>1018</v>
      </c>
      <c r="J2" s="36" t="s">
        <v>429</v>
      </c>
    </row>
    <row r="3" spans="1:12">
      <c r="A3" s="4">
        <v>41473</v>
      </c>
      <c r="C3" s="32">
        <v>0.69444444444444442</v>
      </c>
      <c r="D3" s="29"/>
      <c r="E3" s="35">
        <v>251</v>
      </c>
      <c r="F3" s="32">
        <v>0</v>
      </c>
      <c r="G3" s="33">
        <v>27</v>
      </c>
      <c r="H3" s="32">
        <v>17.899999999999999</v>
      </c>
      <c r="I3" s="34">
        <v>1016.7</v>
      </c>
      <c r="J3" s="36" t="s">
        <v>429</v>
      </c>
    </row>
    <row r="4" spans="1:12">
      <c r="A4" s="4">
        <v>41474</v>
      </c>
      <c r="C4" s="32">
        <v>0.77777777777777768</v>
      </c>
      <c r="D4" s="29"/>
      <c r="E4" s="35">
        <v>225</v>
      </c>
      <c r="F4" s="32">
        <v>0</v>
      </c>
      <c r="G4" s="33">
        <v>86</v>
      </c>
      <c r="H4" s="32">
        <v>17.3</v>
      </c>
      <c r="I4" s="34">
        <v>1014.5</v>
      </c>
      <c r="J4" s="36" t="s">
        <v>429</v>
      </c>
    </row>
    <row r="5" spans="1:12">
      <c r="A5" s="4">
        <v>41475</v>
      </c>
      <c r="C5" s="32">
        <v>1.8055555555555556</v>
      </c>
      <c r="D5" s="29"/>
      <c r="E5" s="35">
        <v>293</v>
      </c>
      <c r="F5" s="32">
        <v>0</v>
      </c>
      <c r="G5" s="33">
        <v>63</v>
      </c>
      <c r="H5" s="32">
        <v>21.2</v>
      </c>
      <c r="I5" s="34">
        <v>1013.9</v>
      </c>
      <c r="J5" s="36" t="s">
        <v>429</v>
      </c>
    </row>
    <row r="6" spans="1:12">
      <c r="A6" s="4">
        <v>41476</v>
      </c>
      <c r="C6" s="32">
        <v>1.5277777777777777</v>
      </c>
      <c r="D6" s="29"/>
      <c r="E6" s="35">
        <v>300</v>
      </c>
      <c r="F6" s="32">
        <v>0</v>
      </c>
      <c r="G6" s="33">
        <v>65</v>
      </c>
      <c r="H6" s="32">
        <v>20.399999999999999</v>
      </c>
      <c r="I6" s="34">
        <v>1015.3</v>
      </c>
      <c r="J6" s="36" t="s">
        <v>429</v>
      </c>
    </row>
    <row r="7" spans="1:12">
      <c r="A7" s="4">
        <v>41477</v>
      </c>
      <c r="C7" s="32">
        <v>1.5</v>
      </c>
      <c r="D7" s="29"/>
      <c r="E7" s="35">
        <v>318</v>
      </c>
      <c r="F7" s="32">
        <v>0</v>
      </c>
      <c r="G7" s="33">
        <v>71</v>
      </c>
      <c r="H7" s="32">
        <v>20.100000000000001</v>
      </c>
      <c r="I7" s="34">
        <v>1015.6</v>
      </c>
      <c r="J7" s="36" t="s">
        <v>429</v>
      </c>
    </row>
    <row r="8" spans="1:12">
      <c r="A8" s="4">
        <v>41478</v>
      </c>
      <c r="C8" s="32">
        <v>1.4722222222222221</v>
      </c>
      <c r="D8" s="29"/>
      <c r="E8" s="35">
        <v>308</v>
      </c>
      <c r="F8" s="32">
        <v>0</v>
      </c>
      <c r="G8" s="33">
        <v>68</v>
      </c>
      <c r="H8" s="32">
        <v>20.399999999999999</v>
      </c>
      <c r="I8" s="34">
        <v>1015.8</v>
      </c>
      <c r="J8" s="36" t="s">
        <v>429</v>
      </c>
    </row>
    <row r="9" spans="1:12">
      <c r="A9" s="4">
        <v>41479</v>
      </c>
      <c r="C9" s="32">
        <v>1.3333333333333333</v>
      </c>
      <c r="D9" s="29"/>
      <c r="E9" s="35">
        <v>301</v>
      </c>
      <c r="F9" s="32">
        <v>0</v>
      </c>
      <c r="G9" s="33">
        <v>71</v>
      </c>
      <c r="H9" s="32">
        <v>21.8</v>
      </c>
      <c r="I9" s="34">
        <v>1016.7</v>
      </c>
      <c r="J9" s="36" t="s">
        <v>429</v>
      </c>
    </row>
    <row r="10" spans="1:12">
      <c r="A10" s="4">
        <v>41480</v>
      </c>
      <c r="C10" s="32">
        <v>1.5833333333333333</v>
      </c>
      <c r="D10" s="29"/>
      <c r="E10" s="35">
        <v>294</v>
      </c>
      <c r="F10" s="32">
        <v>0</v>
      </c>
      <c r="G10" s="33">
        <v>75</v>
      </c>
      <c r="H10" s="32">
        <v>21.6</v>
      </c>
      <c r="I10" s="34">
        <v>1015.8</v>
      </c>
      <c r="J10" s="36" t="s">
        <v>430</v>
      </c>
    </row>
    <row r="11" spans="1:12">
      <c r="A11" s="4">
        <v>41481</v>
      </c>
      <c r="C11" s="32">
        <v>1.3611111111111112</v>
      </c>
      <c r="D11" s="29"/>
      <c r="E11" s="35">
        <v>289</v>
      </c>
      <c r="F11" s="32">
        <v>0</v>
      </c>
      <c r="G11" s="33">
        <v>70</v>
      </c>
      <c r="H11" s="32">
        <v>19.600000000000001</v>
      </c>
      <c r="I11" s="34">
        <v>1012.4</v>
      </c>
      <c r="J11" s="36" t="s">
        <v>430</v>
      </c>
    </row>
    <row r="12" spans="1:12">
      <c r="A12" s="4">
        <v>41482</v>
      </c>
      <c r="C12" s="32">
        <v>2.3333333333333335</v>
      </c>
      <c r="D12" s="29"/>
      <c r="E12" s="35">
        <v>226</v>
      </c>
      <c r="F12" s="32">
        <v>0</v>
      </c>
      <c r="G12" s="33">
        <v>64</v>
      </c>
      <c r="H12" s="32">
        <v>20.100000000000001</v>
      </c>
      <c r="I12" s="34">
        <v>1010.9</v>
      </c>
      <c r="J12" s="36" t="s">
        <v>430</v>
      </c>
    </row>
    <row r="13" spans="1:12">
      <c r="A13" s="4">
        <v>41483</v>
      </c>
      <c r="C13" s="32">
        <v>2.1388888888888888</v>
      </c>
      <c r="D13" s="29"/>
      <c r="E13" s="35">
        <v>221</v>
      </c>
      <c r="F13" s="32">
        <v>0</v>
      </c>
      <c r="G13" s="33">
        <v>68</v>
      </c>
      <c r="H13" s="32">
        <v>20.3</v>
      </c>
      <c r="I13" s="34">
        <v>1015.5</v>
      </c>
      <c r="J13" s="36" t="s">
        <v>430</v>
      </c>
    </row>
    <row r="14" spans="1:12">
      <c r="A14" s="4">
        <v>41484</v>
      </c>
      <c r="C14" s="32">
        <v>1.3055555555555556</v>
      </c>
      <c r="D14" s="29"/>
      <c r="E14" s="35">
        <v>299</v>
      </c>
      <c r="F14" s="32">
        <v>0</v>
      </c>
      <c r="G14" s="33">
        <v>71</v>
      </c>
      <c r="H14" s="32">
        <v>20.5</v>
      </c>
      <c r="I14" s="34">
        <v>1022.2</v>
      </c>
      <c r="J14" s="36" t="s">
        <v>430</v>
      </c>
    </row>
    <row r="15" spans="1:12">
      <c r="A15" s="4">
        <v>41485</v>
      </c>
      <c r="C15" s="32">
        <v>1.3888888888888888</v>
      </c>
      <c r="D15" s="29"/>
      <c r="E15" s="35">
        <v>327</v>
      </c>
      <c r="F15" s="32">
        <v>0</v>
      </c>
      <c r="G15" s="33">
        <v>68</v>
      </c>
      <c r="H15" s="32">
        <v>21.6</v>
      </c>
      <c r="I15" s="34">
        <v>1020.7</v>
      </c>
      <c r="J15" s="36" t="s">
        <v>430</v>
      </c>
    </row>
    <row r="16" spans="1:12">
      <c r="A16" s="4">
        <v>41486</v>
      </c>
      <c r="C16" s="32">
        <v>1.3055555555555556</v>
      </c>
      <c r="D16" s="29"/>
      <c r="E16" s="35">
        <v>319</v>
      </c>
      <c r="F16" s="32">
        <v>0</v>
      </c>
      <c r="G16" s="33">
        <v>74</v>
      </c>
      <c r="H16" s="32">
        <v>21.3</v>
      </c>
      <c r="I16" s="34">
        <v>1015.1</v>
      </c>
      <c r="J16" s="36" t="s">
        <v>430</v>
      </c>
    </row>
    <row r="17" spans="1:10">
      <c r="A17" s="4">
        <v>41487</v>
      </c>
      <c r="C17" s="32">
        <v>1.1944444444444444</v>
      </c>
      <c r="D17" s="29"/>
      <c r="E17" s="35">
        <v>286</v>
      </c>
      <c r="F17" s="32">
        <v>0</v>
      </c>
      <c r="G17" s="33">
        <v>68</v>
      </c>
      <c r="H17" s="32">
        <v>21.8</v>
      </c>
      <c r="I17" s="34">
        <v>1012.1</v>
      </c>
      <c r="J17" s="36" t="s">
        <v>430</v>
      </c>
    </row>
    <row r="18" spans="1:10">
      <c r="A18" s="4">
        <v>41488</v>
      </c>
      <c r="C18" s="32">
        <v>1.7777777777777779</v>
      </c>
      <c r="D18" s="29"/>
      <c r="E18" s="35">
        <v>269</v>
      </c>
      <c r="F18" s="32">
        <v>0</v>
      </c>
      <c r="G18" s="33">
        <v>69</v>
      </c>
      <c r="H18" s="32">
        <v>21.1</v>
      </c>
      <c r="I18" s="34">
        <v>1016.4</v>
      </c>
      <c r="J18" s="36" t="s">
        <v>430</v>
      </c>
    </row>
    <row r="19" spans="1:10">
      <c r="A19" s="4">
        <v>41489</v>
      </c>
      <c r="C19" s="32">
        <v>2.0555555555555558</v>
      </c>
      <c r="D19" s="29"/>
      <c r="E19" s="35">
        <v>327</v>
      </c>
      <c r="F19" s="32">
        <v>0</v>
      </c>
      <c r="G19" s="33">
        <v>68</v>
      </c>
      <c r="H19" s="32">
        <v>19.899999999999999</v>
      </c>
      <c r="I19" s="34">
        <v>1019.9</v>
      </c>
      <c r="J19" s="36" t="s">
        <v>430</v>
      </c>
    </row>
    <row r="20" spans="1:10">
      <c r="A20" s="4">
        <v>41490</v>
      </c>
      <c r="C20" s="32">
        <v>1.9722222222222221</v>
      </c>
      <c r="D20" s="29"/>
      <c r="E20" s="35">
        <v>321</v>
      </c>
      <c r="F20" s="32">
        <v>0</v>
      </c>
      <c r="G20" s="33">
        <v>70</v>
      </c>
      <c r="H20" s="32">
        <v>20.3</v>
      </c>
      <c r="I20" s="34">
        <v>1019.2</v>
      </c>
      <c r="J20" s="36" t="s">
        <v>430</v>
      </c>
    </row>
    <row r="21" spans="1:10">
      <c r="A21" s="4">
        <v>41491</v>
      </c>
      <c r="C21" s="32">
        <v>1.8055555555555556</v>
      </c>
      <c r="D21" s="29"/>
      <c r="E21" s="35">
        <v>326</v>
      </c>
      <c r="F21" s="32">
        <v>0</v>
      </c>
      <c r="G21" s="33">
        <v>74</v>
      </c>
      <c r="H21" s="32">
        <v>20.9</v>
      </c>
      <c r="I21" s="34">
        <v>1017</v>
      </c>
      <c r="J21" s="36" t="s">
        <v>430</v>
      </c>
    </row>
    <row r="22" spans="1:10">
      <c r="A22" s="4">
        <v>41492</v>
      </c>
      <c r="C22" s="32">
        <v>2.3055555555555558</v>
      </c>
      <c r="D22" s="29"/>
      <c r="E22" s="35">
        <v>327</v>
      </c>
      <c r="F22" s="32">
        <v>0</v>
      </c>
      <c r="G22" s="33">
        <v>74</v>
      </c>
      <c r="H22" s="32">
        <v>20.6</v>
      </c>
      <c r="I22" s="34">
        <v>1016.2</v>
      </c>
      <c r="J22" s="36" t="s">
        <v>430</v>
      </c>
    </row>
    <row r="23" spans="1:10">
      <c r="A23" s="4">
        <v>41493</v>
      </c>
      <c r="C23" s="32">
        <v>2.1388888888888888</v>
      </c>
      <c r="D23" s="29"/>
      <c r="E23" s="35">
        <v>319</v>
      </c>
      <c r="F23" s="32">
        <v>0</v>
      </c>
      <c r="G23" s="33">
        <v>72</v>
      </c>
      <c r="H23" s="32">
        <v>19.600000000000001</v>
      </c>
      <c r="I23" s="34">
        <v>1015.6</v>
      </c>
      <c r="J23" s="36" t="s">
        <v>430</v>
      </c>
    </row>
    <row r="24" spans="1:10">
      <c r="A24" s="4">
        <v>41494</v>
      </c>
      <c r="C24" s="32">
        <v>2.2222222222222223</v>
      </c>
      <c r="D24" s="29"/>
      <c r="E24" s="35">
        <v>327</v>
      </c>
      <c r="F24" s="32">
        <v>0</v>
      </c>
      <c r="G24" s="33">
        <v>67</v>
      </c>
      <c r="H24" s="32">
        <v>20.6</v>
      </c>
      <c r="I24" s="34">
        <v>1018.5</v>
      </c>
      <c r="J24" s="36" t="s">
        <v>430</v>
      </c>
    </row>
    <row r="25" spans="1:10">
      <c r="A25" s="4">
        <v>41495</v>
      </c>
      <c r="C25" s="32">
        <v>1.5277777777777777</v>
      </c>
      <c r="D25" s="29"/>
      <c r="E25" s="35">
        <v>334</v>
      </c>
      <c r="F25" s="32">
        <v>0</v>
      </c>
      <c r="G25" s="33">
        <v>59</v>
      </c>
      <c r="H25" s="32">
        <v>23.2</v>
      </c>
      <c r="I25" s="34">
        <v>1019.3</v>
      </c>
      <c r="J25" s="36" t="s">
        <v>430</v>
      </c>
    </row>
    <row r="26" spans="1:10">
      <c r="A26" s="4">
        <v>41496</v>
      </c>
      <c r="C26" s="32">
        <v>1.2222222222222223</v>
      </c>
      <c r="D26" s="29"/>
      <c r="E26" s="35">
        <v>311</v>
      </c>
      <c r="F26" s="32">
        <v>0</v>
      </c>
      <c r="G26" s="33">
        <v>57.999999999999993</v>
      </c>
      <c r="H26" s="32">
        <v>24.5</v>
      </c>
      <c r="I26" s="34">
        <v>1016.5</v>
      </c>
      <c r="J26" s="36" t="s">
        <v>430</v>
      </c>
    </row>
    <row r="27" spans="1:10">
      <c r="A27" s="4">
        <v>41497</v>
      </c>
      <c r="C27" s="32">
        <v>0.86111111111111116</v>
      </c>
      <c r="D27" s="29"/>
      <c r="E27" s="35">
        <v>290</v>
      </c>
      <c r="F27" s="32">
        <v>0</v>
      </c>
      <c r="G27" s="33">
        <v>70</v>
      </c>
      <c r="H27" s="32">
        <v>23.7</v>
      </c>
      <c r="I27" s="34">
        <v>1014.5</v>
      </c>
      <c r="J27" s="36" t="s">
        <v>430</v>
      </c>
    </row>
    <row r="28" spans="1:10">
      <c r="A28" s="4">
        <v>41498</v>
      </c>
      <c r="C28" s="32">
        <v>1.5277777777777777</v>
      </c>
      <c r="D28" s="29"/>
      <c r="E28" s="35">
        <v>251</v>
      </c>
      <c r="F28" s="32">
        <v>0</v>
      </c>
      <c r="G28" s="33">
        <v>71</v>
      </c>
      <c r="H28" s="32">
        <v>22</v>
      </c>
      <c r="I28" s="34">
        <v>1013.8</v>
      </c>
      <c r="J28" s="36" t="s">
        <v>430</v>
      </c>
    </row>
    <row r="29" spans="1:10">
      <c r="A29" s="4">
        <v>41499</v>
      </c>
      <c r="C29" s="32">
        <v>1.3611111111111112</v>
      </c>
      <c r="D29" s="29"/>
      <c r="E29" s="35">
        <v>303</v>
      </c>
      <c r="F29" s="32">
        <v>0</v>
      </c>
      <c r="G29" s="33">
        <v>70</v>
      </c>
      <c r="H29" s="32">
        <v>23.2</v>
      </c>
      <c r="I29" s="34">
        <v>1013.9</v>
      </c>
      <c r="J29" s="36" t="s">
        <v>430</v>
      </c>
    </row>
    <row r="30" spans="1:10">
      <c r="A30" s="4">
        <v>41500</v>
      </c>
      <c r="C30" s="32">
        <v>1.0555555555555556</v>
      </c>
      <c r="D30" s="29"/>
      <c r="E30" s="35">
        <v>296</v>
      </c>
      <c r="F30" s="32">
        <v>0</v>
      </c>
      <c r="G30" s="33">
        <v>70</v>
      </c>
      <c r="H30" s="32">
        <v>23.7</v>
      </c>
      <c r="I30" s="34">
        <v>1014.5</v>
      </c>
      <c r="J30" s="36" t="s">
        <v>430</v>
      </c>
    </row>
    <row r="31" spans="1:10">
      <c r="A31" s="4">
        <v>41501</v>
      </c>
      <c r="C31" s="32">
        <v>1.0833333333333333</v>
      </c>
      <c r="D31" s="29"/>
      <c r="E31" s="35">
        <v>303</v>
      </c>
      <c r="F31" s="32">
        <v>0</v>
      </c>
      <c r="G31" s="33">
        <v>77</v>
      </c>
      <c r="H31" s="32">
        <v>22.2</v>
      </c>
      <c r="I31" s="34">
        <v>1016.3</v>
      </c>
      <c r="J31" s="36" t="s">
        <v>430</v>
      </c>
    </row>
    <row r="32" spans="1:10">
      <c r="A32" s="4">
        <v>41502</v>
      </c>
      <c r="C32" s="32">
        <v>2.5</v>
      </c>
      <c r="D32" s="29"/>
      <c r="E32" s="35">
        <v>321</v>
      </c>
      <c r="F32" s="32">
        <v>0</v>
      </c>
      <c r="G32" s="33">
        <v>84</v>
      </c>
      <c r="H32" s="32">
        <v>19.600000000000001</v>
      </c>
      <c r="I32" s="34">
        <v>1018.7</v>
      </c>
      <c r="J32" s="36" t="s">
        <v>430</v>
      </c>
    </row>
    <row r="33" spans="1:10">
      <c r="A33" s="4">
        <v>41503</v>
      </c>
      <c r="C33" s="32">
        <v>2.5</v>
      </c>
      <c r="D33" s="29"/>
      <c r="E33" s="35">
        <v>317</v>
      </c>
      <c r="F33" s="32">
        <v>0</v>
      </c>
      <c r="G33" s="33">
        <v>77</v>
      </c>
      <c r="H33" s="32">
        <v>21.2</v>
      </c>
      <c r="I33" s="34">
        <v>1017.5</v>
      </c>
      <c r="J33" s="36" t="s">
        <v>430</v>
      </c>
    </row>
    <row r="34" spans="1:10">
      <c r="A34" s="4">
        <v>41504</v>
      </c>
      <c r="C34" s="32">
        <v>1.8888888888888888</v>
      </c>
      <c r="D34" s="29"/>
      <c r="E34" s="35">
        <v>312</v>
      </c>
      <c r="F34" s="32">
        <v>0</v>
      </c>
      <c r="G34" s="33">
        <v>81</v>
      </c>
      <c r="H34" s="32">
        <v>20.6</v>
      </c>
      <c r="I34" s="34">
        <v>1016.4</v>
      </c>
      <c r="J34" s="36" t="s">
        <v>430</v>
      </c>
    </row>
    <row r="35" spans="1:10">
      <c r="A35" s="4">
        <v>41505</v>
      </c>
      <c r="C35" s="32">
        <v>1.4444444444444444</v>
      </c>
      <c r="D35" s="29"/>
      <c r="E35" s="35">
        <v>300</v>
      </c>
      <c r="F35" s="32">
        <v>0</v>
      </c>
      <c r="G35" s="33">
        <v>72</v>
      </c>
      <c r="H35" s="32">
        <v>22.2</v>
      </c>
      <c r="I35" s="34">
        <v>1017.1</v>
      </c>
      <c r="J35" s="36" t="s">
        <v>430</v>
      </c>
    </row>
    <row r="36" spans="1:10">
      <c r="A36" s="4">
        <v>41506</v>
      </c>
      <c r="C36" s="32">
        <v>1.0277777777777779</v>
      </c>
      <c r="D36" s="29"/>
      <c r="E36" s="35">
        <v>296</v>
      </c>
      <c r="F36" s="32">
        <v>0</v>
      </c>
      <c r="G36" s="33">
        <v>62</v>
      </c>
      <c r="H36" s="32">
        <v>23.4</v>
      </c>
      <c r="I36" s="34">
        <v>1015.8</v>
      </c>
      <c r="J36" s="36" t="s">
        <v>430</v>
      </c>
    </row>
    <row r="37" spans="1:10">
      <c r="A37" s="4">
        <v>41507</v>
      </c>
      <c r="C37" s="32">
        <v>1.25</v>
      </c>
      <c r="D37" s="29"/>
      <c r="E37" s="35">
        <v>267</v>
      </c>
      <c r="F37" s="32">
        <v>0</v>
      </c>
      <c r="G37" s="33">
        <v>71</v>
      </c>
      <c r="H37" s="32">
        <v>21.4</v>
      </c>
      <c r="I37" s="34">
        <v>1016.9</v>
      </c>
      <c r="J37" s="36" t="s">
        <v>430</v>
      </c>
    </row>
    <row r="38" spans="1:10">
      <c r="A38" s="4">
        <v>41508</v>
      </c>
      <c r="C38" s="32">
        <v>2.0555555555555558</v>
      </c>
      <c r="D38" s="29"/>
      <c r="E38" s="35">
        <v>328</v>
      </c>
      <c r="F38" s="32">
        <v>0</v>
      </c>
      <c r="G38" s="33">
        <v>69</v>
      </c>
      <c r="H38" s="32">
        <v>21.3</v>
      </c>
      <c r="I38" s="34">
        <v>1016.1</v>
      </c>
      <c r="J38" s="36" t="s">
        <v>430</v>
      </c>
    </row>
    <row r="39" spans="1:10">
      <c r="A39" s="4">
        <v>41509</v>
      </c>
      <c r="C39" s="32">
        <v>3.2499999999999996</v>
      </c>
      <c r="D39" s="29"/>
      <c r="E39" s="35">
        <v>325</v>
      </c>
      <c r="F39" s="32">
        <v>0</v>
      </c>
      <c r="G39" s="33">
        <v>75</v>
      </c>
      <c r="H39" s="32">
        <v>20.399999999999999</v>
      </c>
      <c r="I39" s="34">
        <v>1016.1</v>
      </c>
      <c r="J39" s="36" t="s">
        <v>430</v>
      </c>
    </row>
    <row r="40" spans="1:10">
      <c r="A40" s="4">
        <v>41510</v>
      </c>
      <c r="C40" s="32">
        <v>2.6944444444444442</v>
      </c>
      <c r="D40" s="29"/>
      <c r="E40" s="35">
        <v>312</v>
      </c>
      <c r="F40" s="32">
        <v>0</v>
      </c>
      <c r="G40" s="33">
        <v>73</v>
      </c>
      <c r="H40" s="32">
        <v>20.3</v>
      </c>
      <c r="I40" s="34">
        <v>1014.7</v>
      </c>
      <c r="J40" s="36" t="s">
        <v>430</v>
      </c>
    </row>
    <row r="41" spans="1:10">
      <c r="A41" s="4">
        <v>41511</v>
      </c>
      <c r="C41" s="32">
        <v>1.5833333333333333</v>
      </c>
      <c r="D41" s="29"/>
      <c r="E41" s="35">
        <v>309</v>
      </c>
      <c r="F41" s="32">
        <v>0</v>
      </c>
      <c r="G41" s="33">
        <v>66</v>
      </c>
      <c r="H41" s="32">
        <v>20</v>
      </c>
      <c r="I41" s="34">
        <v>1011</v>
      </c>
      <c r="J41" s="36" t="s">
        <v>430</v>
      </c>
    </row>
    <row r="42" spans="1:10">
      <c r="A42" s="4">
        <v>41512</v>
      </c>
      <c r="C42" s="32">
        <v>0.94444444444444442</v>
      </c>
      <c r="D42" s="29"/>
      <c r="E42" s="35">
        <v>278</v>
      </c>
      <c r="F42" s="32">
        <v>0</v>
      </c>
      <c r="G42" s="33">
        <v>67</v>
      </c>
      <c r="H42" s="32">
        <v>19.7</v>
      </c>
      <c r="I42" s="34">
        <v>1007.8</v>
      </c>
      <c r="J42" s="36" t="s">
        <v>430</v>
      </c>
    </row>
    <row r="43" spans="1:10">
      <c r="A43" s="4">
        <v>41513</v>
      </c>
      <c r="C43" s="32">
        <v>1.2222222222222223</v>
      </c>
      <c r="D43" s="29"/>
      <c r="E43" s="35">
        <v>319</v>
      </c>
      <c r="F43" s="32">
        <v>0</v>
      </c>
      <c r="G43" s="33">
        <v>57.999999999999993</v>
      </c>
      <c r="H43" s="32">
        <v>21.5</v>
      </c>
      <c r="I43" s="34">
        <v>1010.3</v>
      </c>
      <c r="J43" s="36" t="s">
        <v>430</v>
      </c>
    </row>
    <row r="44" spans="1:10">
      <c r="A44" s="4">
        <v>41514</v>
      </c>
      <c r="C44" s="32">
        <v>1</v>
      </c>
      <c r="D44" s="29"/>
      <c r="E44" s="35">
        <v>291</v>
      </c>
      <c r="F44" s="32">
        <v>0</v>
      </c>
      <c r="G44" s="33">
        <v>60</v>
      </c>
      <c r="H44" s="32">
        <v>21.4</v>
      </c>
      <c r="I44" s="34">
        <v>1012.1</v>
      </c>
      <c r="J44" s="36" t="s">
        <v>430</v>
      </c>
    </row>
    <row r="45" spans="1:10">
      <c r="A45" s="4">
        <v>41515</v>
      </c>
      <c r="C45" s="32">
        <v>1.25</v>
      </c>
      <c r="D45" s="29"/>
      <c r="E45" s="35">
        <v>16</v>
      </c>
      <c r="F45" s="32">
        <v>0</v>
      </c>
      <c r="G45" s="33">
        <v>56.000000000000007</v>
      </c>
      <c r="H45" s="32">
        <v>21.2</v>
      </c>
      <c r="I45" s="34">
        <v>1014.3</v>
      </c>
      <c r="J45" s="36" t="s">
        <v>430</v>
      </c>
    </row>
    <row r="46" spans="1:10">
      <c r="A46" s="4">
        <v>41516</v>
      </c>
      <c r="C46" s="32">
        <v>1.0277777777777779</v>
      </c>
      <c r="D46" s="29"/>
      <c r="E46" s="35">
        <v>321</v>
      </c>
      <c r="F46" s="32">
        <v>0</v>
      </c>
      <c r="G46" s="33">
        <v>50</v>
      </c>
      <c r="H46" s="32">
        <v>21.8</v>
      </c>
      <c r="I46" s="34">
        <v>1017.1</v>
      </c>
      <c r="J46" s="36" t="s">
        <v>430</v>
      </c>
    </row>
    <row r="47" spans="1:10">
      <c r="A47" s="4">
        <v>41517</v>
      </c>
      <c r="C47" s="32">
        <v>0</v>
      </c>
      <c r="D47" s="29"/>
      <c r="E47" s="35">
        <v>207</v>
      </c>
      <c r="F47" s="32">
        <v>0</v>
      </c>
      <c r="G47" s="33">
        <v>56.999999999999993</v>
      </c>
      <c r="H47" s="32">
        <v>17.3</v>
      </c>
      <c r="I47" s="34">
        <v>1019</v>
      </c>
      <c r="J47" s="36" t="s">
        <v>430</v>
      </c>
    </row>
    <row r="48" spans="1:10">
      <c r="A48" s="4">
        <v>41518</v>
      </c>
      <c r="C48" s="32">
        <v>0.86111111111111116</v>
      </c>
      <c r="D48" s="29"/>
      <c r="E48" s="35">
        <v>321</v>
      </c>
      <c r="F48" s="32">
        <v>0</v>
      </c>
      <c r="G48" s="33">
        <v>49</v>
      </c>
      <c r="H48" s="32">
        <v>22.5</v>
      </c>
      <c r="I48" s="34">
        <v>1017.7</v>
      </c>
      <c r="J48" s="36" t="s">
        <v>430</v>
      </c>
    </row>
    <row r="49" spans="1:10">
      <c r="A49" s="4">
        <v>41519</v>
      </c>
      <c r="C49" s="32">
        <v>0.77777777777777768</v>
      </c>
      <c r="D49" s="29"/>
      <c r="E49" s="35">
        <v>314</v>
      </c>
      <c r="F49" s="32">
        <v>0</v>
      </c>
      <c r="G49" s="33">
        <v>48</v>
      </c>
      <c r="H49" s="32">
        <v>22.9</v>
      </c>
      <c r="I49" s="34">
        <v>1018.9</v>
      </c>
      <c r="J49" s="36" t="s">
        <v>430</v>
      </c>
    </row>
    <row r="50" spans="1:10">
      <c r="A50" s="4">
        <v>41520</v>
      </c>
      <c r="C50" s="32">
        <v>1</v>
      </c>
      <c r="D50" s="29"/>
      <c r="E50" s="35">
        <v>320</v>
      </c>
      <c r="F50" s="32">
        <v>0</v>
      </c>
      <c r="G50" s="33">
        <v>53</v>
      </c>
      <c r="H50" s="32">
        <v>22.9</v>
      </c>
      <c r="I50" s="34">
        <v>1018.8</v>
      </c>
      <c r="J50" s="36" t="s">
        <v>430</v>
      </c>
    </row>
    <row r="51" spans="1:10">
      <c r="A51" s="4">
        <v>41521</v>
      </c>
      <c r="C51" s="32">
        <v>0.75</v>
      </c>
      <c r="D51" s="29"/>
      <c r="E51" s="35">
        <v>295</v>
      </c>
      <c r="F51" s="32">
        <v>0</v>
      </c>
      <c r="G51" s="33">
        <v>61</v>
      </c>
      <c r="H51" s="32">
        <v>21.3</v>
      </c>
      <c r="I51" s="34">
        <v>1015.4</v>
      </c>
      <c r="J51" s="36" t="s">
        <v>430</v>
      </c>
    </row>
    <row r="52" spans="1:10">
      <c r="A52" s="4">
        <v>41522</v>
      </c>
      <c r="C52" s="32">
        <v>1.3611111111111112</v>
      </c>
      <c r="D52" s="29"/>
      <c r="E52" s="35">
        <v>282</v>
      </c>
      <c r="F52" s="32">
        <v>2</v>
      </c>
      <c r="G52" s="33">
        <v>76</v>
      </c>
      <c r="H52" s="32">
        <v>20.3</v>
      </c>
      <c r="I52" s="34">
        <v>1013</v>
      </c>
      <c r="J52" s="36" t="s">
        <v>430</v>
      </c>
    </row>
    <row r="53" spans="1:10">
      <c r="A53" s="4">
        <v>41523</v>
      </c>
      <c r="C53" s="32">
        <v>1.25</v>
      </c>
      <c r="D53" s="29"/>
      <c r="E53" s="35">
        <v>306</v>
      </c>
      <c r="F53" s="32">
        <v>0</v>
      </c>
      <c r="G53" s="33">
        <v>75</v>
      </c>
      <c r="H53" s="32">
        <v>19.600000000000001</v>
      </c>
      <c r="I53" s="34">
        <v>1012.7</v>
      </c>
      <c r="J53" s="36" t="s">
        <v>430</v>
      </c>
    </row>
    <row r="54" spans="1:10">
      <c r="A54" s="4">
        <v>41524</v>
      </c>
      <c r="C54" s="32">
        <v>1.4444444444444444</v>
      </c>
      <c r="D54" s="29"/>
      <c r="E54" s="35">
        <v>286</v>
      </c>
      <c r="F54" s="32">
        <v>0</v>
      </c>
      <c r="G54" s="33">
        <v>75</v>
      </c>
      <c r="H54" s="32">
        <v>17.5</v>
      </c>
      <c r="I54" s="34">
        <v>1013.8</v>
      </c>
      <c r="J54" s="36" t="s">
        <v>430</v>
      </c>
    </row>
    <row r="55" spans="1:10">
      <c r="A55" s="4">
        <v>41525</v>
      </c>
      <c r="C55" s="32">
        <v>1.9722222222222221</v>
      </c>
      <c r="D55" s="29"/>
      <c r="E55" s="35">
        <v>290</v>
      </c>
      <c r="F55" s="32">
        <v>0</v>
      </c>
      <c r="G55" s="33">
        <v>64</v>
      </c>
      <c r="H55" s="32">
        <v>18.399999999999999</v>
      </c>
      <c r="I55" s="34">
        <v>1019.1</v>
      </c>
      <c r="J55" s="36" t="s">
        <v>430</v>
      </c>
    </row>
    <row r="56" spans="1:10">
      <c r="A56" s="4">
        <v>41526</v>
      </c>
      <c r="C56" s="32">
        <v>3.083333333333333</v>
      </c>
      <c r="D56" s="29"/>
      <c r="E56" s="35">
        <v>292</v>
      </c>
      <c r="F56" s="32">
        <v>0</v>
      </c>
      <c r="G56" s="33">
        <v>43</v>
      </c>
      <c r="H56" s="32">
        <v>23</v>
      </c>
      <c r="I56" s="34">
        <v>1020</v>
      </c>
      <c r="J56" s="36" t="s">
        <v>430</v>
      </c>
    </row>
    <row r="57" spans="1:10">
      <c r="A57" s="4">
        <v>41527</v>
      </c>
      <c r="C57" s="32">
        <v>3.083333333333333</v>
      </c>
      <c r="D57" s="29"/>
      <c r="E57" s="35">
        <v>292</v>
      </c>
      <c r="F57" s="32">
        <v>0</v>
      </c>
      <c r="G57" s="33">
        <v>43</v>
      </c>
      <c r="H57" s="32">
        <v>23</v>
      </c>
      <c r="I57" s="34">
        <v>1020</v>
      </c>
      <c r="J57" s="36" t="s">
        <v>430</v>
      </c>
    </row>
    <row r="58" spans="1:10">
      <c r="A58" s="4">
        <v>41528</v>
      </c>
      <c r="C58" s="32">
        <v>2.6388888888888888</v>
      </c>
      <c r="D58" s="29"/>
      <c r="E58" s="35">
        <v>292</v>
      </c>
      <c r="F58" s="32">
        <v>0</v>
      </c>
      <c r="G58" s="33">
        <v>44</v>
      </c>
      <c r="H58" s="32">
        <v>22.7</v>
      </c>
      <c r="I58" s="34">
        <v>1019.1</v>
      </c>
      <c r="J58" s="36" t="s">
        <v>430</v>
      </c>
    </row>
    <row r="59" spans="1:10">
      <c r="A59" s="4">
        <v>41529</v>
      </c>
      <c r="C59" s="32">
        <v>1.1944444444444444</v>
      </c>
      <c r="D59" s="29"/>
      <c r="E59" s="35">
        <v>349</v>
      </c>
      <c r="F59" s="32">
        <v>0</v>
      </c>
      <c r="G59" s="33">
        <v>42</v>
      </c>
      <c r="H59" s="32">
        <v>23.5</v>
      </c>
      <c r="I59" s="34">
        <v>1016.1</v>
      </c>
      <c r="J59" s="36" t="s">
        <v>430</v>
      </c>
    </row>
    <row r="60" spans="1:10">
      <c r="A60" s="4">
        <v>41530</v>
      </c>
      <c r="C60" s="32">
        <v>0.86111111111111116</v>
      </c>
      <c r="D60" s="29"/>
      <c r="E60" s="35">
        <v>291</v>
      </c>
      <c r="F60" s="32">
        <v>0</v>
      </c>
      <c r="G60" s="33">
        <v>41</v>
      </c>
      <c r="H60" s="32">
        <v>22.2</v>
      </c>
      <c r="I60" s="34">
        <v>1018.1</v>
      </c>
      <c r="J60" s="36" t="s">
        <v>430</v>
      </c>
    </row>
    <row r="61" spans="1:10">
      <c r="A61" s="4">
        <v>41531</v>
      </c>
      <c r="C61" s="32">
        <v>1.4722222222222221</v>
      </c>
      <c r="D61" s="29"/>
      <c r="E61" s="35">
        <v>312</v>
      </c>
      <c r="F61" s="32">
        <v>0</v>
      </c>
      <c r="G61" s="33">
        <v>67</v>
      </c>
      <c r="H61" s="32">
        <v>18.600000000000001</v>
      </c>
      <c r="I61" s="34">
        <v>1017.9</v>
      </c>
      <c r="J61" s="36" t="s">
        <v>429</v>
      </c>
    </row>
    <row r="62" spans="1:10">
      <c r="A62" s="4">
        <v>41532</v>
      </c>
      <c r="C62" s="32">
        <v>1.3888888888888888</v>
      </c>
      <c r="D62" s="29"/>
      <c r="E62" s="35">
        <v>295</v>
      </c>
      <c r="F62" s="32">
        <v>0</v>
      </c>
      <c r="G62" s="33">
        <v>75</v>
      </c>
      <c r="H62" s="32">
        <v>19.7</v>
      </c>
      <c r="I62" s="34">
        <v>1015.5</v>
      </c>
      <c r="J62" s="36" t="s">
        <v>429</v>
      </c>
    </row>
    <row r="63" spans="1:10">
      <c r="A63" s="4">
        <v>41533</v>
      </c>
      <c r="C63" s="32">
        <v>1.5833333333333333</v>
      </c>
      <c r="D63" s="29"/>
      <c r="E63" s="35">
        <v>295</v>
      </c>
      <c r="F63" s="32">
        <v>0</v>
      </c>
      <c r="G63" s="33">
        <v>78</v>
      </c>
      <c r="H63" s="32">
        <v>18</v>
      </c>
      <c r="I63" s="34">
        <v>1014.2</v>
      </c>
      <c r="J63" s="36" t="s">
        <v>429</v>
      </c>
    </row>
    <row r="64" spans="1:10">
      <c r="A64" s="4">
        <v>41534</v>
      </c>
      <c r="C64" s="32">
        <v>1.7222222222222223</v>
      </c>
      <c r="D64" s="29"/>
      <c r="E64" s="35">
        <v>290</v>
      </c>
      <c r="F64" s="32">
        <v>0</v>
      </c>
      <c r="G64" s="33">
        <v>72</v>
      </c>
      <c r="H64" s="32">
        <v>18.7</v>
      </c>
      <c r="I64" s="34">
        <v>1013.9</v>
      </c>
      <c r="J64" s="36" t="s">
        <v>429</v>
      </c>
    </row>
    <row r="65" spans="1:10">
      <c r="A65" s="4">
        <v>41535</v>
      </c>
      <c r="C65" s="32">
        <v>1.8611111111111112</v>
      </c>
      <c r="D65" s="29"/>
      <c r="E65" s="35">
        <v>307</v>
      </c>
      <c r="F65" s="32">
        <v>0</v>
      </c>
      <c r="G65" s="33">
        <v>79</v>
      </c>
      <c r="H65" s="32">
        <v>17.600000000000001</v>
      </c>
      <c r="I65" s="34">
        <v>1015.2</v>
      </c>
      <c r="J65" s="36" t="s">
        <v>429</v>
      </c>
    </row>
    <row r="66" spans="1:10">
      <c r="A66" s="4">
        <v>41536</v>
      </c>
      <c r="C66" s="32">
        <v>1.3055555555555556</v>
      </c>
      <c r="D66" s="29"/>
      <c r="E66" s="35">
        <v>313</v>
      </c>
      <c r="F66" s="32">
        <v>0</v>
      </c>
      <c r="G66" s="33">
        <v>72</v>
      </c>
      <c r="H66" s="32">
        <v>20.100000000000001</v>
      </c>
      <c r="I66" s="34">
        <v>1015.1</v>
      </c>
      <c r="J66" s="36" t="s">
        <v>429</v>
      </c>
    </row>
    <row r="67" spans="1:10">
      <c r="A67" s="4">
        <v>41537</v>
      </c>
      <c r="C67" s="32">
        <v>1.1111111111111112</v>
      </c>
      <c r="D67" s="29"/>
      <c r="E67" s="35">
        <v>332</v>
      </c>
      <c r="F67" s="32">
        <v>0</v>
      </c>
      <c r="G67" s="33">
        <v>61</v>
      </c>
      <c r="H67" s="32">
        <v>21.2</v>
      </c>
      <c r="I67" s="34">
        <v>1015.4</v>
      </c>
      <c r="J67" s="36" t="s">
        <v>429</v>
      </c>
    </row>
    <row r="68" spans="1:10">
      <c r="A68" s="4">
        <v>41538</v>
      </c>
      <c r="C68" s="32">
        <v>1</v>
      </c>
      <c r="D68" s="29"/>
      <c r="E68" s="35">
        <v>184</v>
      </c>
      <c r="F68" s="32">
        <v>0</v>
      </c>
      <c r="G68" s="33">
        <v>49</v>
      </c>
      <c r="H68" s="32">
        <v>23.2</v>
      </c>
      <c r="I68" s="34">
        <v>1017.1</v>
      </c>
      <c r="J68" s="36" t="s">
        <v>429</v>
      </c>
    </row>
    <row r="69" spans="1:10">
      <c r="A69" s="4">
        <v>41539</v>
      </c>
      <c r="C69" s="32">
        <v>1.1388888888888888</v>
      </c>
      <c r="D69" s="29"/>
      <c r="E69" s="35">
        <v>118</v>
      </c>
      <c r="F69" s="32">
        <v>0</v>
      </c>
      <c r="G69" s="33">
        <v>48</v>
      </c>
      <c r="H69" s="32">
        <v>22.7</v>
      </c>
      <c r="I69" s="34">
        <v>1017.6</v>
      </c>
      <c r="J69" s="36" t="s">
        <v>429</v>
      </c>
    </row>
    <row r="70" spans="1:10">
      <c r="A70" s="4">
        <v>41540</v>
      </c>
      <c r="C70" s="32">
        <v>1.2777777777777777</v>
      </c>
      <c r="D70" s="29"/>
      <c r="E70" s="35">
        <v>208</v>
      </c>
      <c r="F70" s="32">
        <v>0</v>
      </c>
      <c r="G70" s="33">
        <v>57.999999999999993</v>
      </c>
      <c r="H70" s="32">
        <v>21.7</v>
      </c>
      <c r="I70" s="34">
        <v>1015.4</v>
      </c>
      <c r="J70" s="36" t="s">
        <v>429</v>
      </c>
    </row>
    <row r="71" spans="1:10">
      <c r="A71" s="4">
        <v>41541</v>
      </c>
      <c r="C71" s="32">
        <v>1.3055555555555556</v>
      </c>
      <c r="D71" s="29"/>
      <c r="E71" s="35">
        <v>203</v>
      </c>
      <c r="F71" s="32">
        <v>0</v>
      </c>
      <c r="G71" s="33">
        <v>70</v>
      </c>
      <c r="H71" s="32">
        <v>21.5</v>
      </c>
      <c r="I71" s="34">
        <v>1013.3</v>
      </c>
      <c r="J71" s="36" t="s">
        <v>429</v>
      </c>
    </row>
    <row r="72" spans="1:10">
      <c r="A72" s="4">
        <v>41542</v>
      </c>
      <c r="C72" s="32">
        <v>1.1944444444444444</v>
      </c>
      <c r="D72" s="29"/>
      <c r="E72" s="35">
        <v>172</v>
      </c>
      <c r="F72" s="32">
        <v>4</v>
      </c>
      <c r="G72" s="33">
        <v>87</v>
      </c>
      <c r="H72" s="32">
        <v>18.899999999999999</v>
      </c>
      <c r="I72" s="34">
        <v>1011</v>
      </c>
      <c r="J72" s="36" t="s">
        <v>429</v>
      </c>
    </row>
    <row r="73" spans="1:10">
      <c r="A73" s="4">
        <v>41543</v>
      </c>
      <c r="C73" s="32">
        <v>3.3055555555555554</v>
      </c>
      <c r="D73" s="29"/>
      <c r="E73" s="35">
        <v>166</v>
      </c>
      <c r="F73" s="32">
        <v>0</v>
      </c>
      <c r="G73" s="33">
        <v>75</v>
      </c>
      <c r="H73" s="32">
        <v>19.899999999999999</v>
      </c>
      <c r="I73" s="34">
        <v>1009.1</v>
      </c>
      <c r="J73" s="36" t="s">
        <v>429</v>
      </c>
    </row>
    <row r="74" spans="1:10">
      <c r="A74" s="4">
        <v>41544</v>
      </c>
      <c r="C74" s="32">
        <v>4.1944444444444446</v>
      </c>
      <c r="D74" s="29"/>
      <c r="E74" s="35">
        <v>172</v>
      </c>
      <c r="F74" s="32">
        <v>3</v>
      </c>
      <c r="G74" s="33">
        <v>80</v>
      </c>
      <c r="H74" s="32">
        <v>20.399999999999999</v>
      </c>
      <c r="I74" s="34">
        <v>1004.7</v>
      </c>
      <c r="J74" s="36" t="s">
        <v>429</v>
      </c>
    </row>
    <row r="75" spans="1:10">
      <c r="A75" s="4">
        <v>41545</v>
      </c>
      <c r="C75" s="32">
        <v>3.8333333333333335</v>
      </c>
      <c r="D75" s="29"/>
      <c r="E75" s="35">
        <v>211</v>
      </c>
      <c r="F75" s="32">
        <v>15.4</v>
      </c>
      <c r="G75" s="33">
        <v>85</v>
      </c>
      <c r="H75" s="32">
        <v>19.399999999999999</v>
      </c>
      <c r="I75" s="34">
        <v>1004.2</v>
      </c>
      <c r="J75" s="36" t="s">
        <v>429</v>
      </c>
    </row>
    <row r="76" spans="1:10">
      <c r="A76" s="4">
        <v>41546</v>
      </c>
      <c r="C76" s="32">
        <v>2.3333333333333335</v>
      </c>
      <c r="D76" s="29"/>
      <c r="E76" s="35">
        <v>195</v>
      </c>
      <c r="F76" s="32">
        <v>4</v>
      </c>
      <c r="G76" s="33">
        <v>92</v>
      </c>
      <c r="H76" s="32">
        <v>19</v>
      </c>
      <c r="I76" s="34">
        <v>1008.3</v>
      </c>
      <c r="J76" s="36" t="s">
        <v>429</v>
      </c>
    </row>
    <row r="77" spans="1:10">
      <c r="A77" s="4">
        <v>41547</v>
      </c>
      <c r="C77" s="32">
        <v>2.5833333333333335</v>
      </c>
      <c r="D77" s="29"/>
      <c r="E77" s="35">
        <v>225</v>
      </c>
      <c r="F77" s="32">
        <v>0</v>
      </c>
      <c r="G77" s="33">
        <v>97</v>
      </c>
      <c r="H77" s="32">
        <v>19.600000000000001</v>
      </c>
      <c r="I77" s="34">
        <v>1008</v>
      </c>
      <c r="J77" s="36" t="s">
        <v>429</v>
      </c>
    </row>
    <row r="78" spans="1:10">
      <c r="A78" s="4">
        <v>41548</v>
      </c>
      <c r="C78" s="32">
        <v>2.4444444444444446</v>
      </c>
      <c r="D78" s="29"/>
      <c r="E78" s="35">
        <v>194</v>
      </c>
      <c r="F78" s="32">
        <v>12.3</v>
      </c>
      <c r="G78" s="33">
        <v>94</v>
      </c>
      <c r="H78" s="32">
        <v>20</v>
      </c>
      <c r="I78" s="34">
        <v>1007.8</v>
      </c>
      <c r="J78" s="36" t="s">
        <v>429</v>
      </c>
    </row>
    <row r="79" spans="1:10">
      <c r="A79" s="4">
        <v>41549</v>
      </c>
      <c r="C79" s="32">
        <v>1.8055555555555556</v>
      </c>
      <c r="D79" s="29"/>
      <c r="E79" s="35">
        <v>169</v>
      </c>
      <c r="F79" s="32">
        <v>1</v>
      </c>
      <c r="G79" s="33">
        <v>91</v>
      </c>
      <c r="H79" s="32">
        <v>19.2</v>
      </c>
      <c r="I79" s="34">
        <v>1006.2</v>
      </c>
      <c r="J79" s="36" t="s">
        <v>429</v>
      </c>
    </row>
    <row r="80" spans="1:10">
      <c r="A80" s="4">
        <v>41550</v>
      </c>
      <c r="C80" s="32">
        <v>2.5555555555555554</v>
      </c>
      <c r="D80" s="29"/>
      <c r="E80" s="35">
        <v>202</v>
      </c>
      <c r="F80" s="32">
        <v>1</v>
      </c>
      <c r="G80" s="33">
        <v>78</v>
      </c>
      <c r="H80" s="32">
        <v>19.899999999999999</v>
      </c>
      <c r="I80" s="34">
        <v>1008</v>
      </c>
      <c r="J80" s="36" t="s">
        <v>429</v>
      </c>
    </row>
    <row r="81" spans="1:10">
      <c r="A81" s="4">
        <v>41551</v>
      </c>
      <c r="C81" s="32">
        <v>0.88888888888888895</v>
      </c>
      <c r="D81" s="29"/>
      <c r="E81" s="35">
        <v>235</v>
      </c>
      <c r="F81" s="32">
        <v>0</v>
      </c>
      <c r="G81" s="33">
        <v>83</v>
      </c>
      <c r="H81" s="32">
        <v>18.100000000000001</v>
      </c>
      <c r="I81" s="34">
        <v>1015.9</v>
      </c>
      <c r="J81" s="36" t="s">
        <v>429</v>
      </c>
    </row>
    <row r="82" spans="1:10">
      <c r="A82" s="4">
        <v>41552</v>
      </c>
      <c r="C82" s="32">
        <v>1.1388888888888888</v>
      </c>
      <c r="D82" s="29"/>
      <c r="E82" s="35">
        <v>333</v>
      </c>
      <c r="F82" s="32">
        <v>0</v>
      </c>
      <c r="G82" s="33">
        <v>86</v>
      </c>
      <c r="H82" s="32">
        <v>17.5</v>
      </c>
      <c r="I82" s="34">
        <v>1021.3</v>
      </c>
      <c r="J82" s="36" t="s">
        <v>429</v>
      </c>
    </row>
    <row r="83" spans="1:10">
      <c r="A83" s="4">
        <v>41553</v>
      </c>
      <c r="C83" s="32">
        <v>1.0277777777777779</v>
      </c>
      <c r="D83" s="29"/>
      <c r="E83" s="35">
        <v>325</v>
      </c>
      <c r="F83" s="32">
        <v>0</v>
      </c>
      <c r="G83" s="33">
        <v>78</v>
      </c>
      <c r="H83" s="32">
        <v>18.8</v>
      </c>
      <c r="I83" s="34">
        <v>1019.8</v>
      </c>
      <c r="J83" s="36" t="s">
        <v>429</v>
      </c>
    </row>
    <row r="84" spans="1:10">
      <c r="A84" s="4">
        <v>41554</v>
      </c>
      <c r="C84" s="32">
        <v>0.83333333333333326</v>
      </c>
      <c r="D84" s="29"/>
      <c r="E84" s="35">
        <v>337</v>
      </c>
      <c r="F84" s="32">
        <v>0</v>
      </c>
      <c r="G84" s="33">
        <v>73</v>
      </c>
      <c r="H84" s="32">
        <v>17.899999999999999</v>
      </c>
      <c r="I84" s="34">
        <v>1018.2</v>
      </c>
      <c r="J84" s="36" t="s">
        <v>429</v>
      </c>
    </row>
    <row r="85" spans="1:10">
      <c r="A85" s="4">
        <v>41555</v>
      </c>
      <c r="C85" s="32">
        <v>0.66666666666666663</v>
      </c>
      <c r="D85" s="29"/>
      <c r="E85" s="35">
        <v>342</v>
      </c>
      <c r="F85" s="32">
        <v>0</v>
      </c>
      <c r="G85" s="33">
        <v>72</v>
      </c>
      <c r="H85" s="32">
        <v>17.5</v>
      </c>
      <c r="I85" s="34">
        <v>1018</v>
      </c>
      <c r="J85" s="36" t="s">
        <v>429</v>
      </c>
    </row>
    <row r="86" spans="1:10">
      <c r="A86" s="4">
        <v>41556</v>
      </c>
      <c r="C86" s="32">
        <v>0.88888888888888895</v>
      </c>
      <c r="D86" s="29"/>
      <c r="E86" s="35">
        <v>20</v>
      </c>
      <c r="F86" s="32">
        <v>0</v>
      </c>
      <c r="G86" s="33">
        <v>67</v>
      </c>
      <c r="H86" s="32">
        <v>18.7</v>
      </c>
      <c r="I86" s="34">
        <v>1016.1</v>
      </c>
      <c r="J86" s="36" t="s">
        <v>429</v>
      </c>
    </row>
    <row r="87" spans="1:10">
      <c r="A87" s="4">
        <v>41557</v>
      </c>
      <c r="C87" s="32">
        <v>0.52777777777777779</v>
      </c>
      <c r="D87" s="29"/>
      <c r="E87" s="35">
        <v>260</v>
      </c>
      <c r="F87" s="32">
        <v>0</v>
      </c>
      <c r="G87" s="33">
        <v>67</v>
      </c>
      <c r="H87" s="32">
        <v>18.3</v>
      </c>
      <c r="I87" s="34">
        <v>1013.7</v>
      </c>
      <c r="J87" s="36" t="s">
        <v>429</v>
      </c>
    </row>
    <row r="88" spans="1:10">
      <c r="A88" s="4">
        <v>41558</v>
      </c>
      <c r="C88" s="32">
        <v>0.88888888888888895</v>
      </c>
      <c r="D88" s="29"/>
      <c r="E88" s="35">
        <v>258</v>
      </c>
      <c r="F88" s="32">
        <v>0</v>
      </c>
      <c r="G88" s="33">
        <v>78</v>
      </c>
      <c r="H88" s="32">
        <v>16.600000000000001</v>
      </c>
      <c r="I88" s="34">
        <v>1012.4</v>
      </c>
      <c r="J88" s="36" t="s">
        <v>429</v>
      </c>
    </row>
    <row r="89" spans="1:10">
      <c r="A89" s="4">
        <v>41559</v>
      </c>
      <c r="C89" s="32">
        <v>0.80555555555555547</v>
      </c>
      <c r="D89" s="29"/>
      <c r="E89" s="35">
        <v>244</v>
      </c>
      <c r="F89" s="32">
        <v>0</v>
      </c>
      <c r="G89" s="33">
        <v>71</v>
      </c>
      <c r="H89" s="32">
        <v>16.899999999999999</v>
      </c>
      <c r="I89" s="34">
        <v>1015.1</v>
      </c>
      <c r="J89" s="36" t="s">
        <v>429</v>
      </c>
    </row>
    <row r="90" spans="1:10">
      <c r="A90" s="4">
        <v>41560</v>
      </c>
      <c r="C90" s="32">
        <v>1.0833333333333333</v>
      </c>
      <c r="D90" s="29"/>
      <c r="E90" s="35">
        <v>202</v>
      </c>
      <c r="F90" s="32">
        <v>0</v>
      </c>
      <c r="G90" s="33">
        <v>79</v>
      </c>
      <c r="H90" s="32">
        <v>16.3</v>
      </c>
      <c r="I90" s="34">
        <v>1018.9</v>
      </c>
      <c r="J90" s="36" t="s">
        <v>429</v>
      </c>
    </row>
    <row r="91" spans="1:10">
      <c r="A91" s="4">
        <v>41561</v>
      </c>
      <c r="C91" s="32">
        <v>1.1944444444444444</v>
      </c>
      <c r="D91" s="29"/>
      <c r="E91" s="35">
        <v>191</v>
      </c>
      <c r="F91" s="32">
        <v>0</v>
      </c>
      <c r="G91" s="33">
        <v>84</v>
      </c>
      <c r="H91" s="32">
        <v>17.600000000000001</v>
      </c>
      <c r="I91" s="34">
        <v>1017.9</v>
      </c>
      <c r="J91" s="36" t="s">
        <v>429</v>
      </c>
    </row>
    <row r="92" spans="1:10">
      <c r="A92" s="4">
        <v>41562</v>
      </c>
      <c r="C92" s="32">
        <v>1.25</v>
      </c>
      <c r="D92" s="32"/>
      <c r="E92" s="35">
        <v>208</v>
      </c>
      <c r="F92" s="32">
        <v>0</v>
      </c>
      <c r="G92" s="33">
        <v>86</v>
      </c>
      <c r="H92" s="32">
        <v>19</v>
      </c>
      <c r="I92" s="34">
        <v>1018.7</v>
      </c>
      <c r="J92" s="36" t="s">
        <v>429</v>
      </c>
    </row>
    <row r="93" spans="1:10">
      <c r="A93" s="4">
        <v>41563</v>
      </c>
      <c r="C93" s="32">
        <v>0.75</v>
      </c>
      <c r="D93" s="29"/>
      <c r="E93" s="35">
        <v>205</v>
      </c>
      <c r="F93" s="32">
        <v>0</v>
      </c>
      <c r="G93" s="33">
        <v>85</v>
      </c>
      <c r="H93" s="32">
        <v>19.100000000000001</v>
      </c>
      <c r="I93" s="34">
        <v>1019.8</v>
      </c>
      <c r="J93" s="36" t="s">
        <v>429</v>
      </c>
    </row>
    <row r="94" spans="1:10">
      <c r="A94" s="4">
        <v>41564</v>
      </c>
      <c r="C94" s="32">
        <v>0.44444444444444448</v>
      </c>
      <c r="D94" s="29"/>
      <c r="E94" s="35">
        <v>265</v>
      </c>
      <c r="F94" s="32">
        <v>0</v>
      </c>
      <c r="G94" s="33">
        <v>86</v>
      </c>
      <c r="H94" s="32">
        <v>18.8</v>
      </c>
      <c r="I94" s="34">
        <v>1014.8</v>
      </c>
      <c r="J94" s="36" t="s">
        <v>429</v>
      </c>
    </row>
    <row r="95" spans="1:10">
      <c r="A95" s="4">
        <v>41565</v>
      </c>
      <c r="C95" s="32">
        <v>2.2222222222222223</v>
      </c>
      <c r="D95" s="29"/>
      <c r="E95" s="35">
        <v>171</v>
      </c>
      <c r="F95" s="32">
        <v>19.7</v>
      </c>
      <c r="G95" s="33">
        <v>90</v>
      </c>
      <c r="H95" s="32">
        <v>18.100000000000001</v>
      </c>
      <c r="I95" s="34">
        <v>1010</v>
      </c>
      <c r="J95" s="36" t="s">
        <v>429</v>
      </c>
    </row>
    <row r="96" spans="1:10">
      <c r="A96" s="4">
        <v>41566</v>
      </c>
      <c r="C96" s="32">
        <v>2.0277777777777777</v>
      </c>
      <c r="D96" s="29"/>
      <c r="E96" s="35">
        <v>193</v>
      </c>
      <c r="F96" s="32">
        <v>1</v>
      </c>
      <c r="G96" s="33">
        <v>86</v>
      </c>
      <c r="H96" s="32">
        <v>17.899999999999999</v>
      </c>
      <c r="I96" s="34">
        <v>1012</v>
      </c>
      <c r="J96" s="36" t="s">
        <v>429</v>
      </c>
    </row>
    <row r="97" spans="1:10">
      <c r="A97" s="4">
        <v>41567</v>
      </c>
      <c r="C97" s="32">
        <v>1.2777777777777777</v>
      </c>
      <c r="D97" s="29"/>
      <c r="E97" s="35">
        <v>173</v>
      </c>
      <c r="F97" s="32">
        <v>3</v>
      </c>
      <c r="G97" s="33">
        <v>87</v>
      </c>
      <c r="H97" s="32">
        <v>17.5</v>
      </c>
      <c r="I97" s="34">
        <v>1015</v>
      </c>
      <c r="J97" s="36" t="s">
        <v>429</v>
      </c>
    </row>
    <row r="98" spans="1:10">
      <c r="A98" s="4">
        <v>41568</v>
      </c>
      <c r="C98" s="32">
        <v>4.3055555555555554</v>
      </c>
      <c r="D98" s="29"/>
      <c r="E98" s="35">
        <v>168</v>
      </c>
      <c r="F98" s="32">
        <v>1</v>
      </c>
      <c r="G98" s="33">
        <v>80</v>
      </c>
      <c r="H98" s="32">
        <v>19.399999999999999</v>
      </c>
      <c r="I98" s="34">
        <v>1009.8</v>
      </c>
      <c r="J98" s="36" t="s">
        <v>429</v>
      </c>
    </row>
    <row r="99" spans="1:10">
      <c r="A99" s="4">
        <v>41569</v>
      </c>
      <c r="C99" s="32">
        <v>3.4444444444444446</v>
      </c>
      <c r="D99" s="29"/>
      <c r="E99" s="35">
        <v>201</v>
      </c>
      <c r="F99" s="32">
        <v>12.4</v>
      </c>
      <c r="G99" s="33">
        <v>85</v>
      </c>
      <c r="H99" s="32">
        <v>18.600000000000001</v>
      </c>
      <c r="I99" s="34">
        <v>1004.3</v>
      </c>
      <c r="J99" s="36" t="s">
        <v>429</v>
      </c>
    </row>
    <row r="100" spans="1:10">
      <c r="A100" s="4">
        <v>41570</v>
      </c>
      <c r="C100" s="32">
        <v>2.5555555555555554</v>
      </c>
      <c r="D100" s="29"/>
      <c r="E100" s="35">
        <v>164</v>
      </c>
      <c r="F100" s="32">
        <v>0</v>
      </c>
      <c r="G100" s="33">
        <v>87</v>
      </c>
      <c r="H100" s="32">
        <v>18</v>
      </c>
      <c r="I100" s="34">
        <v>1010.2</v>
      </c>
      <c r="J100" s="36" t="s">
        <v>429</v>
      </c>
    </row>
    <row r="101" spans="1:10">
      <c r="A101" s="4">
        <v>41571</v>
      </c>
      <c r="C101" s="32">
        <v>2.7777777777777777</v>
      </c>
      <c r="D101" s="29"/>
      <c r="E101" s="35">
        <v>186</v>
      </c>
      <c r="F101" s="32">
        <v>35.9</v>
      </c>
      <c r="G101" s="33">
        <v>91</v>
      </c>
      <c r="H101" s="32">
        <v>18.7</v>
      </c>
      <c r="I101" s="34">
        <v>1005.7</v>
      </c>
      <c r="J101" s="36" t="s">
        <v>429</v>
      </c>
    </row>
    <row r="102" spans="1:10">
      <c r="A102" s="4">
        <v>41572</v>
      </c>
      <c r="C102" s="32">
        <v>1.4166666666666665</v>
      </c>
      <c r="D102" s="29"/>
      <c r="E102" s="35">
        <v>155</v>
      </c>
      <c r="F102" s="32">
        <v>36</v>
      </c>
      <c r="G102" s="33">
        <v>94</v>
      </c>
      <c r="H102" s="32">
        <v>16.5</v>
      </c>
      <c r="I102" s="34">
        <v>1007.3</v>
      </c>
      <c r="J102" s="36" t="s">
        <v>429</v>
      </c>
    </row>
    <row r="103" spans="1:10">
      <c r="A103" s="4">
        <v>41573</v>
      </c>
      <c r="C103" s="32">
        <v>0.75</v>
      </c>
      <c r="D103" s="29"/>
      <c r="E103" s="35">
        <v>126</v>
      </c>
      <c r="F103" s="32">
        <v>0</v>
      </c>
      <c r="G103" s="33">
        <v>87</v>
      </c>
      <c r="H103" s="32">
        <v>15.6</v>
      </c>
      <c r="I103" s="34">
        <v>1015.9</v>
      </c>
      <c r="J103" s="36" t="s">
        <v>429</v>
      </c>
    </row>
    <row r="104" spans="1:10">
      <c r="A104" s="4">
        <v>41574</v>
      </c>
      <c r="C104" s="32">
        <v>0.69444444444444442</v>
      </c>
      <c r="D104" s="29"/>
      <c r="E104" s="35">
        <v>171</v>
      </c>
      <c r="F104" s="32">
        <v>0</v>
      </c>
      <c r="G104" s="33">
        <v>81</v>
      </c>
      <c r="H104" s="32">
        <v>15.6</v>
      </c>
      <c r="I104" s="34">
        <v>1020</v>
      </c>
      <c r="J104" s="36" t="s">
        <v>429</v>
      </c>
    </row>
    <row r="105" spans="1:10">
      <c r="A105" s="4">
        <v>41575</v>
      </c>
      <c r="C105" s="32">
        <v>0.91666666666666663</v>
      </c>
      <c r="D105" s="29"/>
      <c r="E105" s="35">
        <v>340</v>
      </c>
      <c r="F105" s="32">
        <v>8.3000000000000007</v>
      </c>
      <c r="G105" s="33">
        <v>92</v>
      </c>
      <c r="H105" s="32">
        <v>13.5</v>
      </c>
      <c r="I105" s="34">
        <v>1017.9</v>
      </c>
      <c r="J105" s="36" t="s">
        <v>429</v>
      </c>
    </row>
    <row r="106" spans="1:10">
      <c r="A106" s="4">
        <v>41576</v>
      </c>
      <c r="C106" s="32">
        <v>1.4444444444444444</v>
      </c>
      <c r="D106" s="29"/>
      <c r="E106" s="35">
        <v>351</v>
      </c>
      <c r="F106" s="32">
        <v>0</v>
      </c>
      <c r="G106" s="33">
        <v>76</v>
      </c>
      <c r="H106" s="32">
        <v>12.2</v>
      </c>
      <c r="I106" s="34">
        <v>1021</v>
      </c>
      <c r="J106" s="36" t="s">
        <v>429</v>
      </c>
    </row>
    <row r="107" spans="1:10">
      <c r="A107" s="4">
        <v>41577</v>
      </c>
      <c r="C107" s="32">
        <v>0.80555555555555547</v>
      </c>
      <c r="D107" s="29"/>
      <c r="E107" s="35">
        <v>342</v>
      </c>
      <c r="F107" s="32">
        <v>0</v>
      </c>
      <c r="G107" s="33">
        <v>76</v>
      </c>
      <c r="H107" s="32">
        <v>11</v>
      </c>
      <c r="I107" s="34">
        <v>1021</v>
      </c>
      <c r="J107" s="36" t="s">
        <v>429</v>
      </c>
    </row>
    <row r="108" spans="1:10">
      <c r="A108" s="4">
        <v>41578</v>
      </c>
      <c r="C108" s="32">
        <v>0.58333333333333337</v>
      </c>
      <c r="D108" s="29"/>
      <c r="E108" s="35">
        <v>337</v>
      </c>
      <c r="F108" s="32">
        <v>0</v>
      </c>
      <c r="G108" s="33">
        <v>76</v>
      </c>
      <c r="H108" s="32">
        <v>11.1</v>
      </c>
      <c r="I108" s="34">
        <v>1021.1</v>
      </c>
      <c r="J108" s="36" t="s">
        <v>429</v>
      </c>
    </row>
    <row r="109" spans="1:10">
      <c r="A109" s="4">
        <v>41579</v>
      </c>
      <c r="C109" s="32">
        <v>0.86111111111111116</v>
      </c>
      <c r="D109" s="29"/>
      <c r="E109" s="35">
        <v>182</v>
      </c>
      <c r="F109" s="32">
        <v>0</v>
      </c>
      <c r="G109" s="33">
        <v>89</v>
      </c>
      <c r="H109" s="32">
        <v>14.3</v>
      </c>
      <c r="I109" s="34">
        <v>1019.8</v>
      </c>
      <c r="J109" s="36" t="s">
        <v>429</v>
      </c>
    </row>
    <row r="110" spans="1:10">
      <c r="A110" s="4">
        <v>41580</v>
      </c>
      <c r="C110" s="32">
        <v>1.3333333333333333</v>
      </c>
      <c r="D110" s="29"/>
      <c r="E110" s="35">
        <v>215</v>
      </c>
      <c r="F110" s="32">
        <v>1</v>
      </c>
      <c r="G110" s="33">
        <v>86</v>
      </c>
      <c r="H110" s="32">
        <v>16.8</v>
      </c>
      <c r="I110" s="34">
        <v>1017</v>
      </c>
      <c r="J110" s="36" t="s">
        <v>429</v>
      </c>
    </row>
    <row r="111" spans="1:10">
      <c r="A111" s="4">
        <v>41581</v>
      </c>
      <c r="C111" s="32">
        <v>0.91666666666666663</v>
      </c>
      <c r="D111" s="29"/>
      <c r="E111" s="35">
        <v>322</v>
      </c>
      <c r="F111" s="32">
        <v>0</v>
      </c>
      <c r="G111" s="33">
        <v>81</v>
      </c>
      <c r="H111" s="32">
        <v>15.4</v>
      </c>
      <c r="I111" s="34">
        <v>1019.2</v>
      </c>
      <c r="J111" s="36" t="s">
        <v>429</v>
      </c>
    </row>
    <row r="112" spans="1:10">
      <c r="A112" s="4">
        <v>41582</v>
      </c>
      <c r="C112" s="32">
        <v>2.3611111111111112</v>
      </c>
      <c r="D112" s="29"/>
      <c r="E112" s="35">
        <v>256</v>
      </c>
      <c r="F112" s="32">
        <v>0</v>
      </c>
      <c r="G112" s="33">
        <v>85</v>
      </c>
      <c r="H112" s="32">
        <v>16.2</v>
      </c>
      <c r="I112" s="34">
        <v>1017.9</v>
      </c>
      <c r="J112" s="36" t="s">
        <v>429</v>
      </c>
    </row>
    <row r="113" spans="1:10">
      <c r="A113" s="4">
        <v>41583</v>
      </c>
      <c r="C113" s="32">
        <v>1</v>
      </c>
      <c r="D113" s="29"/>
      <c r="E113" s="35">
        <v>296</v>
      </c>
      <c r="F113" s="32">
        <v>0</v>
      </c>
      <c r="G113" s="33">
        <v>94</v>
      </c>
      <c r="H113" s="32">
        <v>16.600000000000001</v>
      </c>
      <c r="I113" s="34">
        <v>1020.2</v>
      </c>
      <c r="J113" s="36" t="s">
        <v>429</v>
      </c>
    </row>
    <row r="114" spans="1:10">
      <c r="A114" s="4">
        <v>41584</v>
      </c>
      <c r="C114" s="32">
        <v>0.66666666666666663</v>
      </c>
      <c r="D114" s="29"/>
      <c r="E114" s="35">
        <v>210</v>
      </c>
      <c r="F114" s="32">
        <v>0</v>
      </c>
      <c r="G114" s="33">
        <v>87</v>
      </c>
      <c r="H114" s="32">
        <v>16.399999999999999</v>
      </c>
      <c r="I114" s="34">
        <v>1019</v>
      </c>
      <c r="J114" s="36" t="s">
        <v>429</v>
      </c>
    </row>
    <row r="115" spans="1:10">
      <c r="A115" s="4">
        <v>41585</v>
      </c>
      <c r="C115" s="32">
        <v>1.5555555555555554</v>
      </c>
      <c r="D115" s="29"/>
      <c r="E115" s="35">
        <v>192</v>
      </c>
      <c r="F115" s="32">
        <v>0</v>
      </c>
      <c r="G115" s="33">
        <v>81</v>
      </c>
      <c r="H115" s="32">
        <v>16.8</v>
      </c>
      <c r="I115" s="34">
        <v>1017.4</v>
      </c>
      <c r="J115" s="36" t="s">
        <v>429</v>
      </c>
    </row>
    <row r="116" spans="1:10">
      <c r="A116" s="4">
        <v>41586</v>
      </c>
      <c r="C116" s="32">
        <v>1.6388888888888888</v>
      </c>
      <c r="D116" s="29"/>
      <c r="E116" s="35">
        <v>281</v>
      </c>
      <c r="F116" s="32">
        <v>5</v>
      </c>
      <c r="G116" s="33">
        <v>85</v>
      </c>
      <c r="H116" s="32">
        <v>15.4</v>
      </c>
      <c r="I116" s="34">
        <v>1019.2</v>
      </c>
      <c r="J116" s="36" t="s">
        <v>429</v>
      </c>
    </row>
    <row r="117" spans="1:10">
      <c r="A117" s="4">
        <v>41587</v>
      </c>
      <c r="C117" s="32">
        <v>0.58333333333333337</v>
      </c>
      <c r="D117" s="29"/>
      <c r="E117" s="35">
        <v>252</v>
      </c>
      <c r="F117" s="32">
        <v>0</v>
      </c>
      <c r="G117" s="33">
        <v>88</v>
      </c>
      <c r="H117" s="32">
        <v>12.8</v>
      </c>
      <c r="I117" s="34">
        <v>1025.0999999999999</v>
      </c>
      <c r="J117" s="36" t="s">
        <v>429</v>
      </c>
    </row>
    <row r="118" spans="1:10">
      <c r="A118" s="4">
        <v>41588</v>
      </c>
      <c r="C118" s="32">
        <v>1.8333333333333333</v>
      </c>
      <c r="D118" s="29"/>
      <c r="E118" s="35">
        <v>341</v>
      </c>
      <c r="F118" s="32">
        <v>1</v>
      </c>
      <c r="G118" s="33">
        <v>87</v>
      </c>
      <c r="H118" s="32">
        <v>15.2</v>
      </c>
      <c r="I118" s="34">
        <v>1027.2</v>
      </c>
      <c r="J118" s="36" t="s">
        <v>429</v>
      </c>
    </row>
    <row r="119" spans="1:10">
      <c r="A119" s="4">
        <v>41589</v>
      </c>
      <c r="C119" s="32">
        <v>1.6111111111111109</v>
      </c>
      <c r="D119" s="29"/>
      <c r="E119" s="35">
        <v>336</v>
      </c>
      <c r="F119" s="32">
        <v>0</v>
      </c>
      <c r="G119" s="33">
        <v>84</v>
      </c>
      <c r="H119" s="32">
        <v>13.2</v>
      </c>
      <c r="I119" s="34">
        <v>1023.9</v>
      </c>
      <c r="J119" s="36" t="s">
        <v>429</v>
      </c>
    </row>
    <row r="120" spans="1:10">
      <c r="A120" s="4">
        <v>41590</v>
      </c>
      <c r="C120" s="32">
        <v>0.77777777777777768</v>
      </c>
      <c r="D120" s="29"/>
      <c r="E120" s="35">
        <v>311</v>
      </c>
      <c r="F120" s="32">
        <v>0</v>
      </c>
      <c r="G120" s="33">
        <v>86</v>
      </c>
      <c r="H120" s="32">
        <v>12</v>
      </c>
      <c r="I120" s="34">
        <v>1020.2</v>
      </c>
      <c r="J120" s="36" t="s">
        <v>429</v>
      </c>
    </row>
    <row r="121" spans="1:10">
      <c r="A121" s="4">
        <v>41591</v>
      </c>
      <c r="C121" s="32">
        <v>0.91666666666666663</v>
      </c>
      <c r="D121" s="29"/>
      <c r="E121" s="35">
        <v>3</v>
      </c>
      <c r="F121" s="32">
        <v>0</v>
      </c>
      <c r="G121" s="33">
        <v>82</v>
      </c>
      <c r="H121" s="32">
        <v>13.1</v>
      </c>
      <c r="I121" s="34">
        <v>1019.2</v>
      </c>
      <c r="J121" s="36" t="s">
        <v>429</v>
      </c>
    </row>
    <row r="122" spans="1:10">
      <c r="A122" s="4">
        <v>41592</v>
      </c>
      <c r="C122" s="32">
        <v>1.1111111111111112</v>
      </c>
      <c r="D122" s="29"/>
      <c r="E122" s="35">
        <v>8</v>
      </c>
      <c r="F122" s="32">
        <v>0</v>
      </c>
      <c r="G122" s="33">
        <v>73</v>
      </c>
      <c r="H122" s="32">
        <v>12.2</v>
      </c>
      <c r="I122" s="34">
        <v>1023.8</v>
      </c>
      <c r="J122" s="36" t="s">
        <v>429</v>
      </c>
    </row>
    <row r="123" spans="1:10">
      <c r="A123" s="4">
        <v>41593</v>
      </c>
      <c r="C123" s="32">
        <v>1.6944444444444442</v>
      </c>
      <c r="D123" s="29"/>
      <c r="E123" s="35">
        <v>2</v>
      </c>
      <c r="F123" s="32">
        <v>0</v>
      </c>
      <c r="G123" s="33">
        <v>71</v>
      </c>
      <c r="H123" s="32">
        <v>9.6</v>
      </c>
      <c r="I123" s="34">
        <v>1020.8</v>
      </c>
      <c r="J123" s="36" t="s">
        <v>429</v>
      </c>
    </row>
    <row r="124" spans="1:10">
      <c r="A124" s="4">
        <v>41594</v>
      </c>
      <c r="C124" s="32">
        <v>1.4722222222222221</v>
      </c>
      <c r="D124" s="29"/>
      <c r="E124" s="35">
        <v>25</v>
      </c>
      <c r="F124" s="32">
        <v>0</v>
      </c>
      <c r="G124" s="33">
        <v>65</v>
      </c>
      <c r="H124" s="32">
        <v>9.1</v>
      </c>
      <c r="I124" s="34">
        <v>1016</v>
      </c>
      <c r="J124" s="36" t="s">
        <v>429</v>
      </c>
    </row>
    <row r="125" spans="1:10">
      <c r="A125" s="4">
        <v>41595</v>
      </c>
      <c r="C125" s="32">
        <v>0.72222222222222221</v>
      </c>
      <c r="D125" s="29"/>
      <c r="E125" s="35">
        <v>271</v>
      </c>
      <c r="F125" s="32">
        <v>0</v>
      </c>
      <c r="G125" s="33">
        <v>71</v>
      </c>
      <c r="H125" s="32">
        <v>9</v>
      </c>
      <c r="I125" s="34">
        <v>1013.8</v>
      </c>
      <c r="J125" s="36" t="s">
        <v>429</v>
      </c>
    </row>
    <row r="126" spans="1:10">
      <c r="A126" s="4">
        <v>41596</v>
      </c>
      <c r="C126" s="32">
        <v>1.0833333333333333</v>
      </c>
      <c r="D126" s="29"/>
      <c r="E126" s="35">
        <v>325</v>
      </c>
      <c r="F126" s="32">
        <v>0</v>
      </c>
      <c r="G126" s="33">
        <v>82</v>
      </c>
      <c r="H126" s="32">
        <v>9.1</v>
      </c>
      <c r="I126" s="34">
        <v>1010.7</v>
      </c>
      <c r="J126" s="36" t="s">
        <v>429</v>
      </c>
    </row>
    <row r="127" spans="1:10">
      <c r="A127" s="4">
        <v>41597</v>
      </c>
      <c r="C127" s="32">
        <v>1.4166666666666665</v>
      </c>
      <c r="D127" s="29"/>
      <c r="E127" s="35">
        <v>337</v>
      </c>
      <c r="F127" s="32">
        <v>0</v>
      </c>
      <c r="G127" s="33">
        <v>83</v>
      </c>
      <c r="H127" s="32">
        <v>9.6999999999999993</v>
      </c>
      <c r="I127" s="34">
        <v>1013.3</v>
      </c>
      <c r="J127" s="36" t="s">
        <v>429</v>
      </c>
    </row>
    <row r="128" spans="1:10">
      <c r="A128" s="4">
        <v>41598</v>
      </c>
      <c r="C128" s="32">
        <v>0.52777777777777779</v>
      </c>
      <c r="D128" s="29"/>
      <c r="E128" s="35">
        <v>336</v>
      </c>
      <c r="F128" s="32">
        <v>0</v>
      </c>
      <c r="G128" s="33">
        <v>77</v>
      </c>
      <c r="H128" s="32">
        <v>6.6</v>
      </c>
      <c r="I128" s="34">
        <v>1017.3</v>
      </c>
      <c r="J128" s="36" t="s">
        <v>429</v>
      </c>
    </row>
    <row r="129" spans="1:10">
      <c r="A129" s="4">
        <v>41599</v>
      </c>
      <c r="C129" s="32">
        <v>0.3611111111111111</v>
      </c>
      <c r="D129" s="29"/>
      <c r="E129" s="35">
        <v>129</v>
      </c>
      <c r="F129" s="32">
        <v>0</v>
      </c>
      <c r="G129" s="33">
        <v>81</v>
      </c>
      <c r="H129" s="32">
        <v>7.8</v>
      </c>
      <c r="I129" s="34">
        <v>1013.3</v>
      </c>
      <c r="J129" s="36" t="s">
        <v>429</v>
      </c>
    </row>
    <row r="130" spans="1:10">
      <c r="A130" s="4">
        <v>41600</v>
      </c>
      <c r="C130" s="32">
        <v>1.6111111111111109</v>
      </c>
      <c r="D130" s="29"/>
      <c r="E130" s="35">
        <v>84</v>
      </c>
      <c r="F130" s="32">
        <v>9</v>
      </c>
      <c r="G130" s="33">
        <v>91</v>
      </c>
      <c r="H130" s="32">
        <v>10.1</v>
      </c>
      <c r="I130" s="34">
        <v>1008.1</v>
      </c>
      <c r="J130" s="36" t="s">
        <v>429</v>
      </c>
    </row>
    <row r="131" spans="1:10">
      <c r="A131" s="4">
        <v>41601</v>
      </c>
      <c r="C131" s="32">
        <v>1.6666666666666665</v>
      </c>
      <c r="D131" s="29"/>
      <c r="E131" s="35">
        <v>80</v>
      </c>
      <c r="F131" s="32">
        <v>0</v>
      </c>
      <c r="G131" s="33">
        <v>69</v>
      </c>
      <c r="H131" s="32">
        <v>8.4</v>
      </c>
      <c r="I131" s="34">
        <v>1010.8</v>
      </c>
      <c r="J131" s="36" t="s">
        <v>429</v>
      </c>
    </row>
    <row r="132" spans="1:10">
      <c r="A132" s="4">
        <v>41602</v>
      </c>
      <c r="C132" s="32">
        <v>1</v>
      </c>
      <c r="D132" s="29"/>
      <c r="E132" s="35">
        <v>5</v>
      </c>
      <c r="F132" s="32">
        <v>0</v>
      </c>
      <c r="G132" s="33">
        <v>75</v>
      </c>
      <c r="H132" s="32">
        <v>6.1</v>
      </c>
      <c r="I132" s="34">
        <v>1015.4</v>
      </c>
      <c r="J132" s="36" t="s">
        <v>429</v>
      </c>
    </row>
    <row r="133" spans="1:10">
      <c r="A133" s="4">
        <v>41603</v>
      </c>
      <c r="C133" s="32">
        <v>0.97222222222222221</v>
      </c>
      <c r="D133" s="29"/>
      <c r="E133" s="35">
        <v>358</v>
      </c>
      <c r="F133" s="32">
        <v>0</v>
      </c>
      <c r="G133" s="33">
        <v>71</v>
      </c>
      <c r="H133" s="32">
        <v>6.7</v>
      </c>
      <c r="I133" s="34">
        <v>1019.7</v>
      </c>
      <c r="J133" s="36" t="s">
        <v>429</v>
      </c>
    </row>
    <row r="134" spans="1:10">
      <c r="A134" s="4">
        <v>41604</v>
      </c>
      <c r="C134" s="32">
        <v>0.77777777777777768</v>
      </c>
      <c r="D134" s="29"/>
      <c r="E134" s="35">
        <v>62</v>
      </c>
      <c r="F134" s="32">
        <v>0</v>
      </c>
      <c r="G134" s="33">
        <v>69</v>
      </c>
      <c r="H134" s="32">
        <v>6.4</v>
      </c>
      <c r="I134" s="34">
        <v>1019.2</v>
      </c>
      <c r="J134" s="36" t="s">
        <v>429</v>
      </c>
    </row>
    <row r="135" spans="1:10">
      <c r="A135" s="4">
        <v>41605</v>
      </c>
      <c r="C135" s="32">
        <v>1.6111111111111109</v>
      </c>
      <c r="D135" s="29"/>
      <c r="E135" s="35">
        <v>76</v>
      </c>
      <c r="F135" s="32">
        <v>0</v>
      </c>
      <c r="G135" s="33">
        <v>61</v>
      </c>
      <c r="H135" s="32">
        <v>6.4</v>
      </c>
      <c r="I135" s="34">
        <v>1018</v>
      </c>
      <c r="J135" s="36" t="s">
        <v>429</v>
      </c>
    </row>
    <row r="136" spans="1:10">
      <c r="A136" s="4">
        <v>41606</v>
      </c>
      <c r="C136" s="32">
        <v>2.1944444444444446</v>
      </c>
      <c r="D136" s="29"/>
      <c r="E136" s="35">
        <v>77</v>
      </c>
      <c r="F136" s="32">
        <v>0</v>
      </c>
      <c r="G136" s="33">
        <v>60</v>
      </c>
      <c r="H136" s="32">
        <v>6.9</v>
      </c>
      <c r="I136" s="34">
        <v>1019.9</v>
      </c>
      <c r="J136" s="36" t="s">
        <v>429</v>
      </c>
    </row>
    <row r="137" spans="1:10">
      <c r="A137" s="4">
        <v>41607</v>
      </c>
      <c r="C137" s="32">
        <v>0.88888888888888895</v>
      </c>
      <c r="D137" s="29"/>
      <c r="E137" s="35">
        <v>43</v>
      </c>
      <c r="F137" s="32">
        <v>0</v>
      </c>
      <c r="G137" s="33">
        <v>63</v>
      </c>
      <c r="H137" s="32">
        <v>7.7</v>
      </c>
      <c r="I137" s="34">
        <v>1022.8</v>
      </c>
      <c r="J137" s="36" t="s">
        <v>429</v>
      </c>
    </row>
    <row r="138" spans="1:10">
      <c r="A138" s="4">
        <v>41608</v>
      </c>
      <c r="C138" s="32">
        <v>0.77777777777777768</v>
      </c>
      <c r="D138" s="29"/>
      <c r="E138" s="35">
        <v>338</v>
      </c>
      <c r="F138" s="32">
        <v>0</v>
      </c>
      <c r="G138" s="33">
        <v>75</v>
      </c>
      <c r="H138" s="32">
        <v>5.8</v>
      </c>
      <c r="I138" s="34">
        <v>1018.3</v>
      </c>
      <c r="J138" s="36" t="s">
        <v>429</v>
      </c>
    </row>
    <row r="139" spans="1:10">
      <c r="A139" s="4">
        <v>41609</v>
      </c>
      <c r="C139" s="32">
        <v>0.66666666666666663</v>
      </c>
      <c r="D139" s="29"/>
      <c r="E139" s="35">
        <v>96</v>
      </c>
      <c r="F139" s="32">
        <v>0</v>
      </c>
      <c r="G139" s="33">
        <v>69</v>
      </c>
      <c r="H139" s="32">
        <v>6</v>
      </c>
      <c r="I139" s="34">
        <v>1016.2</v>
      </c>
      <c r="J139" s="36" t="s">
        <v>429</v>
      </c>
    </row>
    <row r="140" spans="1:10">
      <c r="A140" s="4">
        <v>41610</v>
      </c>
      <c r="C140" s="32">
        <v>0.69444444444444442</v>
      </c>
      <c r="D140" s="29"/>
      <c r="E140" s="35">
        <v>59</v>
      </c>
      <c r="F140" s="32">
        <v>0</v>
      </c>
      <c r="G140" s="33">
        <v>65</v>
      </c>
      <c r="H140" s="32">
        <v>5.9</v>
      </c>
      <c r="I140" s="34">
        <v>1016.9</v>
      </c>
      <c r="J140" s="36" t="s">
        <v>429</v>
      </c>
    </row>
    <row r="141" spans="1:10">
      <c r="A141" s="4">
        <v>41611</v>
      </c>
      <c r="C141" s="32">
        <v>1.0277777777777779</v>
      </c>
      <c r="D141" s="29"/>
      <c r="E141" s="35">
        <v>93</v>
      </c>
      <c r="F141" s="32">
        <v>0</v>
      </c>
      <c r="G141" s="33">
        <v>61</v>
      </c>
      <c r="H141" s="32">
        <v>6.9</v>
      </c>
      <c r="I141" s="34">
        <v>1020.1</v>
      </c>
      <c r="J141" s="36" t="s">
        <v>429</v>
      </c>
    </row>
    <row r="142" spans="1:10">
      <c r="A142" s="4">
        <v>41612</v>
      </c>
      <c r="C142" s="32">
        <v>0.72222222222222221</v>
      </c>
      <c r="D142" s="29"/>
      <c r="E142" s="35">
        <v>74</v>
      </c>
      <c r="F142" s="32">
        <v>0</v>
      </c>
      <c r="G142" s="33">
        <v>63</v>
      </c>
      <c r="H142" s="32">
        <v>9.6</v>
      </c>
      <c r="I142" s="34">
        <v>1022.5</v>
      </c>
      <c r="J142" s="36" t="s">
        <v>429</v>
      </c>
    </row>
    <row r="143" spans="1:10">
      <c r="A143" s="4">
        <v>41613</v>
      </c>
      <c r="C143" s="32">
        <v>0.47222222222222221</v>
      </c>
      <c r="D143" s="29"/>
      <c r="E143" s="35">
        <v>98</v>
      </c>
      <c r="F143" s="32">
        <v>0</v>
      </c>
      <c r="G143" s="33">
        <v>72</v>
      </c>
      <c r="H143" s="32">
        <v>9.3000000000000007</v>
      </c>
      <c r="I143" s="34">
        <v>1023.7</v>
      </c>
      <c r="J143" s="36" t="s">
        <v>429</v>
      </c>
    </row>
    <row r="144" spans="1:10">
      <c r="A144" s="4">
        <v>41614</v>
      </c>
      <c r="C144" s="32">
        <v>1</v>
      </c>
      <c r="D144" s="29"/>
      <c r="E144" s="35">
        <v>77</v>
      </c>
      <c r="F144" s="32">
        <v>0</v>
      </c>
      <c r="G144" s="33">
        <v>67</v>
      </c>
      <c r="H144" s="32">
        <v>8.6</v>
      </c>
      <c r="I144" s="34">
        <v>1021.3</v>
      </c>
      <c r="J144" s="36" t="s">
        <v>429</v>
      </c>
    </row>
    <row r="145" spans="1:10">
      <c r="A145" s="4">
        <v>41615</v>
      </c>
      <c r="C145" s="32">
        <v>0.75</v>
      </c>
      <c r="D145" s="29"/>
      <c r="E145" s="35">
        <v>111</v>
      </c>
      <c r="F145" s="32">
        <v>0</v>
      </c>
      <c r="G145" s="33">
        <v>66</v>
      </c>
      <c r="H145" s="32">
        <v>7.8</v>
      </c>
      <c r="I145" s="34">
        <v>1021</v>
      </c>
      <c r="J145" s="36" t="s">
        <v>429</v>
      </c>
    </row>
    <row r="146" spans="1:10">
      <c r="A146" s="4">
        <v>41616</v>
      </c>
      <c r="C146" s="32">
        <v>0.52777777777777779</v>
      </c>
      <c r="D146" s="29"/>
      <c r="E146" s="35">
        <v>129</v>
      </c>
      <c r="F146" s="32">
        <v>0</v>
      </c>
      <c r="G146" s="33">
        <v>76</v>
      </c>
      <c r="H146" s="32">
        <v>6.2</v>
      </c>
      <c r="I146" s="34">
        <v>1022.3</v>
      </c>
      <c r="J146" s="36" t="s">
        <v>429</v>
      </c>
    </row>
    <row r="147" spans="1:10">
      <c r="A147" s="4">
        <v>41617</v>
      </c>
      <c r="C147" s="32">
        <v>1.2222222222222223</v>
      </c>
      <c r="D147" s="29"/>
      <c r="E147" s="35">
        <v>105</v>
      </c>
      <c r="F147" s="32">
        <v>0</v>
      </c>
      <c r="G147" s="33">
        <v>68</v>
      </c>
      <c r="H147" s="32">
        <v>7.7</v>
      </c>
      <c r="I147" s="34">
        <v>1023.9</v>
      </c>
      <c r="J147" s="36" t="s">
        <v>429</v>
      </c>
    </row>
    <row r="148" spans="1:10">
      <c r="A148" s="4">
        <v>41618</v>
      </c>
      <c r="C148" s="32">
        <v>3.0555555555555554</v>
      </c>
      <c r="D148" s="29"/>
      <c r="E148" s="35">
        <v>104</v>
      </c>
      <c r="F148" s="32">
        <v>0</v>
      </c>
      <c r="G148" s="33">
        <v>55.000000000000007</v>
      </c>
      <c r="H148" s="32">
        <v>10.9</v>
      </c>
      <c r="I148" s="34">
        <v>1021.7</v>
      </c>
      <c r="J148" s="36" t="s">
        <v>429</v>
      </c>
    </row>
    <row r="149" spans="1:10">
      <c r="A149" s="4">
        <v>41619</v>
      </c>
      <c r="C149" s="32">
        <v>4.1944444444444446</v>
      </c>
      <c r="D149" s="29"/>
      <c r="E149" s="35">
        <v>113</v>
      </c>
      <c r="F149" s="32">
        <v>0</v>
      </c>
      <c r="G149" s="33">
        <v>51</v>
      </c>
      <c r="H149" s="32">
        <v>12.7</v>
      </c>
      <c r="I149" s="34">
        <v>1020.3</v>
      </c>
      <c r="J149" s="36" t="s">
        <v>429</v>
      </c>
    </row>
    <row r="150" spans="1:10">
      <c r="A150" s="4">
        <v>41620</v>
      </c>
      <c r="C150" s="32">
        <v>2.6388888888888888</v>
      </c>
      <c r="D150" s="29"/>
      <c r="E150" s="35">
        <v>103</v>
      </c>
      <c r="F150" s="32">
        <v>0</v>
      </c>
      <c r="G150" s="33">
        <v>52</v>
      </c>
      <c r="H150" s="32">
        <v>14</v>
      </c>
      <c r="I150" s="34">
        <v>1023</v>
      </c>
      <c r="J150" s="36" t="s">
        <v>429</v>
      </c>
    </row>
    <row r="151" spans="1:10">
      <c r="A151" s="4">
        <v>41621</v>
      </c>
      <c r="C151" s="32">
        <v>1.0277777777777779</v>
      </c>
      <c r="D151" s="29"/>
      <c r="E151" s="35">
        <v>83</v>
      </c>
      <c r="F151" s="32">
        <v>1</v>
      </c>
      <c r="G151" s="33">
        <v>84</v>
      </c>
      <c r="H151" s="32">
        <v>13.4</v>
      </c>
      <c r="I151" s="34">
        <v>1024.3</v>
      </c>
      <c r="J151" s="36" t="s">
        <v>429</v>
      </c>
    </row>
    <row r="152" spans="1:10">
      <c r="A152" s="4">
        <v>41622</v>
      </c>
      <c r="C152" s="32">
        <v>1.0277777777777779</v>
      </c>
      <c r="D152" s="29"/>
      <c r="E152" s="35">
        <v>81</v>
      </c>
      <c r="F152" s="32">
        <v>0</v>
      </c>
      <c r="G152" s="33">
        <v>78</v>
      </c>
      <c r="H152" s="32">
        <v>12.1</v>
      </c>
      <c r="I152" s="34">
        <v>1027.0999999999999</v>
      </c>
      <c r="J152" s="36" t="s">
        <v>429</v>
      </c>
    </row>
    <row r="153" spans="1:10">
      <c r="A153" s="4">
        <v>41623</v>
      </c>
      <c r="C153" s="32">
        <v>1.8055555555555556</v>
      </c>
      <c r="D153" s="29"/>
      <c r="E153" s="35">
        <v>98</v>
      </c>
      <c r="F153" s="32">
        <v>0</v>
      </c>
      <c r="G153" s="33">
        <v>65</v>
      </c>
      <c r="H153" s="32">
        <v>12.7</v>
      </c>
      <c r="I153" s="34">
        <v>1027.2</v>
      </c>
      <c r="J153" s="36" t="s">
        <v>429</v>
      </c>
    </row>
    <row r="154" spans="1:10">
      <c r="A154" s="4">
        <v>41624</v>
      </c>
      <c r="C154" s="32">
        <v>1.0277777777777779</v>
      </c>
      <c r="D154" s="29"/>
      <c r="E154" s="35">
        <v>142</v>
      </c>
      <c r="F154" s="32">
        <v>0</v>
      </c>
      <c r="G154" s="33">
        <v>73</v>
      </c>
      <c r="H154" s="32">
        <v>10.8</v>
      </c>
      <c r="I154" s="34">
        <v>1023.1</v>
      </c>
      <c r="J154" s="36" t="s">
        <v>429</v>
      </c>
    </row>
    <row r="155" spans="1:10">
      <c r="A155" s="4">
        <v>41625</v>
      </c>
      <c r="C155" s="32">
        <v>0.80555555555555547</v>
      </c>
      <c r="D155" s="29"/>
      <c r="E155" s="35">
        <v>182</v>
      </c>
      <c r="F155" s="32">
        <v>2</v>
      </c>
      <c r="G155" s="33">
        <v>89</v>
      </c>
      <c r="H155" s="32">
        <v>11.2</v>
      </c>
      <c r="I155" s="34">
        <v>1022.9</v>
      </c>
      <c r="J155" s="36" t="s">
        <v>429</v>
      </c>
    </row>
    <row r="156" spans="1:10">
      <c r="A156" s="4">
        <v>41626</v>
      </c>
      <c r="C156" s="32">
        <v>1.7777777777777779</v>
      </c>
      <c r="D156" s="29"/>
      <c r="E156" s="35">
        <v>186</v>
      </c>
      <c r="F156" s="32">
        <v>2</v>
      </c>
      <c r="G156" s="33">
        <v>94</v>
      </c>
      <c r="H156" s="32">
        <v>10.1</v>
      </c>
      <c r="I156" s="34">
        <v>1022.5</v>
      </c>
      <c r="J156" s="36" t="s">
        <v>429</v>
      </c>
    </row>
    <row r="157" spans="1:10">
      <c r="A157" s="4">
        <v>41627</v>
      </c>
      <c r="C157" s="32">
        <v>2.8611111111111112</v>
      </c>
      <c r="D157" s="29"/>
      <c r="E157" s="35">
        <v>266</v>
      </c>
      <c r="F157" s="32">
        <v>35.9</v>
      </c>
      <c r="G157" s="33">
        <v>90</v>
      </c>
      <c r="H157" s="32">
        <v>11.6</v>
      </c>
      <c r="I157" s="34">
        <v>1018.3</v>
      </c>
      <c r="J157" s="36" t="s">
        <v>429</v>
      </c>
    </row>
    <row r="158" spans="1:10">
      <c r="A158" s="4">
        <v>41628</v>
      </c>
      <c r="C158" s="32">
        <v>0.75</v>
      </c>
      <c r="D158" s="29"/>
      <c r="E158" s="35">
        <v>342</v>
      </c>
      <c r="F158" s="32">
        <v>0</v>
      </c>
      <c r="G158" s="33">
        <v>80</v>
      </c>
      <c r="H158" s="32">
        <v>6.9</v>
      </c>
      <c r="I158" s="34">
        <v>1028.3</v>
      </c>
      <c r="J158" s="36" t="s">
        <v>429</v>
      </c>
    </row>
    <row r="159" spans="1:10">
      <c r="A159" s="4">
        <v>41629</v>
      </c>
      <c r="C159" s="32">
        <v>0.47222222222222221</v>
      </c>
      <c r="D159" s="29"/>
      <c r="E159" s="35">
        <v>131</v>
      </c>
      <c r="F159" s="32">
        <v>0</v>
      </c>
      <c r="G159" s="33">
        <v>81</v>
      </c>
      <c r="H159" s="32">
        <v>5.4</v>
      </c>
      <c r="I159" s="34">
        <v>1029.4000000000001</v>
      </c>
      <c r="J159" s="36" t="s">
        <v>429</v>
      </c>
    </row>
    <row r="160" spans="1:10">
      <c r="A160" s="4">
        <v>41630</v>
      </c>
      <c r="C160" s="32">
        <v>0.69444444444444442</v>
      </c>
      <c r="D160" s="29"/>
      <c r="E160" s="35">
        <v>97</v>
      </c>
      <c r="F160" s="32">
        <v>1</v>
      </c>
      <c r="G160" s="33">
        <v>80</v>
      </c>
      <c r="H160" s="32">
        <v>7.4</v>
      </c>
      <c r="I160" s="34">
        <v>1028</v>
      </c>
      <c r="J160" s="36" t="s">
        <v>429</v>
      </c>
    </row>
    <row r="161" spans="1:10">
      <c r="A161" s="4">
        <v>41631</v>
      </c>
      <c r="C161" s="32">
        <v>2.7222222222222223</v>
      </c>
      <c r="D161" s="29"/>
      <c r="E161" s="35">
        <v>156</v>
      </c>
      <c r="F161" s="32">
        <v>7</v>
      </c>
      <c r="G161" s="33">
        <v>95</v>
      </c>
      <c r="H161" s="32">
        <v>11.2</v>
      </c>
      <c r="I161" s="34">
        <v>1020.8</v>
      </c>
      <c r="J161" s="36" t="s">
        <v>429</v>
      </c>
    </row>
    <row r="162" spans="1:10">
      <c r="A162" s="4">
        <v>41632</v>
      </c>
      <c r="C162" s="32">
        <v>8.1388888888888893</v>
      </c>
      <c r="D162" s="29"/>
      <c r="E162" s="35">
        <v>205</v>
      </c>
      <c r="F162" s="32">
        <v>48.2</v>
      </c>
      <c r="G162" s="33">
        <v>96</v>
      </c>
      <c r="H162" s="32">
        <v>14.2</v>
      </c>
      <c r="I162" s="34">
        <v>1005.1</v>
      </c>
      <c r="J162" s="36" t="s">
        <v>429</v>
      </c>
    </row>
    <row r="163" spans="1:10">
      <c r="A163" s="4">
        <v>41633</v>
      </c>
      <c r="C163" s="32">
        <v>0.80555555555555547</v>
      </c>
      <c r="D163" s="29"/>
      <c r="E163" s="35">
        <v>229</v>
      </c>
      <c r="F163" s="32">
        <v>24.9</v>
      </c>
      <c r="G163" s="33">
        <v>88</v>
      </c>
      <c r="H163" s="32">
        <v>10.6</v>
      </c>
      <c r="I163" s="34">
        <v>1002.8</v>
      </c>
      <c r="J163" s="36" t="s">
        <v>429</v>
      </c>
    </row>
    <row r="164" spans="1:10">
      <c r="A164" s="4">
        <v>41634</v>
      </c>
      <c r="C164" s="32">
        <v>0</v>
      </c>
      <c r="D164" s="29"/>
      <c r="E164" s="35">
        <v>0</v>
      </c>
      <c r="F164" s="32">
        <v>1</v>
      </c>
      <c r="G164" s="33">
        <v>86</v>
      </c>
      <c r="H164" s="32">
        <v>12.4</v>
      </c>
      <c r="I164" s="34">
        <v>1014.9</v>
      </c>
      <c r="J164" s="36" t="s">
        <v>429</v>
      </c>
    </row>
    <row r="165" spans="1:10">
      <c r="A165" s="4">
        <v>41635</v>
      </c>
      <c r="C165" s="32">
        <v>0</v>
      </c>
      <c r="D165" s="29"/>
      <c r="E165" s="35">
        <v>0</v>
      </c>
      <c r="F165" s="32">
        <v>13.3</v>
      </c>
      <c r="G165" s="33">
        <v>93</v>
      </c>
      <c r="H165" s="32">
        <v>14.4</v>
      </c>
      <c r="I165" s="34">
        <v>1011.3</v>
      </c>
      <c r="J165" s="36" t="s">
        <v>429</v>
      </c>
    </row>
    <row r="166" spans="1:10">
      <c r="A166" s="4">
        <v>41636</v>
      </c>
      <c r="C166" s="32">
        <v>0</v>
      </c>
      <c r="D166" s="29"/>
      <c r="E166" s="35">
        <v>0</v>
      </c>
      <c r="F166" s="32">
        <v>0</v>
      </c>
      <c r="G166" s="33">
        <v>69</v>
      </c>
      <c r="H166" s="32">
        <v>10.1</v>
      </c>
      <c r="I166" s="34">
        <v>1018</v>
      </c>
      <c r="J166" s="36" t="s">
        <v>429</v>
      </c>
    </row>
    <row r="167" spans="1:10">
      <c r="A167" s="4">
        <v>41637</v>
      </c>
      <c r="C167" s="32">
        <v>0</v>
      </c>
      <c r="D167" s="29"/>
      <c r="E167" s="35">
        <v>0</v>
      </c>
      <c r="F167" s="32">
        <v>1</v>
      </c>
      <c r="G167" s="33">
        <v>84</v>
      </c>
      <c r="H167" s="32">
        <v>7.6</v>
      </c>
      <c r="I167" s="34">
        <v>1026.2</v>
      </c>
      <c r="J167" s="36" t="s">
        <v>429</v>
      </c>
    </row>
    <row r="168" spans="1:10">
      <c r="A168" s="4">
        <v>41638</v>
      </c>
      <c r="C168" s="32">
        <v>0</v>
      </c>
      <c r="D168" s="29"/>
      <c r="E168" s="35">
        <v>0</v>
      </c>
      <c r="F168" s="32">
        <v>2</v>
      </c>
      <c r="G168" s="33">
        <v>83</v>
      </c>
      <c r="H168" s="32">
        <v>8.6</v>
      </c>
      <c r="I168" s="34">
        <v>1023.5</v>
      </c>
      <c r="J168" s="36" t="s">
        <v>429</v>
      </c>
    </row>
    <row r="169" spans="1:10">
      <c r="A169" s="4">
        <v>41639</v>
      </c>
      <c r="C169" s="32">
        <v>0</v>
      </c>
      <c r="D169" s="29"/>
      <c r="E169" s="35">
        <v>0</v>
      </c>
      <c r="F169" s="32">
        <v>16.399999999999999</v>
      </c>
      <c r="G169" s="33">
        <v>89</v>
      </c>
      <c r="H169" s="32">
        <v>12.6</v>
      </c>
      <c r="I169" s="34">
        <v>1017.2</v>
      </c>
      <c r="J169" s="36" t="s">
        <v>429</v>
      </c>
    </row>
    <row r="170" spans="1:10">
      <c r="A170" s="4">
        <v>41640</v>
      </c>
      <c r="C170" s="29">
        <v>0</v>
      </c>
      <c r="D170" s="29"/>
      <c r="E170" s="26">
        <v>0</v>
      </c>
      <c r="F170" s="29">
        <v>33.200000000000003</v>
      </c>
      <c r="G170" s="27">
        <v>96</v>
      </c>
      <c r="H170" s="29">
        <v>13.8</v>
      </c>
      <c r="I170" s="28">
        <v>1013.5</v>
      </c>
      <c r="J170" s="36" t="s">
        <v>429</v>
      </c>
    </row>
    <row r="171" spans="1:10">
      <c r="A171" s="4">
        <v>41641</v>
      </c>
      <c r="C171" s="29">
        <v>0</v>
      </c>
      <c r="D171" s="29"/>
      <c r="E171" s="26">
        <v>0</v>
      </c>
      <c r="F171" s="29">
        <v>29.9</v>
      </c>
      <c r="G171" s="27">
        <v>97</v>
      </c>
      <c r="H171" s="29">
        <v>15.1</v>
      </c>
      <c r="I171" s="28">
        <v>1010.8</v>
      </c>
      <c r="J171" s="36" t="s">
        <v>429</v>
      </c>
    </row>
    <row r="172" spans="1:10">
      <c r="A172" s="4">
        <v>41642</v>
      </c>
      <c r="C172" s="29">
        <v>0</v>
      </c>
      <c r="D172" s="29"/>
      <c r="E172" s="26">
        <v>0</v>
      </c>
      <c r="F172" s="29">
        <v>17.600000000000001</v>
      </c>
      <c r="G172" s="27">
        <v>98</v>
      </c>
      <c r="H172" s="29">
        <v>13.5</v>
      </c>
      <c r="I172" s="28">
        <v>1015.4</v>
      </c>
      <c r="J172" s="36" t="s">
        <v>429</v>
      </c>
    </row>
    <row r="173" spans="1:10">
      <c r="A173" s="4">
        <v>41643</v>
      </c>
      <c r="C173" s="29">
        <v>0</v>
      </c>
      <c r="D173" s="29"/>
      <c r="E173" s="26">
        <v>0</v>
      </c>
      <c r="F173" s="29">
        <v>17.899999999999999</v>
      </c>
      <c r="G173" s="27">
        <v>83</v>
      </c>
      <c r="H173" s="29">
        <v>10.9</v>
      </c>
      <c r="I173" s="28">
        <v>1014.9</v>
      </c>
      <c r="J173" s="36" t="s">
        <v>429</v>
      </c>
    </row>
    <row r="174" spans="1:10">
      <c r="A174" s="4">
        <v>41644</v>
      </c>
      <c r="C174" s="29">
        <v>0</v>
      </c>
      <c r="D174" s="29"/>
      <c r="E174" s="26">
        <v>0</v>
      </c>
      <c r="F174" s="29">
        <v>0</v>
      </c>
      <c r="G174" s="27">
        <v>80</v>
      </c>
      <c r="H174" s="29">
        <v>13.9</v>
      </c>
      <c r="I174" s="28">
        <v>1018.9</v>
      </c>
      <c r="J174" s="36" t="s">
        <v>429</v>
      </c>
    </row>
    <row r="175" spans="1:10">
      <c r="A175" s="4">
        <v>41645</v>
      </c>
      <c r="C175" s="29">
        <v>0</v>
      </c>
      <c r="D175" s="29"/>
      <c r="E175" s="26">
        <v>0</v>
      </c>
      <c r="F175" s="29">
        <v>32</v>
      </c>
      <c r="G175" s="27">
        <v>92</v>
      </c>
      <c r="H175" s="29">
        <v>13.9</v>
      </c>
      <c r="I175" s="28">
        <v>1013.3</v>
      </c>
      <c r="J175" s="36" t="s">
        <v>429</v>
      </c>
    </row>
    <row r="176" spans="1:10">
      <c r="A176" s="4">
        <v>41646</v>
      </c>
      <c r="C176" s="29">
        <v>0</v>
      </c>
      <c r="D176" s="29"/>
      <c r="E176" s="26">
        <v>0</v>
      </c>
      <c r="F176" s="29">
        <v>7.3</v>
      </c>
      <c r="G176" s="27">
        <v>94</v>
      </c>
      <c r="H176" s="29">
        <v>13.7</v>
      </c>
      <c r="I176" s="28">
        <v>1013.8</v>
      </c>
      <c r="J176" s="36" t="s">
        <v>429</v>
      </c>
    </row>
    <row r="177" spans="1:10">
      <c r="A177" s="4">
        <v>41647</v>
      </c>
      <c r="C177" s="29">
        <v>0</v>
      </c>
      <c r="D177" s="29"/>
      <c r="E177" s="26">
        <v>0</v>
      </c>
      <c r="F177" s="29">
        <v>0</v>
      </c>
      <c r="G177" s="27">
        <v>78</v>
      </c>
      <c r="H177" s="29">
        <v>13.7</v>
      </c>
      <c r="I177" s="28">
        <v>1013.4</v>
      </c>
      <c r="J177" s="36" t="s">
        <v>429</v>
      </c>
    </row>
    <row r="178" spans="1:10">
      <c r="A178" s="4">
        <v>41648</v>
      </c>
      <c r="C178" s="29">
        <v>0</v>
      </c>
      <c r="D178" s="29"/>
      <c r="E178" s="26">
        <v>0</v>
      </c>
      <c r="F178" s="29">
        <v>0</v>
      </c>
      <c r="G178" s="27">
        <v>57.999999999999993</v>
      </c>
      <c r="H178" s="29">
        <v>14.5</v>
      </c>
      <c r="I178" s="28">
        <v>1013.5</v>
      </c>
      <c r="J178" s="36" t="s">
        <v>429</v>
      </c>
    </row>
    <row r="179" spans="1:10">
      <c r="A179" s="4">
        <v>41649</v>
      </c>
      <c r="C179" s="29">
        <v>0</v>
      </c>
      <c r="D179" s="29"/>
      <c r="E179" s="26">
        <v>0</v>
      </c>
      <c r="F179" s="29">
        <v>0</v>
      </c>
      <c r="G179" s="27">
        <v>81</v>
      </c>
      <c r="H179" s="29">
        <v>11.6</v>
      </c>
      <c r="I179" s="28">
        <v>1012.3</v>
      </c>
      <c r="J179" s="36" t="s">
        <v>429</v>
      </c>
    </row>
    <row r="180" spans="1:10">
      <c r="A180" s="4">
        <v>41650</v>
      </c>
      <c r="C180" s="29">
        <v>0</v>
      </c>
      <c r="D180" s="29"/>
      <c r="E180" s="26">
        <v>0</v>
      </c>
      <c r="F180" s="29">
        <v>0</v>
      </c>
      <c r="G180" s="27">
        <v>88</v>
      </c>
      <c r="H180" s="29">
        <v>10.4</v>
      </c>
      <c r="I180" s="28">
        <v>1014.6</v>
      </c>
      <c r="J180" s="36" t="s">
        <v>429</v>
      </c>
    </row>
    <row r="181" spans="1:10">
      <c r="A181" s="4">
        <v>41651</v>
      </c>
      <c r="C181" s="29">
        <v>0</v>
      </c>
      <c r="D181" s="29"/>
      <c r="E181" s="26">
        <v>0</v>
      </c>
      <c r="F181" s="29">
        <v>4</v>
      </c>
      <c r="G181" s="27">
        <v>92</v>
      </c>
      <c r="H181" s="29">
        <v>11.1</v>
      </c>
      <c r="I181" s="28">
        <v>1019.2</v>
      </c>
      <c r="J181" s="36" t="s">
        <v>429</v>
      </c>
    </row>
    <row r="182" spans="1:10">
      <c r="A182" s="4">
        <v>41652</v>
      </c>
      <c r="C182" s="29">
        <v>0</v>
      </c>
      <c r="D182" s="29"/>
      <c r="E182" s="26">
        <v>0</v>
      </c>
      <c r="F182" s="29">
        <v>1</v>
      </c>
      <c r="G182" s="27">
        <v>87</v>
      </c>
      <c r="H182" s="29">
        <v>9.6999999999999993</v>
      </c>
      <c r="I182" s="28">
        <v>1020.7</v>
      </c>
      <c r="J182" s="36" t="s">
        <v>429</v>
      </c>
    </row>
    <row r="183" spans="1:10">
      <c r="A183" s="4">
        <v>41653</v>
      </c>
      <c r="C183" s="29">
        <v>0</v>
      </c>
      <c r="E183" s="26">
        <v>0</v>
      </c>
      <c r="F183" s="29">
        <v>4</v>
      </c>
      <c r="G183" s="27">
        <v>94</v>
      </c>
      <c r="H183" s="29">
        <v>13.1</v>
      </c>
      <c r="I183" s="28">
        <v>1018.5</v>
      </c>
      <c r="J183" s="36" t="s">
        <v>429</v>
      </c>
    </row>
    <row r="184" spans="1:10">
      <c r="A184" s="4">
        <v>41654</v>
      </c>
      <c r="C184" s="29">
        <v>0</v>
      </c>
      <c r="E184" s="26">
        <v>358</v>
      </c>
      <c r="F184" s="29">
        <v>9.3000000000000007</v>
      </c>
      <c r="G184" s="27">
        <v>97</v>
      </c>
      <c r="H184" s="29">
        <v>12.1</v>
      </c>
      <c r="I184" s="28">
        <v>1013.4</v>
      </c>
      <c r="J184" s="36" t="s">
        <v>429</v>
      </c>
    </row>
    <row r="185" spans="1:10">
      <c r="A185" s="4">
        <v>41655</v>
      </c>
      <c r="C185" s="29">
        <v>0</v>
      </c>
      <c r="E185" s="26">
        <v>316</v>
      </c>
      <c r="F185" s="29">
        <v>7.3</v>
      </c>
      <c r="G185" s="27">
        <v>85</v>
      </c>
      <c r="H185" s="29">
        <v>9.9</v>
      </c>
      <c r="I185" s="28">
        <v>1008.3</v>
      </c>
      <c r="J185" s="36" t="s">
        <v>429</v>
      </c>
    </row>
    <row r="186" spans="1:10">
      <c r="A186" s="4">
        <v>41656</v>
      </c>
      <c r="C186" s="29">
        <v>0</v>
      </c>
      <c r="E186" s="26">
        <v>87</v>
      </c>
      <c r="F186" s="29">
        <v>19.7</v>
      </c>
      <c r="G186" s="27">
        <v>87</v>
      </c>
      <c r="H186" s="29">
        <v>9</v>
      </c>
      <c r="I186" s="28">
        <v>994.9</v>
      </c>
      <c r="J186" s="36" t="s">
        <v>429</v>
      </c>
    </row>
    <row r="187" spans="1:10">
      <c r="A187" s="4">
        <v>41657</v>
      </c>
      <c r="C187" s="29">
        <v>0</v>
      </c>
      <c r="E187" s="26">
        <v>99</v>
      </c>
      <c r="F187" s="29">
        <v>16.3</v>
      </c>
      <c r="G187" s="27">
        <v>91</v>
      </c>
      <c r="H187" s="29">
        <v>9.1999999999999993</v>
      </c>
      <c r="I187" s="28">
        <v>994.4</v>
      </c>
      <c r="J187" s="36" t="s">
        <v>430</v>
      </c>
    </row>
    <row r="188" spans="1:10">
      <c r="A188" s="4">
        <v>41658</v>
      </c>
      <c r="C188" s="29">
        <v>0</v>
      </c>
      <c r="E188" s="26">
        <v>91</v>
      </c>
      <c r="F188" s="29">
        <v>7</v>
      </c>
      <c r="G188" s="27">
        <v>83</v>
      </c>
      <c r="H188" s="29">
        <v>8.6999999999999993</v>
      </c>
      <c r="I188" s="28">
        <v>1005.6</v>
      </c>
      <c r="J188" s="36" t="s">
        <v>430</v>
      </c>
    </row>
    <row r="189" spans="1:10">
      <c r="A189" s="4">
        <v>41659</v>
      </c>
      <c r="C189" s="29">
        <v>0</v>
      </c>
      <c r="E189" s="26">
        <v>90</v>
      </c>
      <c r="F189" s="29">
        <v>1</v>
      </c>
      <c r="G189" s="27">
        <v>87</v>
      </c>
      <c r="H189" s="29">
        <v>9.1999999999999993</v>
      </c>
      <c r="I189" s="28">
        <v>1016.3</v>
      </c>
      <c r="J189" s="36" t="s">
        <v>430</v>
      </c>
    </row>
    <row r="190" spans="1:10">
      <c r="A190" s="4">
        <v>41660</v>
      </c>
      <c r="C190" s="29">
        <v>0</v>
      </c>
      <c r="E190" s="26">
        <v>90</v>
      </c>
      <c r="F190" s="29">
        <v>5.3</v>
      </c>
      <c r="G190" s="27">
        <v>97</v>
      </c>
      <c r="H190" s="29">
        <v>11.1</v>
      </c>
      <c r="I190" s="28">
        <v>1013.8</v>
      </c>
      <c r="J190" s="36" t="s">
        <v>430</v>
      </c>
    </row>
    <row r="191" spans="1:10">
      <c r="A191" s="4">
        <v>41661</v>
      </c>
      <c r="C191" s="29">
        <v>0</v>
      </c>
      <c r="E191" s="26">
        <v>90</v>
      </c>
      <c r="F191" s="29">
        <v>3</v>
      </c>
      <c r="G191" s="27">
        <v>86</v>
      </c>
      <c r="H191" s="29">
        <v>11.1</v>
      </c>
      <c r="I191" s="28">
        <v>1016.8</v>
      </c>
      <c r="J191" s="36" t="s">
        <v>430</v>
      </c>
    </row>
    <row r="192" spans="1:10">
      <c r="A192" s="4">
        <v>41662</v>
      </c>
      <c r="C192" s="29">
        <v>0</v>
      </c>
      <c r="E192" s="26">
        <v>90</v>
      </c>
      <c r="F192" s="29">
        <v>0</v>
      </c>
      <c r="G192" s="27">
        <v>83</v>
      </c>
      <c r="H192" s="29">
        <v>8.6999999999999993</v>
      </c>
      <c r="I192" s="28">
        <v>1025.9000000000001</v>
      </c>
      <c r="J192" s="36" t="s">
        <v>430</v>
      </c>
    </row>
    <row r="193" spans="1:10">
      <c r="A193" s="4">
        <v>41663</v>
      </c>
      <c r="C193" s="29">
        <v>0</v>
      </c>
      <c r="E193" s="26">
        <v>90</v>
      </c>
      <c r="F193" s="29">
        <v>0</v>
      </c>
      <c r="G193" s="27">
        <v>93</v>
      </c>
      <c r="H193" s="29">
        <v>9.3000000000000007</v>
      </c>
      <c r="I193" s="28">
        <v>1029.0999999999999</v>
      </c>
      <c r="J193" s="36" t="s">
        <v>430</v>
      </c>
    </row>
    <row r="194" spans="1:10">
      <c r="A194" s="4">
        <v>41664</v>
      </c>
      <c r="C194" s="29">
        <v>0</v>
      </c>
      <c r="E194" s="26">
        <v>90</v>
      </c>
      <c r="F194" s="29">
        <v>0</v>
      </c>
      <c r="G194" s="27">
        <v>94</v>
      </c>
      <c r="H194" s="29">
        <v>12.6</v>
      </c>
      <c r="I194" s="28">
        <v>1027.9000000000001</v>
      </c>
      <c r="J194" s="36" t="s">
        <v>430</v>
      </c>
    </row>
    <row r="195" spans="1:10">
      <c r="A195" s="4">
        <v>41665</v>
      </c>
      <c r="C195" s="29">
        <v>0</v>
      </c>
      <c r="E195" s="26">
        <v>90</v>
      </c>
      <c r="F195" s="29">
        <v>4</v>
      </c>
      <c r="G195" s="27">
        <v>97</v>
      </c>
      <c r="H195" s="29">
        <v>12.7</v>
      </c>
      <c r="I195" s="28">
        <v>1022.8</v>
      </c>
      <c r="J195" s="36" t="s">
        <v>430</v>
      </c>
    </row>
    <row r="196" spans="1:10">
      <c r="A196" s="4">
        <v>41666</v>
      </c>
      <c r="C196" s="29">
        <v>0</v>
      </c>
      <c r="E196" s="26">
        <v>90</v>
      </c>
      <c r="F196" s="29">
        <v>2</v>
      </c>
      <c r="G196" s="27">
        <v>81</v>
      </c>
      <c r="H196" s="29">
        <v>11.2</v>
      </c>
      <c r="I196" s="28">
        <v>1019.3</v>
      </c>
      <c r="J196" s="36" t="s">
        <v>430</v>
      </c>
    </row>
    <row r="197" spans="1:10">
      <c r="A197" s="4">
        <v>41667</v>
      </c>
      <c r="C197" s="29">
        <v>0</v>
      </c>
      <c r="E197" s="26">
        <v>90</v>
      </c>
      <c r="F197" s="29">
        <v>3</v>
      </c>
      <c r="G197" s="27">
        <v>80</v>
      </c>
      <c r="H197" s="29">
        <v>11.2</v>
      </c>
      <c r="I197" s="28">
        <v>1009.6</v>
      </c>
      <c r="J197" s="36" t="s">
        <v>430</v>
      </c>
    </row>
    <row r="198" spans="1:10">
      <c r="A198" s="4">
        <v>41668</v>
      </c>
      <c r="C198" s="29">
        <v>0</v>
      </c>
      <c r="E198" s="26">
        <v>90</v>
      </c>
      <c r="F198" s="29">
        <v>11.6</v>
      </c>
      <c r="G198" s="27">
        <v>80</v>
      </c>
      <c r="H198" s="29">
        <v>9.4</v>
      </c>
      <c r="I198" s="28">
        <v>1003.7</v>
      </c>
      <c r="J198" s="36" t="s">
        <v>430</v>
      </c>
    </row>
    <row r="199" spans="1:10">
      <c r="A199" s="4">
        <v>41669</v>
      </c>
      <c r="C199" s="29">
        <v>0</v>
      </c>
      <c r="E199" s="26">
        <v>75</v>
      </c>
      <c r="F199" s="29">
        <v>3</v>
      </c>
      <c r="G199" s="27">
        <v>87</v>
      </c>
      <c r="H199" s="29">
        <v>9.1</v>
      </c>
      <c r="I199" s="28">
        <v>1012.8</v>
      </c>
      <c r="J199" s="36" t="s">
        <v>430</v>
      </c>
    </row>
    <row r="200" spans="1:10">
      <c r="A200" s="4">
        <v>41670</v>
      </c>
      <c r="C200" s="29">
        <v>0</v>
      </c>
      <c r="E200" s="26">
        <v>45</v>
      </c>
      <c r="F200" s="29">
        <v>4</v>
      </c>
      <c r="G200" s="27">
        <v>97</v>
      </c>
      <c r="H200" s="29">
        <v>12.6</v>
      </c>
      <c r="I200" s="28">
        <v>1012.3</v>
      </c>
      <c r="J200" s="36" t="s">
        <v>430</v>
      </c>
    </row>
    <row r="201" spans="1:10">
      <c r="A201" s="4">
        <v>41671</v>
      </c>
      <c r="C201" s="29">
        <v>0</v>
      </c>
      <c r="E201" s="26">
        <v>45</v>
      </c>
      <c r="F201" s="29">
        <v>10.6</v>
      </c>
      <c r="G201" s="27">
        <v>78</v>
      </c>
      <c r="H201" s="29">
        <v>10.7</v>
      </c>
      <c r="I201" s="28">
        <v>1015</v>
      </c>
      <c r="J201" s="36" t="s">
        <v>430</v>
      </c>
    </row>
    <row r="202" spans="1:10">
      <c r="A202" s="4">
        <v>41672</v>
      </c>
      <c r="C202" s="29">
        <v>1.0555555555555556</v>
      </c>
      <c r="E202" s="26">
        <v>157</v>
      </c>
      <c r="F202" s="29">
        <v>3</v>
      </c>
      <c r="G202" s="27">
        <v>77</v>
      </c>
      <c r="H202" s="29">
        <v>9</v>
      </c>
      <c r="I202" s="28">
        <v>1017.2</v>
      </c>
      <c r="J202" s="36" t="s">
        <v>430</v>
      </c>
    </row>
    <row r="203" spans="1:10">
      <c r="A203" s="4">
        <v>41673</v>
      </c>
      <c r="C203" s="29">
        <v>3.3055555555555554</v>
      </c>
      <c r="E203" s="26">
        <v>221</v>
      </c>
      <c r="F203" s="29">
        <v>15.3</v>
      </c>
      <c r="G203" s="27">
        <v>79</v>
      </c>
      <c r="H203" s="29">
        <v>9.5</v>
      </c>
      <c r="I203" s="28">
        <v>1009.5</v>
      </c>
      <c r="J203" s="36" t="s">
        <v>430</v>
      </c>
    </row>
    <row r="204" spans="1:10">
      <c r="A204" s="4">
        <v>41674</v>
      </c>
      <c r="C204" s="29">
        <v>4.0555555555555554</v>
      </c>
      <c r="E204" s="26">
        <v>202</v>
      </c>
      <c r="F204" s="29">
        <v>25</v>
      </c>
      <c r="G204" s="27">
        <v>93</v>
      </c>
      <c r="H204" s="29">
        <v>10.9</v>
      </c>
      <c r="I204" s="28">
        <v>1006.6</v>
      </c>
      <c r="J204" s="36" t="s">
        <v>430</v>
      </c>
    </row>
    <row r="205" spans="1:10">
      <c r="A205" s="4">
        <v>41675</v>
      </c>
      <c r="C205" s="29">
        <v>2.8611111111111112</v>
      </c>
      <c r="E205" s="26">
        <v>207</v>
      </c>
      <c r="F205" s="29">
        <v>0</v>
      </c>
      <c r="G205" s="27">
        <v>79</v>
      </c>
      <c r="H205" s="29">
        <v>12.7</v>
      </c>
      <c r="I205" s="28">
        <v>1009</v>
      </c>
      <c r="J205" s="36" t="s">
        <v>430</v>
      </c>
    </row>
    <row r="206" spans="1:10">
      <c r="A206" s="4">
        <v>41676</v>
      </c>
      <c r="C206" s="29">
        <v>4.5277777777777777</v>
      </c>
      <c r="E206" s="26">
        <v>210</v>
      </c>
      <c r="F206" s="29">
        <v>18.7</v>
      </c>
      <c r="G206" s="27">
        <v>84</v>
      </c>
      <c r="H206" s="29">
        <v>12.8</v>
      </c>
      <c r="I206" s="28">
        <v>1005.5</v>
      </c>
      <c r="J206" s="36" t="s">
        <v>430</v>
      </c>
    </row>
    <row r="207" spans="1:10">
      <c r="A207" s="4">
        <v>41677</v>
      </c>
      <c r="C207" s="29">
        <v>2.6666666666666665</v>
      </c>
      <c r="E207" s="26">
        <v>204</v>
      </c>
      <c r="F207" s="29">
        <v>2</v>
      </c>
      <c r="G207" s="27">
        <v>85</v>
      </c>
      <c r="H207" s="29">
        <v>10.9</v>
      </c>
      <c r="I207" s="28">
        <v>1014.3</v>
      </c>
      <c r="J207" s="36" t="s">
        <v>430</v>
      </c>
    </row>
    <row r="208" spans="1:10">
      <c r="A208" s="4">
        <v>41678</v>
      </c>
      <c r="C208" s="29">
        <v>2.9444444444444442</v>
      </c>
      <c r="E208" s="26">
        <v>236</v>
      </c>
      <c r="F208" s="29">
        <v>9.3000000000000007</v>
      </c>
      <c r="G208" s="27">
        <v>82</v>
      </c>
      <c r="H208" s="29">
        <v>11.8</v>
      </c>
      <c r="I208" s="28">
        <v>1009.9</v>
      </c>
      <c r="J208" s="36" t="s">
        <v>430</v>
      </c>
    </row>
    <row r="209" spans="1:10">
      <c r="A209" s="4">
        <v>41679</v>
      </c>
      <c r="C209" s="29">
        <v>5.2222222222222223</v>
      </c>
      <c r="E209" s="26">
        <v>220</v>
      </c>
      <c r="F209" s="29">
        <v>11.3</v>
      </c>
      <c r="G209" s="27">
        <v>87</v>
      </c>
      <c r="H209" s="29">
        <v>10.7</v>
      </c>
      <c r="I209" s="28">
        <v>1000.2</v>
      </c>
      <c r="J209" s="36" t="s">
        <v>430</v>
      </c>
    </row>
    <row r="210" spans="1:10">
      <c r="A210" s="4">
        <v>41680</v>
      </c>
      <c r="C210" s="29">
        <v>2.7777777777777777</v>
      </c>
      <c r="E210" s="26">
        <v>289</v>
      </c>
      <c r="F210" s="29">
        <v>2</v>
      </c>
      <c r="G210" s="27">
        <v>64</v>
      </c>
      <c r="H210" s="29">
        <v>9.1999999999999993</v>
      </c>
      <c r="I210" s="28">
        <v>1014.8</v>
      </c>
      <c r="J210" s="36" t="s">
        <v>430</v>
      </c>
    </row>
    <row r="211" spans="1:10">
      <c r="A211" s="4">
        <v>41681</v>
      </c>
      <c r="C211" s="29">
        <v>2.5277777777777777</v>
      </c>
      <c r="E211" s="26">
        <v>220</v>
      </c>
      <c r="F211" s="29">
        <v>33.9</v>
      </c>
      <c r="G211" s="27">
        <v>94</v>
      </c>
      <c r="H211" s="29">
        <v>11.1</v>
      </c>
      <c r="I211" s="28">
        <v>1012.9</v>
      </c>
      <c r="J211" s="36" t="s">
        <v>430</v>
      </c>
    </row>
    <row r="212" spans="1:10">
      <c r="A212" s="4">
        <v>41682</v>
      </c>
      <c r="C212" s="29">
        <v>1.9166666666666667</v>
      </c>
      <c r="E212" s="26">
        <v>212</v>
      </c>
      <c r="F212" s="29">
        <v>9</v>
      </c>
      <c r="G212" s="27">
        <v>98</v>
      </c>
      <c r="H212" s="29">
        <v>11.4</v>
      </c>
      <c r="I212" s="28">
        <v>1015.5</v>
      </c>
      <c r="J212" s="36" t="s">
        <v>430</v>
      </c>
    </row>
    <row r="213" spans="1:10">
      <c r="A213" s="4">
        <v>41683</v>
      </c>
      <c r="C213" s="29">
        <v>2.833333333333333</v>
      </c>
      <c r="E213" s="26">
        <v>223</v>
      </c>
      <c r="F213" s="29">
        <v>10.3</v>
      </c>
      <c r="G213" s="27">
        <v>94</v>
      </c>
      <c r="H213" s="29">
        <v>14.9</v>
      </c>
      <c r="I213" s="28">
        <v>1015.9</v>
      </c>
      <c r="J213" s="36" t="s">
        <v>430</v>
      </c>
    </row>
    <row r="214" spans="1:10">
      <c r="A214" s="4">
        <v>41684</v>
      </c>
      <c r="C214" s="29">
        <v>3.5833333333333335</v>
      </c>
      <c r="E214" s="26">
        <v>201</v>
      </c>
      <c r="F214" s="29">
        <v>10</v>
      </c>
      <c r="G214" s="27">
        <v>89</v>
      </c>
      <c r="H214" s="29">
        <v>13.4</v>
      </c>
      <c r="I214" s="28">
        <v>1007.5</v>
      </c>
      <c r="J214" s="36" t="s">
        <v>430</v>
      </c>
    </row>
    <row r="215" spans="1:10">
      <c r="A215" s="4">
        <v>41685</v>
      </c>
      <c r="C215" s="29">
        <v>0.91666666666666663</v>
      </c>
      <c r="E215" s="26">
        <v>290</v>
      </c>
      <c r="F215" s="29">
        <v>1</v>
      </c>
      <c r="G215" s="27">
        <v>82</v>
      </c>
      <c r="H215" s="29">
        <v>9.4</v>
      </c>
      <c r="I215" s="28">
        <v>1011.1</v>
      </c>
      <c r="J215" s="36" t="s">
        <v>430</v>
      </c>
    </row>
    <row r="216" spans="1:10">
      <c r="A216" s="4">
        <v>41686</v>
      </c>
      <c r="C216" s="29">
        <v>0.25</v>
      </c>
      <c r="E216" s="26">
        <v>129</v>
      </c>
      <c r="F216" s="29">
        <v>0</v>
      </c>
      <c r="G216" s="27">
        <v>96</v>
      </c>
      <c r="H216" s="29">
        <v>4.2</v>
      </c>
      <c r="I216" s="28">
        <v>1016.6</v>
      </c>
      <c r="J216" s="36" t="s">
        <v>430</v>
      </c>
    </row>
    <row r="217" spans="1:10">
      <c r="A217" s="4">
        <v>41687</v>
      </c>
      <c r="C217" s="29">
        <v>2</v>
      </c>
      <c r="E217" s="26">
        <v>154</v>
      </c>
      <c r="F217" s="29">
        <v>3</v>
      </c>
      <c r="G217" s="27">
        <v>79</v>
      </c>
      <c r="H217" s="29">
        <v>8.6</v>
      </c>
      <c r="I217" s="28">
        <v>1008.5</v>
      </c>
      <c r="J217" s="36" t="s">
        <v>430</v>
      </c>
    </row>
    <row r="218" spans="1:10">
      <c r="A218" s="4">
        <v>41688</v>
      </c>
      <c r="C218" s="29">
        <v>1.0833333333333333</v>
      </c>
      <c r="E218" s="26">
        <v>320</v>
      </c>
      <c r="F218" s="29">
        <v>0</v>
      </c>
      <c r="G218" s="27">
        <v>85</v>
      </c>
      <c r="H218" s="29">
        <v>8.8000000000000007</v>
      </c>
      <c r="I218" s="28">
        <v>1015</v>
      </c>
      <c r="J218" s="36" t="s">
        <v>430</v>
      </c>
    </row>
    <row r="219" spans="1:10">
      <c r="A219" s="4">
        <v>41689</v>
      </c>
      <c r="C219" s="29">
        <v>0.61111111111111116</v>
      </c>
      <c r="E219" s="26">
        <v>283</v>
      </c>
      <c r="F219" s="29">
        <v>1</v>
      </c>
      <c r="G219" s="27">
        <v>84</v>
      </c>
      <c r="H219" s="29">
        <v>11.7</v>
      </c>
      <c r="I219" s="28">
        <v>1021.1</v>
      </c>
      <c r="J219" s="36" t="s">
        <v>430</v>
      </c>
    </row>
    <row r="220" spans="1:10">
      <c r="A220" s="4">
        <v>41690</v>
      </c>
      <c r="C220" s="29">
        <v>1.6111111111111109</v>
      </c>
      <c r="E220" s="26">
        <v>239</v>
      </c>
      <c r="F220" s="29">
        <v>4</v>
      </c>
      <c r="G220" s="27">
        <v>95</v>
      </c>
      <c r="H220" s="29">
        <v>12.1</v>
      </c>
      <c r="I220" s="28">
        <v>1020.1</v>
      </c>
      <c r="J220" s="36" t="s">
        <v>430</v>
      </c>
    </row>
    <row r="221" spans="1:10">
      <c r="A221" s="4">
        <v>41691</v>
      </c>
      <c r="C221" s="29">
        <v>1.0555555555555556</v>
      </c>
      <c r="E221" s="26">
        <v>305</v>
      </c>
      <c r="F221" s="29">
        <v>0</v>
      </c>
      <c r="G221" s="27">
        <v>71</v>
      </c>
      <c r="H221" s="29">
        <v>9.9</v>
      </c>
      <c r="I221" s="28">
        <v>1021.6</v>
      </c>
      <c r="J221" s="36" t="s">
        <v>430</v>
      </c>
    </row>
    <row r="222" spans="1:10">
      <c r="A222" s="4">
        <v>41692</v>
      </c>
      <c r="C222" s="29">
        <v>0.88888888888888895</v>
      </c>
      <c r="E222" s="26">
        <v>212</v>
      </c>
      <c r="F222" s="29">
        <v>2</v>
      </c>
      <c r="G222" s="27">
        <v>79</v>
      </c>
      <c r="H222" s="29">
        <v>11.5</v>
      </c>
      <c r="I222" s="28">
        <v>1021.4</v>
      </c>
      <c r="J222" s="36" t="s">
        <v>430</v>
      </c>
    </row>
    <row r="223" spans="1:10">
      <c r="A223" s="4">
        <v>41693</v>
      </c>
      <c r="C223" s="29">
        <v>3</v>
      </c>
      <c r="E223" s="26">
        <v>154</v>
      </c>
      <c r="F223" s="29">
        <v>5</v>
      </c>
      <c r="G223" s="27">
        <v>71</v>
      </c>
      <c r="H223" s="29">
        <v>11.8</v>
      </c>
      <c r="I223" s="28">
        <v>1010.6</v>
      </c>
      <c r="J223" s="36" t="s">
        <v>430</v>
      </c>
    </row>
    <row r="224" spans="1:10">
      <c r="A224" s="4">
        <v>41694</v>
      </c>
      <c r="C224" s="29">
        <v>1.8611111111111112</v>
      </c>
      <c r="E224" s="26">
        <v>248</v>
      </c>
      <c r="F224" s="29">
        <v>12.3</v>
      </c>
      <c r="G224" s="27">
        <v>78</v>
      </c>
      <c r="H224" s="29">
        <v>10.7</v>
      </c>
      <c r="I224" s="28">
        <v>1013.7</v>
      </c>
      <c r="J224" s="36" t="s">
        <v>430</v>
      </c>
    </row>
    <row r="225" spans="1:10">
      <c r="A225" s="4">
        <v>41695</v>
      </c>
      <c r="C225" s="29">
        <v>2.1666666666666665</v>
      </c>
      <c r="E225" s="26">
        <v>242</v>
      </c>
      <c r="F225" s="29">
        <v>1</v>
      </c>
      <c r="G225" s="27">
        <v>80</v>
      </c>
      <c r="H225" s="29">
        <v>12.5</v>
      </c>
      <c r="I225" s="28">
        <v>1019.7</v>
      </c>
      <c r="J225" s="36" t="s">
        <v>430</v>
      </c>
    </row>
    <row r="226" spans="1:10">
      <c r="A226" s="4">
        <v>41696</v>
      </c>
      <c r="C226" s="29">
        <v>1.25</v>
      </c>
      <c r="E226" s="26">
        <v>292</v>
      </c>
      <c r="F226" s="29">
        <v>0</v>
      </c>
      <c r="G226" s="27">
        <v>71</v>
      </c>
      <c r="H226" s="29">
        <v>11.8</v>
      </c>
      <c r="I226" s="28">
        <v>1026.0999999999999</v>
      </c>
      <c r="J226" s="36" t="s">
        <v>430</v>
      </c>
    </row>
    <row r="227" spans="1:10">
      <c r="A227" s="4">
        <v>41697</v>
      </c>
      <c r="C227" s="29">
        <v>1.0277777777777779</v>
      </c>
      <c r="E227" s="26">
        <v>233</v>
      </c>
      <c r="F227" s="29">
        <v>3</v>
      </c>
      <c r="G227" s="27">
        <v>94</v>
      </c>
      <c r="H227" s="29">
        <v>11.9</v>
      </c>
      <c r="I227" s="28">
        <v>1027.5999999999999</v>
      </c>
      <c r="J227" s="36" t="s">
        <v>430</v>
      </c>
    </row>
    <row r="228" spans="1:10">
      <c r="A228" s="4">
        <v>41698</v>
      </c>
      <c r="C228" s="29">
        <v>1.3055555555555556</v>
      </c>
      <c r="E228" s="26">
        <v>276</v>
      </c>
      <c r="F228" s="29">
        <v>0</v>
      </c>
      <c r="G228" s="27">
        <v>87</v>
      </c>
      <c r="H228" s="29">
        <v>11.7</v>
      </c>
      <c r="I228" s="28">
        <v>1024.0999999999999</v>
      </c>
      <c r="J228" s="36" t="s">
        <v>430</v>
      </c>
    </row>
    <row r="229" spans="1:10">
      <c r="A229" s="4">
        <v>41699</v>
      </c>
      <c r="C229" s="29">
        <v>3.9444444444444442</v>
      </c>
      <c r="E229" s="26">
        <v>260</v>
      </c>
      <c r="F229" s="29">
        <v>8.3000000000000007</v>
      </c>
      <c r="G229" s="27">
        <v>97</v>
      </c>
      <c r="H229" s="29">
        <v>12.9</v>
      </c>
      <c r="I229" s="28">
        <v>1012.4</v>
      </c>
      <c r="J229" s="36" t="s">
        <v>430</v>
      </c>
    </row>
    <row r="230" spans="1:10">
      <c r="A230" s="4">
        <v>41700</v>
      </c>
      <c r="C230" s="29">
        <v>3.1111111111111107</v>
      </c>
      <c r="E230" s="26">
        <v>269</v>
      </c>
      <c r="F230" s="29">
        <v>7</v>
      </c>
      <c r="G230" s="27">
        <v>98</v>
      </c>
      <c r="H230" s="29">
        <v>12.7</v>
      </c>
      <c r="I230" s="28">
        <v>1010.5</v>
      </c>
      <c r="J230" s="36" t="s">
        <v>430</v>
      </c>
    </row>
    <row r="231" spans="1:10">
      <c r="A231" s="4">
        <v>41701</v>
      </c>
      <c r="C231" s="29">
        <v>2.9722222222222219</v>
      </c>
      <c r="E231" s="26">
        <v>290</v>
      </c>
      <c r="F231" s="29">
        <v>1</v>
      </c>
      <c r="G231" s="27">
        <v>70</v>
      </c>
      <c r="H231" s="29">
        <v>11.4</v>
      </c>
      <c r="I231" s="28">
        <v>1015.3</v>
      </c>
      <c r="J231" s="36" t="s">
        <v>430</v>
      </c>
    </row>
    <row r="232" spans="1:10">
      <c r="A232" s="4">
        <v>41702</v>
      </c>
      <c r="C232" s="29">
        <v>1.9166666666666667</v>
      </c>
      <c r="E232" s="26">
        <v>261</v>
      </c>
      <c r="F232" s="29">
        <v>4</v>
      </c>
      <c r="G232" s="27">
        <v>80</v>
      </c>
      <c r="H232" s="29">
        <v>11.4</v>
      </c>
      <c r="I232" s="28">
        <v>1018.9</v>
      </c>
      <c r="J232" s="36" t="s">
        <v>430</v>
      </c>
    </row>
    <row r="233" spans="1:10">
      <c r="A233" s="4">
        <v>41703</v>
      </c>
      <c r="C233" s="29">
        <v>2.7222222222222223</v>
      </c>
      <c r="E233" s="26">
        <v>326</v>
      </c>
      <c r="F233" s="29">
        <v>3</v>
      </c>
      <c r="G233" s="27">
        <v>84</v>
      </c>
      <c r="H233" s="29">
        <v>12.7</v>
      </c>
      <c r="I233" s="28">
        <v>1018.7</v>
      </c>
      <c r="J233" s="36" t="s">
        <v>430</v>
      </c>
    </row>
    <row r="234" spans="1:10">
      <c r="A234" s="4">
        <v>41704</v>
      </c>
      <c r="C234" s="29">
        <v>0.88888888888888895</v>
      </c>
      <c r="E234" s="26">
        <v>332</v>
      </c>
      <c r="F234" s="29">
        <v>0</v>
      </c>
      <c r="G234" s="27">
        <v>82</v>
      </c>
      <c r="H234" s="29">
        <v>13.4</v>
      </c>
      <c r="I234" s="28">
        <v>1018.1</v>
      </c>
      <c r="J234" s="36" t="s">
        <v>430</v>
      </c>
    </row>
    <row r="235" spans="1:10">
      <c r="A235" s="4">
        <v>41705</v>
      </c>
      <c r="C235" s="29">
        <v>0.94444444444444442</v>
      </c>
      <c r="E235" s="26">
        <v>44</v>
      </c>
      <c r="F235" s="29">
        <v>0</v>
      </c>
      <c r="G235" s="27">
        <v>77</v>
      </c>
      <c r="H235" s="29">
        <v>14.5</v>
      </c>
      <c r="I235" s="28">
        <v>1017.7</v>
      </c>
      <c r="J235" s="36" t="s">
        <v>430</v>
      </c>
    </row>
    <row r="236" spans="1:10">
      <c r="A236" s="4">
        <v>41706</v>
      </c>
      <c r="C236" s="29">
        <v>2.8888888888888888</v>
      </c>
      <c r="E236" s="26">
        <v>109</v>
      </c>
      <c r="F236" s="29">
        <v>0</v>
      </c>
      <c r="G236" s="27">
        <v>54</v>
      </c>
      <c r="H236" s="29">
        <v>17.100000000000001</v>
      </c>
      <c r="I236" s="28">
        <v>1014.9</v>
      </c>
      <c r="J236" s="36" t="s">
        <v>430</v>
      </c>
    </row>
    <row r="237" spans="1:10">
      <c r="A237" s="4">
        <v>41707</v>
      </c>
      <c r="C237" s="29">
        <v>2.8888888888888888</v>
      </c>
      <c r="E237" s="26">
        <v>109</v>
      </c>
      <c r="F237" s="29">
        <v>0</v>
      </c>
      <c r="G237" s="27">
        <v>54</v>
      </c>
      <c r="H237" s="29">
        <v>17.100000000000001</v>
      </c>
      <c r="I237" s="28">
        <v>1014.9</v>
      </c>
      <c r="J237" s="36" t="s">
        <v>430</v>
      </c>
    </row>
    <row r="238" spans="1:10">
      <c r="A238" s="4">
        <v>41708</v>
      </c>
      <c r="C238" s="29">
        <v>2.1111111111111112</v>
      </c>
      <c r="E238" s="26">
        <v>90</v>
      </c>
      <c r="F238" s="29">
        <v>0</v>
      </c>
      <c r="G238" s="27">
        <v>37</v>
      </c>
      <c r="H238" s="29">
        <v>15.9</v>
      </c>
      <c r="I238" s="28">
        <v>1016</v>
      </c>
      <c r="J238" s="36" t="s">
        <v>429</v>
      </c>
    </row>
    <row r="239" spans="1:10">
      <c r="A239" s="4">
        <v>41709</v>
      </c>
      <c r="C239" s="29">
        <v>0.88888888888888895</v>
      </c>
      <c r="E239" s="26">
        <v>74</v>
      </c>
      <c r="F239" s="29">
        <v>0</v>
      </c>
      <c r="G239" s="27">
        <v>51</v>
      </c>
      <c r="H239" s="29">
        <v>13.8</v>
      </c>
      <c r="I239" s="28">
        <v>1015.2</v>
      </c>
      <c r="J239" s="36" t="s">
        <v>429</v>
      </c>
    </row>
    <row r="240" spans="1:10">
      <c r="A240" s="4">
        <v>41710</v>
      </c>
      <c r="C240" s="29">
        <v>1.0833333333333333</v>
      </c>
      <c r="E240" s="26">
        <v>119</v>
      </c>
      <c r="F240" s="29">
        <v>0</v>
      </c>
      <c r="G240" s="27">
        <v>50</v>
      </c>
      <c r="H240" s="29">
        <v>14.2</v>
      </c>
      <c r="I240" s="28">
        <v>1018.8</v>
      </c>
      <c r="J240" s="36" t="s">
        <v>429</v>
      </c>
    </row>
    <row r="241" spans="1:10">
      <c r="A241" s="4">
        <v>41711</v>
      </c>
      <c r="C241" s="29">
        <v>0.80555555555555547</v>
      </c>
      <c r="E241" s="26">
        <v>282</v>
      </c>
      <c r="F241" s="29">
        <v>0</v>
      </c>
      <c r="G241" s="27">
        <v>70</v>
      </c>
      <c r="H241" s="29">
        <v>13.1</v>
      </c>
      <c r="I241" s="28">
        <v>1021</v>
      </c>
      <c r="J241" s="36" t="s">
        <v>429</v>
      </c>
    </row>
    <row r="242" spans="1:10">
      <c r="A242" s="4">
        <v>41712</v>
      </c>
      <c r="C242" s="29">
        <v>0.91666666666666663</v>
      </c>
      <c r="E242" s="26">
        <v>4</v>
      </c>
      <c r="F242" s="29">
        <v>0</v>
      </c>
      <c r="G242" s="27">
        <v>69</v>
      </c>
      <c r="H242" s="29">
        <v>12.9</v>
      </c>
      <c r="I242" s="28">
        <v>1023.7</v>
      </c>
      <c r="J242" s="36" t="s">
        <v>429</v>
      </c>
    </row>
    <row r="243" spans="1:10">
      <c r="A243" s="4">
        <v>41713</v>
      </c>
      <c r="C243" s="29">
        <v>1</v>
      </c>
      <c r="E243" s="26">
        <v>328</v>
      </c>
      <c r="F243" s="29">
        <v>0</v>
      </c>
      <c r="G243" s="27">
        <v>71</v>
      </c>
      <c r="H243" s="29">
        <v>13.7</v>
      </c>
      <c r="I243" s="28">
        <v>1025.3</v>
      </c>
      <c r="J243" s="36" t="s">
        <v>429</v>
      </c>
    </row>
    <row r="244" spans="1:10">
      <c r="A244" s="4">
        <v>41714</v>
      </c>
      <c r="C244" s="29">
        <v>0.80555555555555547</v>
      </c>
      <c r="E244" s="26">
        <v>328</v>
      </c>
      <c r="F244" s="29">
        <v>0</v>
      </c>
      <c r="G244" s="27">
        <v>66</v>
      </c>
      <c r="H244" s="29">
        <v>12.8</v>
      </c>
      <c r="I244" s="28">
        <v>1022</v>
      </c>
      <c r="J244" s="36" t="s">
        <v>429</v>
      </c>
    </row>
    <row r="245" spans="1:10">
      <c r="A245" s="4">
        <v>41715</v>
      </c>
      <c r="C245" s="29">
        <v>1.1944444444444444</v>
      </c>
      <c r="E245" s="26">
        <v>330</v>
      </c>
      <c r="F245" s="29">
        <v>0</v>
      </c>
      <c r="G245" s="27">
        <v>74</v>
      </c>
      <c r="H245" s="29">
        <v>12.4</v>
      </c>
      <c r="I245" s="28">
        <v>1020.4</v>
      </c>
      <c r="J245" s="36" t="s">
        <v>429</v>
      </c>
    </row>
    <row r="246" spans="1:10">
      <c r="A246" s="4">
        <v>41716</v>
      </c>
      <c r="C246" s="29">
        <v>2.5555555555555554</v>
      </c>
      <c r="E246" s="26">
        <v>341</v>
      </c>
      <c r="F246" s="29">
        <v>0</v>
      </c>
      <c r="G246" s="27">
        <v>69</v>
      </c>
      <c r="H246" s="29">
        <v>13.2</v>
      </c>
      <c r="I246" s="28">
        <v>1020</v>
      </c>
      <c r="J246" s="36" t="s">
        <v>429</v>
      </c>
    </row>
    <row r="247" spans="1:10">
      <c r="A247" s="4">
        <v>41717</v>
      </c>
      <c r="C247" s="29">
        <v>0.86111111111111116</v>
      </c>
      <c r="E247" s="26">
        <v>300</v>
      </c>
      <c r="F247" s="29">
        <v>0</v>
      </c>
      <c r="G247" s="27">
        <v>76</v>
      </c>
      <c r="H247" s="29">
        <v>13.7</v>
      </c>
      <c r="I247" s="28">
        <v>1016.9</v>
      </c>
      <c r="J247" s="36" t="s">
        <v>429</v>
      </c>
    </row>
    <row r="248" spans="1:10">
      <c r="A248" s="4">
        <v>41718</v>
      </c>
      <c r="C248" s="29">
        <v>0.86111111111111116</v>
      </c>
      <c r="E248" s="26">
        <v>276</v>
      </c>
      <c r="F248" s="29">
        <v>0</v>
      </c>
      <c r="G248" s="27">
        <v>80</v>
      </c>
      <c r="H248" s="29">
        <v>13.2</v>
      </c>
      <c r="I248" s="28">
        <v>1017.8</v>
      </c>
      <c r="J248" s="36" t="s">
        <v>429</v>
      </c>
    </row>
    <row r="249" spans="1:10">
      <c r="A249" s="4">
        <v>41719</v>
      </c>
      <c r="C249" s="29">
        <v>1.3055555555555556</v>
      </c>
      <c r="E249" s="26">
        <v>219</v>
      </c>
      <c r="F249" s="29">
        <v>5</v>
      </c>
      <c r="G249" s="27">
        <v>87</v>
      </c>
      <c r="H249" s="29">
        <v>12.7</v>
      </c>
      <c r="I249" s="28">
        <v>1018</v>
      </c>
      <c r="J249" s="36" t="s">
        <v>429</v>
      </c>
    </row>
    <row r="250" spans="1:10">
      <c r="A250" s="4">
        <v>41720</v>
      </c>
      <c r="C250" s="29">
        <v>1.5277777777777777</v>
      </c>
      <c r="E250" s="26">
        <v>316</v>
      </c>
      <c r="F250" s="29">
        <v>2</v>
      </c>
      <c r="G250" s="27">
        <v>78</v>
      </c>
      <c r="H250" s="29">
        <v>11.2</v>
      </c>
      <c r="I250" s="28">
        <v>1017.9</v>
      </c>
      <c r="J250" s="36" t="s">
        <v>429</v>
      </c>
    </row>
    <row r="251" spans="1:10">
      <c r="A251" s="4">
        <v>41721</v>
      </c>
      <c r="C251" s="29">
        <v>0.83333333333333326</v>
      </c>
      <c r="E251" s="26">
        <v>330</v>
      </c>
      <c r="F251" s="29">
        <v>0</v>
      </c>
      <c r="G251" s="27">
        <v>67</v>
      </c>
      <c r="H251" s="29">
        <v>10.5</v>
      </c>
      <c r="I251" s="28">
        <v>1019.6</v>
      </c>
      <c r="J251" s="36" t="s">
        <v>429</v>
      </c>
    </row>
    <row r="252" spans="1:10">
      <c r="A252" s="4">
        <v>41722</v>
      </c>
      <c r="C252" s="29">
        <v>2.1388888888888888</v>
      </c>
      <c r="E252" s="26">
        <v>282</v>
      </c>
      <c r="F252" s="29">
        <v>3</v>
      </c>
      <c r="G252" s="27">
        <v>79</v>
      </c>
      <c r="H252" s="29">
        <v>10.7</v>
      </c>
      <c r="I252" s="28">
        <v>1020.2</v>
      </c>
      <c r="J252" s="36" t="s">
        <v>429</v>
      </c>
    </row>
    <row r="253" spans="1:10">
      <c r="A253" s="4">
        <v>41723</v>
      </c>
      <c r="C253" s="29">
        <v>3.0555555555555554</v>
      </c>
      <c r="E253" s="26">
        <v>299</v>
      </c>
      <c r="F253" s="29">
        <v>1</v>
      </c>
      <c r="G253" s="27">
        <v>74</v>
      </c>
      <c r="H253" s="29">
        <v>12.1</v>
      </c>
      <c r="I253" s="28">
        <v>1024.8</v>
      </c>
      <c r="J253" s="36" t="s">
        <v>429</v>
      </c>
    </row>
    <row r="254" spans="1:10">
      <c r="A254" s="4">
        <v>41724</v>
      </c>
      <c r="C254" s="29">
        <v>3.1388888888888888</v>
      </c>
      <c r="E254" s="26">
        <v>330</v>
      </c>
      <c r="F254" s="29">
        <v>1</v>
      </c>
      <c r="G254" s="27">
        <v>67</v>
      </c>
      <c r="H254" s="29">
        <v>10.7</v>
      </c>
      <c r="I254" s="28">
        <v>1020.2</v>
      </c>
      <c r="J254" s="36" t="s">
        <v>429</v>
      </c>
    </row>
    <row r="255" spans="1:10">
      <c r="A255" s="4">
        <v>41725</v>
      </c>
      <c r="C255" s="29">
        <v>2.1388888888888888</v>
      </c>
      <c r="E255" s="26">
        <v>127</v>
      </c>
      <c r="F255" s="29">
        <v>1</v>
      </c>
      <c r="G255" s="27">
        <v>75</v>
      </c>
      <c r="H255" s="29">
        <v>9.6</v>
      </c>
      <c r="I255" s="28">
        <v>1007.6</v>
      </c>
      <c r="J255" s="36" t="s">
        <v>429</v>
      </c>
    </row>
    <row r="256" spans="1:10">
      <c r="A256" s="4">
        <v>41726</v>
      </c>
      <c r="C256" s="29">
        <v>1.4166666666666665</v>
      </c>
      <c r="E256" s="26">
        <v>155</v>
      </c>
      <c r="F256" s="29">
        <v>4</v>
      </c>
      <c r="G256" s="27">
        <v>75</v>
      </c>
      <c r="H256" s="29">
        <v>10.4</v>
      </c>
      <c r="I256" s="28">
        <v>1000.4</v>
      </c>
      <c r="J256" s="36" t="s">
        <v>429</v>
      </c>
    </row>
    <row r="257" spans="1:10">
      <c r="A257" s="4">
        <v>41727</v>
      </c>
      <c r="C257" s="29">
        <v>1</v>
      </c>
      <c r="E257" s="26">
        <v>301</v>
      </c>
      <c r="F257" s="29">
        <v>0</v>
      </c>
      <c r="G257" s="27">
        <v>70</v>
      </c>
      <c r="H257" s="29">
        <v>10.199999999999999</v>
      </c>
      <c r="I257" s="28">
        <v>1002.1</v>
      </c>
      <c r="J257" s="36" t="s">
        <v>429</v>
      </c>
    </row>
    <row r="258" spans="1:10">
      <c r="A258" s="4">
        <v>41728</v>
      </c>
      <c r="C258" s="29">
        <v>2.5555555555555554</v>
      </c>
      <c r="E258" s="26">
        <v>180</v>
      </c>
      <c r="F258" s="29">
        <v>8.4</v>
      </c>
      <c r="G258" s="27">
        <v>79</v>
      </c>
      <c r="H258" s="29">
        <v>11.2</v>
      </c>
      <c r="I258" s="28">
        <v>1005.2</v>
      </c>
      <c r="J258" s="36" t="s">
        <v>429</v>
      </c>
    </row>
    <row r="259" spans="1:10">
      <c r="A259" s="4">
        <v>41729</v>
      </c>
      <c r="C259" s="29">
        <v>3.0555555555555554</v>
      </c>
      <c r="E259" s="26">
        <v>165</v>
      </c>
      <c r="F259" s="29">
        <v>23.7</v>
      </c>
      <c r="G259" s="27">
        <v>87</v>
      </c>
      <c r="H259" s="29">
        <v>13.2</v>
      </c>
      <c r="I259" s="28">
        <v>1004</v>
      </c>
      <c r="J259" s="36" t="s">
        <v>429</v>
      </c>
    </row>
    <row r="260" spans="1:10">
      <c r="A260" s="4">
        <v>41730</v>
      </c>
      <c r="C260" s="32">
        <v>3.75</v>
      </c>
      <c r="E260" s="35">
        <v>173</v>
      </c>
      <c r="F260" s="32">
        <v>45.3</v>
      </c>
      <c r="G260" s="33">
        <v>88</v>
      </c>
      <c r="H260" s="32">
        <v>12.5</v>
      </c>
      <c r="I260" s="34">
        <v>997.6</v>
      </c>
      <c r="J260" s="36" t="s">
        <v>429</v>
      </c>
    </row>
    <row r="261" spans="1:10">
      <c r="A261" s="4">
        <v>41731</v>
      </c>
      <c r="C261" s="29">
        <v>2.0555555555555558</v>
      </c>
      <c r="E261" s="26">
        <v>175</v>
      </c>
      <c r="F261" s="29">
        <v>8.6</v>
      </c>
      <c r="G261" s="27">
        <v>81</v>
      </c>
      <c r="H261" s="29">
        <v>12</v>
      </c>
      <c r="I261" s="28">
        <v>996.5</v>
      </c>
      <c r="J261" s="36" t="s">
        <v>429</v>
      </c>
    </row>
    <row r="262" spans="1:10">
      <c r="A262" s="4">
        <v>41732</v>
      </c>
      <c r="C262" s="29">
        <v>1.4444444444444444</v>
      </c>
      <c r="E262" s="26">
        <v>267</v>
      </c>
      <c r="F262" s="29">
        <v>5</v>
      </c>
      <c r="G262" s="27">
        <v>81</v>
      </c>
      <c r="H262" s="29">
        <v>11.5</v>
      </c>
      <c r="I262" s="28">
        <v>1005.2</v>
      </c>
      <c r="J262" s="36" t="s">
        <v>429</v>
      </c>
    </row>
    <row r="263" spans="1:10">
      <c r="A263" s="4">
        <v>41733</v>
      </c>
      <c r="C263" s="29">
        <v>2.4722222222222223</v>
      </c>
      <c r="E263" s="26">
        <v>202</v>
      </c>
      <c r="F263" s="29">
        <v>27.5</v>
      </c>
      <c r="G263" s="27">
        <v>93</v>
      </c>
      <c r="H263" s="29">
        <v>12.3</v>
      </c>
      <c r="I263" s="28">
        <v>1014.8</v>
      </c>
      <c r="J263" s="36" t="s">
        <v>429</v>
      </c>
    </row>
    <row r="264" spans="1:10">
      <c r="A264" s="4">
        <v>41734</v>
      </c>
      <c r="C264" s="29">
        <v>2.0277777777777777</v>
      </c>
      <c r="E264" s="26">
        <v>233</v>
      </c>
      <c r="F264" s="29">
        <v>1</v>
      </c>
      <c r="G264" s="27">
        <v>92</v>
      </c>
      <c r="H264" s="29">
        <v>16</v>
      </c>
      <c r="I264" s="28">
        <v>1018.2</v>
      </c>
      <c r="J264" s="36" t="s">
        <v>429</v>
      </c>
    </row>
    <row r="265" spans="1:10">
      <c r="A265" s="4">
        <v>41735</v>
      </c>
      <c r="C265" s="29">
        <v>0.77777777777777768</v>
      </c>
      <c r="E265" s="26">
        <v>257</v>
      </c>
      <c r="F265" s="29">
        <v>0</v>
      </c>
      <c r="G265" s="27">
        <v>79</v>
      </c>
      <c r="H265" s="29">
        <v>16.399999999999999</v>
      </c>
      <c r="I265" s="28">
        <v>1016.8</v>
      </c>
      <c r="J265" s="36" t="s">
        <v>429</v>
      </c>
    </row>
    <row r="266" spans="1:10">
      <c r="A266" s="4">
        <v>41736</v>
      </c>
      <c r="C266" s="29">
        <v>1.1666666666666667</v>
      </c>
      <c r="E266" s="26">
        <v>324</v>
      </c>
      <c r="F266" s="29">
        <v>0</v>
      </c>
      <c r="G266" s="27">
        <v>78</v>
      </c>
      <c r="H266" s="29">
        <v>14.8</v>
      </c>
      <c r="I266" s="28">
        <v>1016.8</v>
      </c>
      <c r="J266" s="36" t="s">
        <v>429</v>
      </c>
    </row>
    <row r="267" spans="1:10">
      <c r="A267" s="4">
        <v>41737</v>
      </c>
      <c r="C267" s="29">
        <v>1.7222222222222223</v>
      </c>
      <c r="E267" s="26">
        <v>345</v>
      </c>
      <c r="F267" s="29">
        <v>0</v>
      </c>
      <c r="G267" s="27">
        <v>78</v>
      </c>
      <c r="H267" s="29">
        <v>17.100000000000001</v>
      </c>
      <c r="I267" s="28">
        <v>1017.5</v>
      </c>
      <c r="J267" s="36" t="s">
        <v>429</v>
      </c>
    </row>
    <row r="268" spans="1:10">
      <c r="A268" s="4">
        <v>41738</v>
      </c>
      <c r="C268" s="29">
        <v>1.8055555555555556</v>
      </c>
      <c r="E268" s="26">
        <v>108</v>
      </c>
      <c r="F268" s="29">
        <v>0</v>
      </c>
      <c r="G268" s="27">
        <v>62</v>
      </c>
      <c r="H268" s="29">
        <v>19.2</v>
      </c>
      <c r="I268" s="28">
        <v>1013.3</v>
      </c>
      <c r="J268" s="36" t="s">
        <v>429</v>
      </c>
    </row>
    <row r="269" spans="1:10">
      <c r="A269" s="4">
        <v>41739</v>
      </c>
      <c r="C269" s="29">
        <v>1.0833333333333333</v>
      </c>
      <c r="E269" s="26">
        <v>268</v>
      </c>
      <c r="F269" s="29">
        <v>0</v>
      </c>
      <c r="G269" s="27">
        <v>70</v>
      </c>
      <c r="H269" s="29">
        <v>16.7</v>
      </c>
      <c r="I269" s="28">
        <v>1012.5</v>
      </c>
      <c r="J269" s="36" t="s">
        <v>429</v>
      </c>
    </row>
    <row r="270" spans="1:10">
      <c r="A270" s="4">
        <v>41740</v>
      </c>
      <c r="C270" s="29">
        <v>1.0555555555555556</v>
      </c>
      <c r="E270" s="26">
        <v>329</v>
      </c>
      <c r="F270" s="29">
        <v>0</v>
      </c>
      <c r="G270" s="27">
        <v>82</v>
      </c>
      <c r="H270" s="29">
        <v>14.1</v>
      </c>
      <c r="I270" s="28">
        <v>1011.8</v>
      </c>
      <c r="J270" s="36" t="s">
        <v>429</v>
      </c>
    </row>
    <row r="271" spans="1:10">
      <c r="A271" s="4">
        <v>41741</v>
      </c>
      <c r="C271" s="29">
        <v>0.88888888888888895</v>
      </c>
      <c r="E271" s="26">
        <v>271</v>
      </c>
      <c r="F271" s="29">
        <v>0</v>
      </c>
      <c r="G271" s="27">
        <v>80</v>
      </c>
      <c r="H271" s="29">
        <v>15.7</v>
      </c>
      <c r="I271" s="28">
        <v>1012.8</v>
      </c>
      <c r="J271" s="36" t="s">
        <v>429</v>
      </c>
    </row>
    <row r="272" spans="1:10">
      <c r="A272" s="4">
        <v>41742</v>
      </c>
      <c r="C272" s="29">
        <v>1.0833333333333333</v>
      </c>
      <c r="E272" s="26">
        <v>329</v>
      </c>
      <c r="F272" s="29">
        <v>0</v>
      </c>
      <c r="G272" s="27">
        <v>76</v>
      </c>
      <c r="H272" s="29">
        <v>17.100000000000001</v>
      </c>
      <c r="I272" s="28">
        <v>1015.6</v>
      </c>
      <c r="J272" s="36" t="s">
        <v>429</v>
      </c>
    </row>
    <row r="273" spans="1:10">
      <c r="A273" s="4">
        <v>41743</v>
      </c>
      <c r="C273" s="29">
        <v>0.75</v>
      </c>
      <c r="E273" s="26">
        <v>81</v>
      </c>
      <c r="F273" s="29">
        <v>0</v>
      </c>
      <c r="G273" s="27">
        <v>76</v>
      </c>
      <c r="H273" s="29">
        <v>16.7</v>
      </c>
      <c r="I273" s="28">
        <v>1011.5</v>
      </c>
      <c r="J273" s="36" t="s">
        <v>429</v>
      </c>
    </row>
    <row r="274" spans="1:10">
      <c r="A274" s="4">
        <v>41744</v>
      </c>
      <c r="C274" s="29">
        <v>1.0833333333333333</v>
      </c>
      <c r="E274" s="26">
        <v>199</v>
      </c>
      <c r="F274" s="29">
        <v>0</v>
      </c>
      <c r="G274" s="27">
        <v>67</v>
      </c>
      <c r="H274" s="29">
        <v>18.600000000000001</v>
      </c>
      <c r="I274" s="28">
        <v>1012</v>
      </c>
      <c r="J274" s="36" t="s">
        <v>429</v>
      </c>
    </row>
    <row r="275" spans="1:10">
      <c r="A275" s="4">
        <v>41745</v>
      </c>
      <c r="C275" s="29">
        <v>0.91666666666666663</v>
      </c>
      <c r="E275" s="26">
        <v>264</v>
      </c>
      <c r="F275" s="29">
        <v>0</v>
      </c>
      <c r="G275" s="27">
        <v>79</v>
      </c>
      <c r="H275" s="29">
        <v>16.100000000000001</v>
      </c>
      <c r="I275" s="28">
        <v>1016.1</v>
      </c>
      <c r="J275" s="36" t="s">
        <v>429</v>
      </c>
    </row>
    <row r="276" spans="1:10">
      <c r="A276" s="4">
        <v>41746</v>
      </c>
      <c r="C276" s="29">
        <v>1.3611111111111112</v>
      </c>
      <c r="E276" s="26">
        <v>315</v>
      </c>
      <c r="F276" s="29">
        <v>0</v>
      </c>
      <c r="G276" s="27">
        <v>82</v>
      </c>
      <c r="H276" s="29">
        <v>17</v>
      </c>
      <c r="I276" s="28">
        <v>1015.6</v>
      </c>
      <c r="J276" s="36" t="s">
        <v>429</v>
      </c>
    </row>
    <row r="277" spans="1:10">
      <c r="A277" s="4">
        <v>41747</v>
      </c>
      <c r="C277" s="29">
        <v>1.4722222222222221</v>
      </c>
      <c r="E277" s="26">
        <v>303</v>
      </c>
      <c r="F277" s="29">
        <v>0</v>
      </c>
      <c r="G277" s="27">
        <v>87</v>
      </c>
      <c r="H277" s="29">
        <v>14.7</v>
      </c>
      <c r="I277" s="28">
        <v>1014</v>
      </c>
      <c r="J277" s="36" t="s">
        <v>429</v>
      </c>
    </row>
    <row r="278" spans="1:10">
      <c r="A278" s="4">
        <v>41748</v>
      </c>
      <c r="C278" s="29">
        <v>1.7777777777777779</v>
      </c>
      <c r="E278" s="26">
        <v>298</v>
      </c>
      <c r="F278" s="29">
        <v>0</v>
      </c>
      <c r="G278" s="27">
        <v>71</v>
      </c>
      <c r="H278" s="29">
        <v>15</v>
      </c>
      <c r="I278" s="28">
        <v>1008</v>
      </c>
      <c r="J278" s="36" t="s">
        <v>429</v>
      </c>
    </row>
    <row r="279" spans="1:10">
      <c r="A279" s="4">
        <v>41749</v>
      </c>
      <c r="C279" s="29">
        <v>1.5</v>
      </c>
      <c r="E279" s="26">
        <v>47</v>
      </c>
      <c r="F279" s="29">
        <v>0</v>
      </c>
      <c r="G279" s="27">
        <v>76</v>
      </c>
      <c r="H279" s="29">
        <v>13.8</v>
      </c>
      <c r="I279" s="28">
        <v>1001.9</v>
      </c>
      <c r="J279" s="36" t="s">
        <v>429</v>
      </c>
    </row>
    <row r="280" spans="1:10">
      <c r="A280" s="4">
        <v>41750</v>
      </c>
      <c r="C280" s="29">
        <v>1.4722222222222221</v>
      </c>
      <c r="E280" s="26">
        <v>292</v>
      </c>
      <c r="F280" s="29">
        <v>0</v>
      </c>
      <c r="G280" s="27">
        <v>71</v>
      </c>
      <c r="H280" s="29">
        <v>14.7</v>
      </c>
      <c r="I280" s="28">
        <v>1003.3</v>
      </c>
      <c r="J280" s="36" t="s">
        <v>429</v>
      </c>
    </row>
    <row r="281" spans="1:10">
      <c r="A281" s="4">
        <v>41751</v>
      </c>
      <c r="C281" s="29">
        <v>2.2222222222222223</v>
      </c>
      <c r="E281" s="26">
        <v>213</v>
      </c>
      <c r="F281" s="29">
        <v>0</v>
      </c>
      <c r="G281" s="27">
        <v>70</v>
      </c>
      <c r="H281" s="29">
        <v>15.1</v>
      </c>
      <c r="I281" s="28">
        <v>1012.2</v>
      </c>
      <c r="J281" s="36" t="s">
        <v>429</v>
      </c>
    </row>
    <row r="282" spans="1:10">
      <c r="A282" s="4">
        <v>41752</v>
      </c>
      <c r="C282" s="29">
        <v>1.6111111111111109</v>
      </c>
      <c r="E282" s="26">
        <v>265</v>
      </c>
      <c r="F282" s="29">
        <v>6</v>
      </c>
      <c r="G282" s="27">
        <v>68</v>
      </c>
      <c r="H282" s="29">
        <v>15.1</v>
      </c>
      <c r="I282" s="28">
        <v>1017.4</v>
      </c>
      <c r="J282" s="36" t="s">
        <v>429</v>
      </c>
    </row>
    <row r="283" spans="1:10">
      <c r="A283" s="4">
        <v>41753</v>
      </c>
      <c r="C283" s="29">
        <v>1.8888888888888888</v>
      </c>
      <c r="E283" s="26">
        <v>258</v>
      </c>
      <c r="F283" s="29">
        <v>0</v>
      </c>
      <c r="G283" s="27">
        <v>71</v>
      </c>
      <c r="H283" s="29">
        <v>12.4</v>
      </c>
      <c r="I283" s="28">
        <v>1017.7</v>
      </c>
      <c r="J283" s="36" t="s">
        <v>429</v>
      </c>
    </row>
    <row r="284" spans="1:10">
      <c r="A284" s="4">
        <v>41754</v>
      </c>
      <c r="C284" s="29">
        <v>1.9722222222222221</v>
      </c>
      <c r="E284" s="26">
        <v>222</v>
      </c>
      <c r="F284" s="29">
        <v>0</v>
      </c>
      <c r="G284" s="27">
        <v>67</v>
      </c>
      <c r="H284" s="29">
        <v>13.3</v>
      </c>
      <c r="I284" s="28">
        <v>1020.9</v>
      </c>
      <c r="J284" s="36" t="s">
        <v>429</v>
      </c>
    </row>
    <row r="285" spans="1:10">
      <c r="A285" s="4">
        <v>41755</v>
      </c>
      <c r="C285" s="29">
        <v>2.5833333333333335</v>
      </c>
      <c r="E285" s="26">
        <v>244</v>
      </c>
      <c r="F285" s="29">
        <v>4</v>
      </c>
      <c r="G285" s="27">
        <v>92</v>
      </c>
      <c r="H285" s="29">
        <v>14.8</v>
      </c>
      <c r="I285" s="28">
        <v>1018.7</v>
      </c>
      <c r="J285" s="36" t="s">
        <v>429</v>
      </c>
    </row>
    <row r="286" spans="1:10">
      <c r="A286" s="4">
        <v>41756</v>
      </c>
      <c r="C286" s="29">
        <v>1.2777777777777777</v>
      </c>
      <c r="E286" s="26">
        <v>318</v>
      </c>
      <c r="F286" s="29">
        <v>0</v>
      </c>
      <c r="G286" s="27">
        <v>75</v>
      </c>
      <c r="H286" s="29">
        <v>13.9</v>
      </c>
      <c r="I286" s="28">
        <v>1019.6</v>
      </c>
      <c r="J286" s="36" t="s">
        <v>429</v>
      </c>
    </row>
    <row r="287" spans="1:10">
      <c r="A287" s="4">
        <v>41757</v>
      </c>
      <c r="C287" s="29">
        <v>1.4166666666666665</v>
      </c>
      <c r="E287" s="26">
        <v>325</v>
      </c>
      <c r="F287" s="29">
        <v>0</v>
      </c>
      <c r="G287" s="27">
        <v>76</v>
      </c>
      <c r="H287" s="29">
        <v>14.2</v>
      </c>
      <c r="I287" s="28">
        <v>1017.6</v>
      </c>
      <c r="J287" s="36" t="s">
        <v>429</v>
      </c>
    </row>
    <row r="288" spans="1:10">
      <c r="A288" s="4">
        <v>41758</v>
      </c>
      <c r="C288" s="29">
        <v>2.5</v>
      </c>
      <c r="E288" s="26">
        <v>337</v>
      </c>
      <c r="F288" s="29">
        <v>0</v>
      </c>
      <c r="G288" s="27">
        <v>69</v>
      </c>
      <c r="H288" s="29">
        <v>16.899999999999999</v>
      </c>
      <c r="I288" s="28">
        <v>1016.1</v>
      </c>
      <c r="J288" s="36" t="s">
        <v>429</v>
      </c>
    </row>
    <row r="289" spans="1:10">
      <c r="A289" s="4">
        <v>41759</v>
      </c>
      <c r="C289" s="29">
        <v>2.1944444444444446</v>
      </c>
      <c r="E289" s="26">
        <v>337</v>
      </c>
      <c r="F289" s="29">
        <v>0</v>
      </c>
      <c r="G289" s="27">
        <v>79</v>
      </c>
      <c r="H289" s="29">
        <v>17.3</v>
      </c>
      <c r="I289" s="28">
        <v>1015.4</v>
      </c>
      <c r="J289" s="36" t="s">
        <v>429</v>
      </c>
    </row>
    <row r="290" spans="1:10">
      <c r="A290" s="4">
        <v>41760</v>
      </c>
      <c r="C290" s="29">
        <v>2.5555555555555554</v>
      </c>
      <c r="E290" s="26">
        <v>332</v>
      </c>
      <c r="F290" s="29">
        <v>0</v>
      </c>
      <c r="G290" s="27">
        <v>71</v>
      </c>
      <c r="H290" s="29">
        <v>16.899999999999999</v>
      </c>
      <c r="I290" s="28">
        <v>1016.4</v>
      </c>
      <c r="J290" s="36" t="s">
        <v>429</v>
      </c>
    </row>
    <row r="291" spans="1:10">
      <c r="A291" s="4">
        <v>41761</v>
      </c>
      <c r="C291" s="29">
        <v>1.5555555555555554</v>
      </c>
      <c r="E291" s="26">
        <v>327</v>
      </c>
      <c r="F291" s="29">
        <v>0</v>
      </c>
      <c r="G291" s="27">
        <v>65</v>
      </c>
      <c r="H291" s="29">
        <v>18.7</v>
      </c>
      <c r="I291" s="28">
        <v>1015.4</v>
      </c>
      <c r="J291" s="36" t="s">
        <v>429</v>
      </c>
    </row>
    <row r="292" spans="1:10">
      <c r="A292" s="4">
        <v>41762</v>
      </c>
      <c r="C292" s="29">
        <v>1.4166666666666665</v>
      </c>
      <c r="E292" s="26">
        <v>20</v>
      </c>
      <c r="F292" s="29">
        <v>0</v>
      </c>
      <c r="G292" s="27">
        <v>53</v>
      </c>
      <c r="H292" s="29">
        <v>19.5</v>
      </c>
      <c r="I292" s="28">
        <v>1013.7</v>
      </c>
      <c r="J292" s="36" t="s">
        <v>429</v>
      </c>
    </row>
    <row r="293" spans="1:10">
      <c r="A293" s="4">
        <v>41763</v>
      </c>
      <c r="C293" s="29">
        <v>1</v>
      </c>
      <c r="E293" s="26">
        <v>176</v>
      </c>
      <c r="F293" s="29">
        <v>0</v>
      </c>
      <c r="G293" s="27">
        <v>49</v>
      </c>
      <c r="H293" s="29">
        <v>19.5</v>
      </c>
      <c r="I293" s="28">
        <v>1011.3</v>
      </c>
      <c r="J293" s="36" t="s">
        <v>429</v>
      </c>
    </row>
    <row r="294" spans="1:10">
      <c r="A294" s="4">
        <v>41764</v>
      </c>
      <c r="C294" s="29">
        <v>1</v>
      </c>
      <c r="E294" s="26">
        <v>312</v>
      </c>
      <c r="F294" s="29">
        <v>0</v>
      </c>
      <c r="G294" s="27">
        <v>65</v>
      </c>
      <c r="H294" s="29">
        <v>17.399999999999999</v>
      </c>
      <c r="I294" s="28">
        <v>1011.4</v>
      </c>
      <c r="J294" s="36" t="s">
        <v>429</v>
      </c>
    </row>
    <row r="295" spans="1:10">
      <c r="A295" s="4">
        <v>41765</v>
      </c>
      <c r="C295" s="29">
        <v>1.6111111111111109</v>
      </c>
      <c r="E295" s="26">
        <v>321</v>
      </c>
      <c r="F295" s="29">
        <v>0</v>
      </c>
      <c r="G295" s="27">
        <v>72</v>
      </c>
      <c r="H295" s="29">
        <v>17.100000000000001</v>
      </c>
      <c r="I295" s="28">
        <v>1014.7</v>
      </c>
      <c r="J295" s="36" t="s">
        <v>429</v>
      </c>
    </row>
    <row r="296" spans="1:10">
      <c r="A296" s="4">
        <v>41766</v>
      </c>
      <c r="C296" s="29">
        <v>2.5277777777777777</v>
      </c>
      <c r="E296" s="26">
        <v>325</v>
      </c>
      <c r="F296" s="29">
        <v>0</v>
      </c>
      <c r="G296" s="27">
        <v>73</v>
      </c>
      <c r="H296" s="29">
        <v>17.399999999999999</v>
      </c>
      <c r="I296" s="28">
        <v>1018</v>
      </c>
      <c r="J296" s="36" t="s">
        <v>429</v>
      </c>
    </row>
    <row r="297" spans="1:10">
      <c r="A297" s="4">
        <v>41767</v>
      </c>
      <c r="C297" s="29">
        <v>3.1944444444444442</v>
      </c>
      <c r="E297" s="26">
        <v>328</v>
      </c>
      <c r="F297" s="29">
        <v>0</v>
      </c>
      <c r="G297" s="27">
        <v>73</v>
      </c>
      <c r="H297" s="29">
        <v>16.8</v>
      </c>
      <c r="I297" s="28">
        <v>1019.5</v>
      </c>
      <c r="J297" s="36" t="s">
        <v>429</v>
      </c>
    </row>
    <row r="298" spans="1:10">
      <c r="A298" s="4">
        <v>41768</v>
      </c>
      <c r="C298" s="29">
        <v>2.833333333333333</v>
      </c>
      <c r="E298" s="26">
        <v>326</v>
      </c>
      <c r="F298" s="29">
        <v>0</v>
      </c>
      <c r="G298" s="27">
        <v>80</v>
      </c>
      <c r="H298" s="29">
        <v>17.399999999999999</v>
      </c>
      <c r="I298" s="28">
        <v>1019.5</v>
      </c>
      <c r="J298" s="36" t="s">
        <v>429</v>
      </c>
    </row>
    <row r="299" spans="1:10">
      <c r="A299" s="4">
        <v>41769</v>
      </c>
      <c r="C299" s="29">
        <v>2.9722222222222219</v>
      </c>
      <c r="E299" s="26">
        <v>332</v>
      </c>
      <c r="F299" s="29">
        <v>0</v>
      </c>
      <c r="G299" s="27">
        <v>81</v>
      </c>
      <c r="H299" s="29">
        <v>17.100000000000001</v>
      </c>
      <c r="I299" s="28">
        <v>1019.8</v>
      </c>
      <c r="J299" s="36" t="s">
        <v>429</v>
      </c>
    </row>
    <row r="300" spans="1:10">
      <c r="A300" s="4">
        <v>41770</v>
      </c>
      <c r="C300" s="29">
        <v>2.6944444444444442</v>
      </c>
      <c r="E300" s="26">
        <v>328</v>
      </c>
      <c r="F300" s="29">
        <v>0</v>
      </c>
      <c r="G300" s="27">
        <v>69</v>
      </c>
      <c r="H300" s="29">
        <v>17.3</v>
      </c>
      <c r="I300" s="28">
        <v>1018.5</v>
      </c>
      <c r="J300" s="36" t="s">
        <v>429</v>
      </c>
    </row>
    <row r="301" spans="1:10">
      <c r="A301" s="4">
        <v>41771</v>
      </c>
      <c r="C301" s="29">
        <v>2.0833333333333335</v>
      </c>
      <c r="E301" s="26">
        <v>325</v>
      </c>
      <c r="F301" s="29">
        <v>0</v>
      </c>
      <c r="G301" s="27">
        <v>66</v>
      </c>
      <c r="H301" s="29">
        <v>15.6</v>
      </c>
      <c r="I301" s="28">
        <v>1015.7</v>
      </c>
      <c r="J301" s="36" t="s">
        <v>429</v>
      </c>
    </row>
    <row r="302" spans="1:10">
      <c r="A302" s="4">
        <v>41772</v>
      </c>
      <c r="C302" s="29">
        <v>1.5555555555555554</v>
      </c>
      <c r="E302" s="26">
        <v>327</v>
      </c>
      <c r="F302" s="29">
        <v>0</v>
      </c>
      <c r="G302" s="27">
        <v>61</v>
      </c>
      <c r="H302" s="29">
        <v>16.8</v>
      </c>
      <c r="I302" s="28">
        <v>1017</v>
      </c>
      <c r="J302" s="36" t="s">
        <v>429</v>
      </c>
    </row>
    <row r="303" spans="1:10">
      <c r="A303" s="4">
        <v>41773</v>
      </c>
      <c r="C303" s="29">
        <v>1.8888888888888888</v>
      </c>
      <c r="E303" s="26">
        <v>94</v>
      </c>
      <c r="F303" s="29">
        <v>0</v>
      </c>
      <c r="G303" s="27">
        <v>46</v>
      </c>
      <c r="H303" s="29">
        <v>20.8</v>
      </c>
      <c r="I303" s="28">
        <v>1016.9</v>
      </c>
      <c r="J303" s="36" t="s">
        <v>429</v>
      </c>
    </row>
    <row r="304" spans="1:10">
      <c r="A304" s="4">
        <v>41774</v>
      </c>
      <c r="C304" s="29">
        <v>1.9722222222222221</v>
      </c>
      <c r="E304" s="26">
        <v>126</v>
      </c>
      <c r="F304" s="29">
        <v>0</v>
      </c>
      <c r="G304" s="27">
        <v>42</v>
      </c>
      <c r="H304" s="29">
        <v>22.1</v>
      </c>
      <c r="I304" s="28">
        <v>1014.7</v>
      </c>
      <c r="J304" s="36" t="s">
        <v>429</v>
      </c>
    </row>
    <row r="305" spans="1:10">
      <c r="A305" s="4">
        <v>41775</v>
      </c>
      <c r="C305" s="29">
        <v>1.1388888888888888</v>
      </c>
      <c r="E305" s="26">
        <v>322</v>
      </c>
      <c r="F305" s="29">
        <v>7.3</v>
      </c>
      <c r="G305" s="27">
        <v>56.999999999999993</v>
      </c>
      <c r="H305" s="29">
        <v>19</v>
      </c>
      <c r="I305" s="28">
        <v>1011.8</v>
      </c>
      <c r="J305" s="36" t="s">
        <v>429</v>
      </c>
    </row>
    <row r="306" spans="1:10">
      <c r="A306" s="4">
        <v>41776</v>
      </c>
      <c r="C306" s="29">
        <v>1.1666666666666667</v>
      </c>
      <c r="E306" s="26">
        <v>349</v>
      </c>
      <c r="F306" s="29">
        <v>0</v>
      </c>
      <c r="G306" s="27">
        <v>49</v>
      </c>
      <c r="H306" s="29">
        <v>19.600000000000001</v>
      </c>
      <c r="I306" s="28">
        <v>1009.8</v>
      </c>
      <c r="J306" s="36" t="s">
        <v>429</v>
      </c>
    </row>
    <row r="307" spans="1:10">
      <c r="A307" s="4">
        <v>41777</v>
      </c>
      <c r="C307" s="29">
        <v>1.1388888888888888</v>
      </c>
      <c r="E307" s="26">
        <v>250</v>
      </c>
      <c r="F307" s="29">
        <v>0</v>
      </c>
      <c r="G307" s="27">
        <v>53</v>
      </c>
      <c r="H307" s="29">
        <v>18.3</v>
      </c>
      <c r="I307" s="28">
        <v>1008</v>
      </c>
      <c r="J307" s="36" t="s">
        <v>429</v>
      </c>
    </row>
    <row r="308" spans="1:10">
      <c r="A308" s="4">
        <v>41778</v>
      </c>
      <c r="C308" s="29">
        <v>1.6388888888888888</v>
      </c>
      <c r="E308" s="26">
        <v>242</v>
      </c>
      <c r="F308" s="29">
        <v>1</v>
      </c>
      <c r="G308" s="27">
        <v>70</v>
      </c>
      <c r="H308" s="29">
        <v>14.5</v>
      </c>
      <c r="I308" s="28">
        <v>1004.8</v>
      </c>
      <c r="J308" s="36" t="s">
        <v>429</v>
      </c>
    </row>
    <row r="309" spans="1:10">
      <c r="A309" s="4">
        <v>41779</v>
      </c>
      <c r="C309" s="29">
        <v>2.4166666666666665</v>
      </c>
      <c r="E309" s="26">
        <v>169</v>
      </c>
      <c r="F309" s="29">
        <v>19.600000000000001</v>
      </c>
      <c r="G309" s="27">
        <v>77</v>
      </c>
      <c r="H309" s="29">
        <v>13</v>
      </c>
      <c r="I309" s="28">
        <v>1003.2</v>
      </c>
      <c r="J309" s="36" t="s">
        <v>429</v>
      </c>
    </row>
    <row r="310" spans="1:10">
      <c r="A310" s="4">
        <v>41780</v>
      </c>
      <c r="C310" s="29">
        <v>2.6666666666666665</v>
      </c>
      <c r="E310" s="26">
        <v>202</v>
      </c>
      <c r="F310" s="29">
        <v>35.9</v>
      </c>
      <c r="G310" s="27">
        <v>88</v>
      </c>
      <c r="H310" s="29">
        <v>11.5</v>
      </c>
      <c r="I310" s="28">
        <v>1002.6</v>
      </c>
      <c r="J310" s="36" t="s">
        <v>429</v>
      </c>
    </row>
    <row r="311" spans="1:10">
      <c r="A311" s="4">
        <v>41781</v>
      </c>
      <c r="C311" s="29">
        <v>2.4722222222222223</v>
      </c>
      <c r="E311" s="26">
        <v>228</v>
      </c>
      <c r="F311" s="29">
        <v>19.5</v>
      </c>
      <c r="G311" s="27">
        <v>82</v>
      </c>
      <c r="H311" s="29">
        <v>14.3</v>
      </c>
      <c r="I311" s="28">
        <v>1011.6</v>
      </c>
      <c r="J311" s="36" t="s">
        <v>429</v>
      </c>
    </row>
    <row r="312" spans="1:10">
      <c r="A312" s="4">
        <v>41782</v>
      </c>
      <c r="C312" s="29">
        <v>1.75</v>
      </c>
      <c r="E312" s="26">
        <v>323</v>
      </c>
      <c r="F312" s="29">
        <v>0</v>
      </c>
      <c r="G312" s="27">
        <v>72</v>
      </c>
      <c r="H312" s="29">
        <v>14.7</v>
      </c>
      <c r="I312" s="28">
        <v>1015.7</v>
      </c>
      <c r="J312" s="36" t="s">
        <v>429</v>
      </c>
    </row>
    <row r="313" spans="1:10">
      <c r="A313" s="4">
        <v>41783</v>
      </c>
      <c r="C313" s="29">
        <v>2.1666666666666665</v>
      </c>
      <c r="E313" s="26">
        <v>333</v>
      </c>
      <c r="F313" s="29">
        <v>0</v>
      </c>
      <c r="G313" s="27">
        <v>61</v>
      </c>
      <c r="H313" s="29">
        <v>13.6</v>
      </c>
      <c r="I313" s="28">
        <v>1015</v>
      </c>
      <c r="J313" s="36" t="s">
        <v>429</v>
      </c>
    </row>
    <row r="314" spans="1:10">
      <c r="A314" s="4">
        <v>41784</v>
      </c>
      <c r="C314" s="29">
        <v>2.1111111111111112</v>
      </c>
      <c r="E314" s="26">
        <v>330</v>
      </c>
      <c r="F314" s="29">
        <v>0</v>
      </c>
      <c r="G314" s="27">
        <v>60</v>
      </c>
      <c r="H314" s="29">
        <v>14</v>
      </c>
      <c r="I314" s="28">
        <v>1016.5</v>
      </c>
      <c r="J314" s="36" t="s">
        <v>429</v>
      </c>
    </row>
    <row r="315" spans="1:10">
      <c r="A315" s="4">
        <v>41785</v>
      </c>
      <c r="C315" s="29">
        <v>2.3888888888888888</v>
      </c>
      <c r="E315" s="26">
        <v>336</v>
      </c>
      <c r="F315" s="29">
        <v>0</v>
      </c>
      <c r="G315" s="27">
        <v>61</v>
      </c>
      <c r="H315" s="29">
        <v>14</v>
      </c>
      <c r="I315" s="28">
        <v>1019.8</v>
      </c>
      <c r="J315" s="36" t="s">
        <v>429</v>
      </c>
    </row>
    <row r="316" spans="1:10">
      <c r="A316" s="4">
        <v>41786</v>
      </c>
      <c r="C316" s="29">
        <v>1.6388888888888888</v>
      </c>
      <c r="E316" s="26">
        <v>256</v>
      </c>
      <c r="F316" s="29">
        <v>0</v>
      </c>
      <c r="G316" s="27">
        <v>72</v>
      </c>
      <c r="H316" s="29">
        <v>14.9</v>
      </c>
      <c r="I316" s="28">
        <v>1017.8</v>
      </c>
      <c r="J316" s="36" t="s">
        <v>429</v>
      </c>
    </row>
    <row r="317" spans="1:10">
      <c r="A317" s="4">
        <v>41787</v>
      </c>
      <c r="C317" s="29">
        <v>1.2777777777777777</v>
      </c>
      <c r="E317" s="26">
        <v>288</v>
      </c>
      <c r="F317" s="29">
        <v>1</v>
      </c>
      <c r="G317" s="27">
        <v>80</v>
      </c>
      <c r="H317" s="29">
        <v>16.2</v>
      </c>
      <c r="I317" s="28">
        <v>1017.2</v>
      </c>
      <c r="J317" s="36" t="s">
        <v>429</v>
      </c>
    </row>
    <row r="318" spans="1:10">
      <c r="A318" s="4">
        <v>41788</v>
      </c>
      <c r="C318" s="29">
        <v>1.1666666666666667</v>
      </c>
      <c r="E318" s="26">
        <v>265</v>
      </c>
      <c r="F318" s="29">
        <v>1</v>
      </c>
      <c r="G318" s="27">
        <v>91</v>
      </c>
      <c r="H318" s="29">
        <v>15.8</v>
      </c>
      <c r="I318" s="28">
        <v>1018.6</v>
      </c>
      <c r="J318" s="36" t="s">
        <v>429</v>
      </c>
    </row>
    <row r="319" spans="1:10">
      <c r="A319" s="4">
        <v>41789</v>
      </c>
      <c r="C319" s="29">
        <v>2.833333333333333</v>
      </c>
      <c r="E319" s="26">
        <v>322</v>
      </c>
      <c r="F319" s="29">
        <v>0</v>
      </c>
      <c r="G319" s="27">
        <v>77</v>
      </c>
      <c r="H319" s="29">
        <v>16.8</v>
      </c>
      <c r="I319" s="28">
        <v>1019.1</v>
      </c>
      <c r="J319" s="36" t="s">
        <v>429</v>
      </c>
    </row>
    <row r="320" spans="1:10">
      <c r="A320" s="4">
        <v>41790</v>
      </c>
      <c r="C320" s="29">
        <v>2.25</v>
      </c>
      <c r="E320" s="26">
        <v>324</v>
      </c>
      <c r="F320" s="29">
        <v>0</v>
      </c>
      <c r="G320" s="27">
        <v>67</v>
      </c>
      <c r="H320" s="29">
        <v>17.7</v>
      </c>
      <c r="I320" s="28">
        <v>1017.2</v>
      </c>
      <c r="J320" s="36" t="s">
        <v>429</v>
      </c>
    </row>
    <row r="321" spans="1:10">
      <c r="A321" s="4">
        <v>41791</v>
      </c>
      <c r="C321" s="29">
        <v>1.5277777777777777</v>
      </c>
      <c r="E321" s="26">
        <v>329</v>
      </c>
      <c r="F321" s="29">
        <v>0</v>
      </c>
      <c r="G321" s="27">
        <v>61</v>
      </c>
      <c r="H321" s="29">
        <v>17.7</v>
      </c>
      <c r="I321" s="28">
        <v>1018.2</v>
      </c>
      <c r="J321" s="36" t="s">
        <v>429</v>
      </c>
    </row>
    <row r="322" spans="1:10">
      <c r="A322" s="4">
        <v>41792</v>
      </c>
      <c r="C322" s="29">
        <v>2.1388888888888888</v>
      </c>
      <c r="E322" s="26">
        <v>321</v>
      </c>
      <c r="F322" s="29">
        <v>0</v>
      </c>
      <c r="G322" s="27">
        <v>78</v>
      </c>
      <c r="H322" s="29">
        <v>17.100000000000001</v>
      </c>
      <c r="I322" s="28">
        <v>1019.3</v>
      </c>
      <c r="J322" s="36" t="s">
        <v>429</v>
      </c>
    </row>
    <row r="323" spans="1:10">
      <c r="A323" s="4">
        <v>41793</v>
      </c>
      <c r="C323" s="29">
        <v>2.5833333333333335</v>
      </c>
      <c r="E323" s="26">
        <v>325</v>
      </c>
      <c r="F323" s="29">
        <v>0</v>
      </c>
      <c r="G323" s="27">
        <v>74</v>
      </c>
      <c r="H323" s="29">
        <v>16.7</v>
      </c>
      <c r="I323" s="28">
        <v>1018</v>
      </c>
      <c r="J323" s="36" t="s">
        <v>429</v>
      </c>
    </row>
    <row r="324" spans="1:10">
      <c r="A324" s="4">
        <v>41794</v>
      </c>
      <c r="C324" s="29">
        <v>2.2222222222222223</v>
      </c>
      <c r="E324" s="26">
        <v>319</v>
      </c>
      <c r="F324" s="29">
        <v>0</v>
      </c>
      <c r="G324" s="27">
        <v>71</v>
      </c>
      <c r="H324" s="29">
        <v>16.5</v>
      </c>
      <c r="I324" s="28">
        <v>1015.3</v>
      </c>
      <c r="J324" s="25">
        <v>1</v>
      </c>
    </row>
    <row r="325" spans="1:10">
      <c r="A325" s="4">
        <v>41795</v>
      </c>
      <c r="C325" s="29">
        <v>1.4722222222222221</v>
      </c>
      <c r="E325" s="26">
        <v>211</v>
      </c>
      <c r="F325" s="29">
        <v>0</v>
      </c>
      <c r="G325" s="27">
        <v>70</v>
      </c>
      <c r="H325" s="29">
        <v>16.899999999999999</v>
      </c>
      <c r="I325" s="28">
        <v>1010</v>
      </c>
      <c r="J325" s="25">
        <v>1</v>
      </c>
    </row>
    <row r="326" spans="1:10">
      <c r="A326" s="4">
        <v>41796</v>
      </c>
      <c r="C326" s="29">
        <v>2.75</v>
      </c>
      <c r="E326" s="26">
        <v>185</v>
      </c>
      <c r="F326" s="29">
        <v>5.3</v>
      </c>
      <c r="G326" s="27">
        <v>84</v>
      </c>
      <c r="H326" s="29">
        <v>16.7</v>
      </c>
      <c r="I326" s="28">
        <v>1006.8</v>
      </c>
      <c r="J326" s="25">
        <v>1</v>
      </c>
    </row>
    <row r="327" spans="1:10">
      <c r="A327" s="4">
        <v>41797</v>
      </c>
      <c r="C327" s="29">
        <v>2.8611111111111112</v>
      </c>
      <c r="E327" s="26">
        <v>198</v>
      </c>
      <c r="F327" s="29">
        <v>0</v>
      </c>
      <c r="G327" s="27">
        <v>68</v>
      </c>
      <c r="H327" s="29">
        <v>17.600000000000001</v>
      </c>
      <c r="I327" s="28">
        <v>1012</v>
      </c>
      <c r="J327" s="25">
        <v>1</v>
      </c>
    </row>
    <row r="328" spans="1:10">
      <c r="A328" s="4">
        <v>41798</v>
      </c>
      <c r="C328" s="29">
        <v>1.6944444444444442</v>
      </c>
      <c r="E328" s="26">
        <v>222</v>
      </c>
      <c r="F328" s="29">
        <v>0</v>
      </c>
      <c r="G328" s="27">
        <v>67</v>
      </c>
      <c r="H328" s="29">
        <v>18.2</v>
      </c>
      <c r="I328" s="28">
        <v>1016.3</v>
      </c>
      <c r="J328" s="25">
        <v>1</v>
      </c>
    </row>
    <row r="329" spans="1:10">
      <c r="A329" s="4">
        <v>41799</v>
      </c>
      <c r="C329" s="29">
        <v>1.2777777777777777</v>
      </c>
      <c r="E329" s="26">
        <v>240</v>
      </c>
      <c r="F329" s="29">
        <v>0</v>
      </c>
      <c r="G329" s="27">
        <v>67</v>
      </c>
      <c r="H329" s="29">
        <v>18.2</v>
      </c>
      <c r="I329" s="28">
        <v>1016.9</v>
      </c>
      <c r="J329" s="25">
        <v>1</v>
      </c>
    </row>
    <row r="330" spans="1:10">
      <c r="A330" s="4">
        <v>41800</v>
      </c>
      <c r="C330" s="29">
        <v>1.6111111111111109</v>
      </c>
      <c r="E330" s="26">
        <v>329</v>
      </c>
      <c r="F330" s="29">
        <v>0</v>
      </c>
      <c r="G330" s="27">
        <v>68</v>
      </c>
      <c r="H330" s="29">
        <v>17.8</v>
      </c>
      <c r="I330" s="28">
        <v>1016.8</v>
      </c>
      <c r="J330" s="25">
        <v>1</v>
      </c>
    </row>
    <row r="331" spans="1:10">
      <c r="A331" s="4">
        <v>41801</v>
      </c>
      <c r="C331" s="29">
        <v>1.2222222222222223</v>
      </c>
      <c r="E331" s="26">
        <v>318</v>
      </c>
      <c r="F331" s="29">
        <v>0</v>
      </c>
      <c r="G331" s="27">
        <v>67</v>
      </c>
      <c r="H331" s="29">
        <v>19.3</v>
      </c>
      <c r="I331" s="28">
        <v>1017.3</v>
      </c>
      <c r="J331" s="25">
        <v>1</v>
      </c>
    </row>
    <row r="332" spans="1:10">
      <c r="A332" s="4">
        <v>41802</v>
      </c>
      <c r="C332" s="29">
        <v>1.1388888888888888</v>
      </c>
      <c r="E332" s="26">
        <v>317</v>
      </c>
      <c r="F332" s="29">
        <v>0</v>
      </c>
      <c r="G332" s="27">
        <v>64</v>
      </c>
      <c r="H332" s="29">
        <v>22</v>
      </c>
      <c r="I332" s="28">
        <v>1017.9</v>
      </c>
      <c r="J332" s="25">
        <v>1</v>
      </c>
    </row>
    <row r="333" spans="1:10">
      <c r="A333" s="4">
        <v>41803</v>
      </c>
      <c r="C333" s="29">
        <v>0.91666666666666663</v>
      </c>
      <c r="E333" s="26">
        <v>320</v>
      </c>
      <c r="F333" s="29">
        <v>0</v>
      </c>
      <c r="G333" s="27">
        <v>74</v>
      </c>
      <c r="H333" s="29">
        <v>21</v>
      </c>
      <c r="I333" s="28">
        <v>1017.7</v>
      </c>
      <c r="J333" s="25">
        <v>1</v>
      </c>
    </row>
    <row r="334" spans="1:10">
      <c r="A334" s="4">
        <v>41804</v>
      </c>
      <c r="C334" s="29">
        <v>1.0277777777777779</v>
      </c>
      <c r="E334" s="26">
        <v>326</v>
      </c>
      <c r="F334" s="29">
        <v>0</v>
      </c>
      <c r="G334" s="27">
        <v>66</v>
      </c>
      <c r="H334" s="29">
        <v>23.2</v>
      </c>
      <c r="I334" s="28">
        <v>1013.5</v>
      </c>
      <c r="J334" s="25">
        <v>1</v>
      </c>
    </row>
    <row r="335" spans="1:10">
      <c r="A335" s="4">
        <v>41805</v>
      </c>
      <c r="C335" s="29">
        <v>1.6944444444444442</v>
      </c>
      <c r="E335" s="26">
        <v>55</v>
      </c>
      <c r="F335" s="29">
        <v>0</v>
      </c>
      <c r="G335" s="27">
        <v>49</v>
      </c>
      <c r="H335" s="29">
        <v>24.8</v>
      </c>
      <c r="I335" s="28">
        <v>1011.5</v>
      </c>
      <c r="J335" s="25">
        <v>1</v>
      </c>
    </row>
    <row r="336" spans="1:10">
      <c r="A336" s="4">
        <v>41806</v>
      </c>
      <c r="C336" s="29">
        <v>1.5833333333333333</v>
      </c>
      <c r="E336" s="26">
        <v>90</v>
      </c>
      <c r="F336" s="29">
        <v>0</v>
      </c>
      <c r="G336" s="27">
        <v>38</v>
      </c>
      <c r="H336" s="29">
        <v>25.2</v>
      </c>
      <c r="I336" s="28">
        <v>1011.1</v>
      </c>
      <c r="J336" s="25">
        <v>1</v>
      </c>
    </row>
    <row r="337" spans="1:10">
      <c r="A337" s="4">
        <v>41807</v>
      </c>
      <c r="C337" s="29">
        <v>1.9722222222222221</v>
      </c>
      <c r="E337" s="26">
        <v>270</v>
      </c>
      <c r="F337" s="29">
        <v>0</v>
      </c>
      <c r="G337" s="27">
        <v>48</v>
      </c>
      <c r="H337" s="29">
        <v>22.6</v>
      </c>
      <c r="I337" s="28">
        <v>1012.4</v>
      </c>
      <c r="J337" s="25">
        <v>1</v>
      </c>
    </row>
    <row r="338" spans="1:10">
      <c r="A338" s="4">
        <v>41808</v>
      </c>
      <c r="C338" s="29">
        <v>1.3333333333333333</v>
      </c>
      <c r="E338" s="26">
        <v>247</v>
      </c>
      <c r="F338" s="29">
        <v>0</v>
      </c>
      <c r="G338" s="27">
        <v>73</v>
      </c>
      <c r="H338" s="29">
        <v>19.2</v>
      </c>
      <c r="I338" s="28">
        <v>1014.7</v>
      </c>
      <c r="J338" s="25">
        <v>1</v>
      </c>
    </row>
    <row r="339" spans="1:10">
      <c r="A339" s="4">
        <v>41809</v>
      </c>
      <c r="C339" s="29">
        <v>1.4722222222222221</v>
      </c>
      <c r="E339" s="26">
        <v>273</v>
      </c>
      <c r="F339" s="29">
        <v>0</v>
      </c>
      <c r="G339" s="27">
        <v>69</v>
      </c>
      <c r="H339" s="29">
        <v>19.399999999999999</v>
      </c>
      <c r="I339" s="28">
        <v>1015</v>
      </c>
      <c r="J339" s="25">
        <v>1</v>
      </c>
    </row>
    <row r="340" spans="1:10">
      <c r="A340" s="4">
        <v>41810</v>
      </c>
      <c r="C340" s="29">
        <v>1.3055555555555556</v>
      </c>
      <c r="E340" s="26">
        <v>239</v>
      </c>
      <c r="F340" s="29">
        <v>0</v>
      </c>
      <c r="G340" s="27">
        <v>65</v>
      </c>
      <c r="H340" s="29">
        <v>19.5</v>
      </c>
      <c r="I340" s="28">
        <v>1013.3</v>
      </c>
      <c r="J340" s="25">
        <v>1</v>
      </c>
    </row>
    <row r="341" spans="1:10">
      <c r="A341" s="4">
        <v>41811</v>
      </c>
      <c r="C341" s="29">
        <v>2.6944444444444442</v>
      </c>
      <c r="E341" s="26">
        <v>209</v>
      </c>
      <c r="F341" s="29">
        <v>1</v>
      </c>
      <c r="G341" s="27">
        <v>70</v>
      </c>
      <c r="H341" s="29">
        <v>19.7</v>
      </c>
      <c r="I341" s="28">
        <v>1013</v>
      </c>
      <c r="J341" s="25">
        <v>1</v>
      </c>
    </row>
    <row r="342" spans="1:10">
      <c r="A342" s="4">
        <v>41812</v>
      </c>
      <c r="C342" s="29">
        <v>0.80555555555555547</v>
      </c>
      <c r="E342" s="26">
        <v>119</v>
      </c>
      <c r="F342" s="29">
        <v>4</v>
      </c>
      <c r="G342" s="27">
        <v>85</v>
      </c>
      <c r="H342" s="29">
        <v>17</v>
      </c>
      <c r="I342" s="28">
        <v>1015.6</v>
      </c>
      <c r="J342" s="25">
        <v>1</v>
      </c>
    </row>
    <row r="343" spans="1:10">
      <c r="A343" s="4">
        <v>41813</v>
      </c>
      <c r="C343" s="29">
        <v>0.66666666666666663</v>
      </c>
      <c r="E343" s="26">
        <v>24</v>
      </c>
      <c r="F343" s="29">
        <v>8.6</v>
      </c>
      <c r="G343" s="27">
        <v>91</v>
      </c>
      <c r="H343" s="29">
        <v>17</v>
      </c>
      <c r="I343" s="28">
        <v>1015.5</v>
      </c>
      <c r="J343" s="25">
        <v>1</v>
      </c>
    </row>
    <row r="344" spans="1:10">
      <c r="A344" s="4">
        <v>41814</v>
      </c>
      <c r="C344" s="29">
        <v>1.3611111111111112</v>
      </c>
      <c r="E344" s="26">
        <v>285</v>
      </c>
      <c r="F344" s="29">
        <v>1</v>
      </c>
      <c r="G344" s="27">
        <v>83</v>
      </c>
      <c r="H344" s="29">
        <v>18.5</v>
      </c>
      <c r="I344" s="28">
        <v>1015.2</v>
      </c>
      <c r="J344" s="25">
        <v>1</v>
      </c>
    </row>
    <row r="345" spans="1:10">
      <c r="A345" s="4">
        <v>41815</v>
      </c>
      <c r="C345" s="29">
        <v>2.25</v>
      </c>
      <c r="E345" s="26">
        <v>295</v>
      </c>
      <c r="F345" s="29">
        <v>0</v>
      </c>
      <c r="G345" s="27">
        <v>79</v>
      </c>
      <c r="H345" s="29">
        <v>18.5</v>
      </c>
      <c r="I345" s="28">
        <v>1016.8</v>
      </c>
      <c r="J345" s="25">
        <v>1</v>
      </c>
    </row>
    <row r="346" spans="1:10">
      <c r="A346" s="4">
        <v>41816</v>
      </c>
      <c r="C346" s="29">
        <v>1.8611111111111112</v>
      </c>
      <c r="E346" s="26">
        <v>312</v>
      </c>
      <c r="F346" s="29">
        <v>0</v>
      </c>
      <c r="G346" s="27">
        <v>70</v>
      </c>
      <c r="H346" s="29">
        <v>19.2</v>
      </c>
      <c r="I346" s="28">
        <v>1016.9</v>
      </c>
      <c r="J346" s="25">
        <v>1</v>
      </c>
    </row>
    <row r="347" spans="1:10">
      <c r="A347" s="4">
        <v>41817</v>
      </c>
      <c r="C347" s="29">
        <v>1.6944444444444442</v>
      </c>
      <c r="E347" s="26">
        <v>302</v>
      </c>
      <c r="F347" s="29">
        <v>0</v>
      </c>
      <c r="G347" s="27">
        <v>67</v>
      </c>
      <c r="H347" s="29">
        <v>19.3</v>
      </c>
      <c r="I347" s="28">
        <v>1017.1</v>
      </c>
      <c r="J347" s="25">
        <v>1</v>
      </c>
    </row>
    <row r="348" spans="1:10">
      <c r="A348" s="4">
        <v>41818</v>
      </c>
      <c r="C348" s="29">
        <v>2.4166666666666665</v>
      </c>
      <c r="E348" s="26">
        <v>282</v>
      </c>
      <c r="F348" s="29">
        <v>0</v>
      </c>
      <c r="G348" s="27">
        <v>76</v>
      </c>
      <c r="H348" s="29">
        <v>18</v>
      </c>
      <c r="I348" s="28">
        <v>1016.4</v>
      </c>
      <c r="J348" s="25">
        <v>1</v>
      </c>
    </row>
    <row r="349" spans="1:10">
      <c r="A349" s="4">
        <v>41819</v>
      </c>
      <c r="C349" s="29">
        <v>2.5277777777777777</v>
      </c>
      <c r="E349" s="26">
        <v>327</v>
      </c>
      <c r="F349" s="29">
        <v>0</v>
      </c>
      <c r="G349" s="27">
        <v>67</v>
      </c>
      <c r="H349" s="29">
        <v>18.3</v>
      </c>
      <c r="I349" s="28">
        <v>1020.4</v>
      </c>
      <c r="J349" s="25">
        <v>1</v>
      </c>
    </row>
    <row r="350" spans="1:10">
      <c r="A350" s="4">
        <v>41820</v>
      </c>
      <c r="C350" s="29">
        <v>1.8611111111111112</v>
      </c>
      <c r="E350" s="26">
        <v>292</v>
      </c>
      <c r="F350" s="29">
        <v>0</v>
      </c>
      <c r="G350" s="27">
        <v>69</v>
      </c>
      <c r="H350" s="29">
        <v>18.2</v>
      </c>
      <c r="I350" s="28">
        <v>1018.4</v>
      </c>
      <c r="J350" s="25">
        <v>1</v>
      </c>
    </row>
    <row r="351" spans="1:10">
      <c r="A351" s="4">
        <v>41821</v>
      </c>
      <c r="C351" s="29">
        <v>2.2222222222222223</v>
      </c>
      <c r="E351" s="26">
        <v>277</v>
      </c>
      <c r="F351" s="29">
        <v>2</v>
      </c>
      <c r="G351" s="27">
        <v>73</v>
      </c>
      <c r="H351" s="29">
        <v>18.600000000000001</v>
      </c>
      <c r="I351" s="28">
        <v>1015.6</v>
      </c>
      <c r="J351" s="25">
        <v>1</v>
      </c>
    </row>
    <row r="352" spans="1:10">
      <c r="A352" s="4">
        <v>41822</v>
      </c>
      <c r="C352" s="29">
        <v>2.3055555555555558</v>
      </c>
      <c r="E352" s="26">
        <v>312</v>
      </c>
      <c r="F352" s="29">
        <v>1</v>
      </c>
      <c r="G352" s="27">
        <v>76</v>
      </c>
      <c r="H352" s="29">
        <v>18.5</v>
      </c>
      <c r="I352" s="28">
        <v>1015.6</v>
      </c>
      <c r="J352" s="25">
        <v>1</v>
      </c>
    </row>
    <row r="353" spans="1:10">
      <c r="A353" s="4">
        <v>41823</v>
      </c>
      <c r="C353" s="29">
        <v>1.8333333333333333</v>
      </c>
      <c r="E353" s="26">
        <v>288</v>
      </c>
      <c r="F353" s="29">
        <v>0</v>
      </c>
      <c r="G353" s="27">
        <v>73</v>
      </c>
      <c r="H353" s="29">
        <v>20.7</v>
      </c>
      <c r="I353" s="28">
        <v>1016</v>
      </c>
      <c r="J353" s="25">
        <v>1</v>
      </c>
    </row>
    <row r="354" spans="1:10">
      <c r="A354" s="4">
        <v>41824</v>
      </c>
      <c r="C354" s="29">
        <v>2.2222222222222223</v>
      </c>
      <c r="E354" s="26">
        <v>317</v>
      </c>
      <c r="F354" s="29">
        <v>0</v>
      </c>
      <c r="G354" s="27">
        <v>82</v>
      </c>
      <c r="H354" s="29">
        <v>18.8</v>
      </c>
      <c r="I354" s="28">
        <v>1017.9</v>
      </c>
      <c r="J354" s="25">
        <v>1</v>
      </c>
    </row>
    <row r="355" spans="1:10">
      <c r="A355" s="4">
        <v>41825</v>
      </c>
      <c r="C355" s="29">
        <v>2.1388888888888888</v>
      </c>
      <c r="E355" s="26">
        <v>288</v>
      </c>
      <c r="F355" s="29">
        <v>0</v>
      </c>
      <c r="G355" s="27">
        <v>81</v>
      </c>
      <c r="H355" s="29">
        <v>19.2</v>
      </c>
      <c r="I355" s="28">
        <v>1016.6</v>
      </c>
      <c r="J355" s="25">
        <v>1</v>
      </c>
    </row>
    <row r="356" spans="1:10">
      <c r="A356" s="4">
        <v>41826</v>
      </c>
      <c r="C356" s="29">
        <v>2.4444444444444446</v>
      </c>
      <c r="E356" s="26">
        <v>277</v>
      </c>
      <c r="F356" s="29">
        <v>2</v>
      </c>
      <c r="G356" s="27">
        <v>81</v>
      </c>
      <c r="H356" s="29">
        <v>19.100000000000001</v>
      </c>
      <c r="I356" s="28">
        <v>1015.2</v>
      </c>
      <c r="J356" s="25">
        <v>1</v>
      </c>
    </row>
    <row r="357" spans="1:10">
      <c r="A357" s="4">
        <v>41827</v>
      </c>
      <c r="C357" s="29">
        <v>2.75</v>
      </c>
      <c r="E357" s="26">
        <v>327</v>
      </c>
      <c r="F357" s="29">
        <v>0</v>
      </c>
      <c r="G357" s="27">
        <v>66</v>
      </c>
      <c r="H357" s="29">
        <v>18.100000000000001</v>
      </c>
      <c r="I357" s="28">
        <v>1019.4</v>
      </c>
      <c r="J357" s="25">
        <v>1</v>
      </c>
    </row>
    <row r="358" spans="1:10">
      <c r="A358" s="4">
        <v>41828</v>
      </c>
      <c r="C358" s="29">
        <v>2.25</v>
      </c>
      <c r="E358" s="26">
        <v>326</v>
      </c>
      <c r="F358" s="29">
        <v>0</v>
      </c>
      <c r="G358" s="27">
        <v>71</v>
      </c>
      <c r="H358" s="29">
        <v>18.5</v>
      </c>
      <c r="I358" s="28">
        <v>1019.4</v>
      </c>
      <c r="J358" s="25">
        <v>1</v>
      </c>
    </row>
    <row r="359" spans="1:10">
      <c r="A359" s="4">
        <v>41829</v>
      </c>
      <c r="C359" s="29">
        <v>1.7222222222222223</v>
      </c>
      <c r="E359" s="26">
        <v>309</v>
      </c>
      <c r="F359" s="29">
        <v>0</v>
      </c>
      <c r="G359" s="27">
        <v>63</v>
      </c>
      <c r="H359" s="29">
        <v>20.8</v>
      </c>
      <c r="I359" s="28">
        <v>1015</v>
      </c>
      <c r="J359" s="25">
        <v>1</v>
      </c>
    </row>
    <row r="360" spans="1:10">
      <c r="A360" s="4">
        <v>41830</v>
      </c>
      <c r="C360" s="29">
        <v>1.6111111111111109</v>
      </c>
      <c r="E360" s="26">
        <v>331</v>
      </c>
      <c r="F360" s="29">
        <v>0</v>
      </c>
      <c r="G360" s="27">
        <v>53</v>
      </c>
      <c r="H360" s="29">
        <v>21.9</v>
      </c>
      <c r="I360" s="28">
        <v>1015.1</v>
      </c>
      <c r="J360" s="25">
        <v>1</v>
      </c>
    </row>
    <row r="361" spans="1:10">
      <c r="A361" s="4">
        <v>41831</v>
      </c>
      <c r="C361" s="29">
        <v>1.5833333333333333</v>
      </c>
      <c r="E361" s="26">
        <v>324</v>
      </c>
      <c r="F361" s="29">
        <v>0</v>
      </c>
      <c r="G361" s="27">
        <v>52</v>
      </c>
      <c r="H361" s="29">
        <v>21.9</v>
      </c>
      <c r="I361" s="28">
        <v>1015.9</v>
      </c>
      <c r="J361" s="25">
        <v>1</v>
      </c>
    </row>
    <row r="362" spans="1:10">
      <c r="A362" s="4">
        <v>41832</v>
      </c>
      <c r="C362" s="29">
        <v>1.5833333333333333</v>
      </c>
      <c r="E362" s="26">
        <v>272</v>
      </c>
      <c r="F362" s="29">
        <v>0</v>
      </c>
      <c r="G362" s="27">
        <v>67</v>
      </c>
      <c r="H362" s="29">
        <v>20</v>
      </c>
      <c r="I362" s="28">
        <v>1015.6</v>
      </c>
      <c r="J362" s="25">
        <v>1</v>
      </c>
    </row>
    <row r="363" spans="1:10">
      <c r="A363" s="4">
        <v>41833</v>
      </c>
      <c r="C363" s="29">
        <v>2.6111111111111112</v>
      </c>
      <c r="E363" s="26">
        <v>300</v>
      </c>
      <c r="F363" s="29">
        <v>0</v>
      </c>
      <c r="G363" s="27">
        <v>76</v>
      </c>
      <c r="H363" s="29">
        <v>19.2</v>
      </c>
      <c r="I363" s="28">
        <v>1017</v>
      </c>
      <c r="J363" s="25">
        <v>1</v>
      </c>
    </row>
    <row r="364" spans="1:10">
      <c r="A364" s="4">
        <v>41834</v>
      </c>
      <c r="C364" s="29">
        <v>2.1388888888888888</v>
      </c>
      <c r="E364" s="26">
        <v>298</v>
      </c>
      <c r="F364" s="29">
        <v>0</v>
      </c>
      <c r="G364" s="27">
        <v>77</v>
      </c>
      <c r="H364" s="29">
        <v>20.399999999999999</v>
      </c>
      <c r="I364" s="28">
        <v>1016.3</v>
      </c>
      <c r="J364" s="25">
        <v>1</v>
      </c>
    </row>
  </sheetData>
  <autoFilter ref="A1:L1"/>
  <pageMargins left="0.7" right="0.7" top="0.75" bottom="0.75" header="0.3" footer="0.3"/>
  <pageSetup paperSize="9" orientation="portrait" r:id="rId1"/>
  <legacyDrawing r:id="rId2"/>
  <controls>
    <control shapeId="2049" r:id="rId3" name="cmdUpdat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Z100"/>
  <sheetViews>
    <sheetView tabSelected="1" workbookViewId="0"/>
  </sheetViews>
  <sheetFormatPr defaultRowHeight="12.75"/>
  <cols>
    <col min="1" max="19" width="2.7109375" customWidth="1"/>
    <col min="20" max="20" width="9.140625" customWidth="1"/>
    <col min="21" max="21" width="10.140625" bestFit="1" customWidth="1"/>
    <col min="22" max="22" width="11.5703125" bestFit="1" customWidth="1"/>
    <col min="23" max="38" width="10.140625" customWidth="1"/>
  </cols>
  <sheetData>
    <row r="1" spans="1:52"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</row>
    <row r="2" spans="1:52" ht="13.5" thickBot="1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</row>
    <row r="3" spans="1:52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37" t="s">
        <v>1517</v>
      </c>
      <c r="U3" s="38"/>
      <c r="V3" s="7"/>
      <c r="X3" s="7"/>
      <c r="Y3" s="7"/>
      <c r="Z3" s="7"/>
      <c r="AA3" s="7"/>
      <c r="AC3" s="21">
        <f ca="1">TODAY()</f>
        <v>41835</v>
      </c>
      <c r="AD3" s="7"/>
      <c r="AE3" s="7"/>
      <c r="AF3" s="7"/>
      <c r="AG3" s="7"/>
      <c r="AH3" s="7"/>
      <c r="AI3" s="7"/>
      <c r="AJ3" s="7"/>
      <c r="AK3" s="21">
        <f ca="1">TODAY()</f>
        <v>41835</v>
      </c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</row>
    <row r="4" spans="1:52">
      <c r="A4" s="7"/>
      <c r="B4" s="7"/>
      <c r="C4" s="7"/>
      <c r="D4" s="7"/>
      <c r="E4" s="7"/>
      <c r="F4" s="7"/>
      <c r="G4" s="7"/>
      <c r="H4" s="7"/>
      <c r="I4" s="7"/>
      <c r="J4" s="9" t="s">
        <v>49</v>
      </c>
      <c r="K4" s="7"/>
      <c r="L4" s="7"/>
      <c r="M4" s="7"/>
      <c r="N4" s="7"/>
      <c r="O4" s="7"/>
      <c r="P4" s="7"/>
      <c r="Q4" s="7"/>
      <c r="R4" s="7"/>
      <c r="S4" s="7"/>
      <c r="T4" s="39" t="s">
        <v>295</v>
      </c>
      <c r="U4" s="40">
        <f ca="1">rngWindAngleEOF</f>
        <v>298</v>
      </c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</row>
    <row r="5" spans="1:52" ht="13.5" thickBo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41" t="s">
        <v>52</v>
      </c>
      <c r="U5" s="42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</row>
    <row r="6" spans="1:52" ht="13.5" thickBot="1">
      <c r="A6" s="7"/>
      <c r="B6" s="7"/>
      <c r="C6" s="7"/>
      <c r="D6" s="7"/>
      <c r="E6" s="7" t="s">
        <v>57</v>
      </c>
      <c r="F6" s="7"/>
      <c r="G6" s="7"/>
      <c r="H6" s="7"/>
      <c r="I6" s="7"/>
      <c r="J6" s="7"/>
      <c r="K6" s="7"/>
      <c r="L6" s="7"/>
      <c r="M6" s="7"/>
      <c r="N6" s="7"/>
      <c r="O6" s="7" t="s">
        <v>50</v>
      </c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</row>
    <row r="7" spans="1:5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14" t="s">
        <v>295</v>
      </c>
      <c r="U7" s="14" t="s">
        <v>295</v>
      </c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</row>
    <row r="8" spans="1:52" ht="13.5" thickBo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13" t="s">
        <v>296</v>
      </c>
      <c r="U8" s="13" t="s">
        <v>52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</row>
    <row r="9" spans="1:5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18" t="s">
        <v>49</v>
      </c>
      <c r="U9" s="10">
        <v>0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</row>
    <row r="10" spans="1:5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19" t="s">
        <v>50</v>
      </c>
      <c r="U10" s="11">
        <v>45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</row>
    <row r="11" spans="1:52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19" t="s">
        <v>54</v>
      </c>
      <c r="U11" s="11">
        <v>90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</row>
    <row r="12" spans="1:52">
      <c r="A12" s="7"/>
      <c r="B12" s="7"/>
      <c r="C12" s="7" t="s">
        <v>53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 t="s">
        <v>54</v>
      </c>
      <c r="R12" s="7"/>
      <c r="S12" s="7"/>
      <c r="T12" s="19" t="s">
        <v>56</v>
      </c>
      <c r="U12" s="11">
        <v>135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</row>
    <row r="13" spans="1:5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19" t="s">
        <v>55</v>
      </c>
      <c r="U13" s="11">
        <v>180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19" t="s">
        <v>51</v>
      </c>
      <c r="U14" s="11">
        <v>225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19" t="s">
        <v>53</v>
      </c>
      <c r="U15" s="11">
        <v>270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3.5" thickBo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20" t="s">
        <v>57</v>
      </c>
      <c r="U16" s="12">
        <v>315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>
      <c r="A17" s="7"/>
      <c r="B17" s="7"/>
      <c r="C17" s="7"/>
      <c r="D17" s="7"/>
      <c r="E17" s="7" t="s">
        <v>51</v>
      </c>
      <c r="F17" s="7"/>
      <c r="G17" s="7"/>
      <c r="H17" s="7"/>
      <c r="I17" s="7"/>
      <c r="J17" s="7"/>
      <c r="K17" s="7"/>
      <c r="L17" s="7"/>
      <c r="M17" s="7"/>
      <c r="N17" s="7"/>
      <c r="O17" s="7" t="s">
        <v>56</v>
      </c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17" t="s">
        <v>295</v>
      </c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17">
        <v>99.5</v>
      </c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>
      <c r="A20" s="7"/>
      <c r="B20" s="7"/>
      <c r="C20" s="7"/>
      <c r="D20" s="7"/>
      <c r="E20" s="7"/>
      <c r="F20" s="7"/>
      <c r="G20" s="7"/>
      <c r="H20" s="7"/>
      <c r="I20" s="7"/>
      <c r="J20" s="8" t="s">
        <v>55</v>
      </c>
      <c r="K20" s="7"/>
      <c r="L20" s="7"/>
      <c r="M20" s="7"/>
      <c r="N20" s="7"/>
      <c r="O20" s="7"/>
      <c r="P20" s="7"/>
      <c r="Q20" s="7"/>
      <c r="R20" s="7"/>
      <c r="S20" s="7"/>
      <c r="T20" s="17">
        <f>100-T19</f>
        <v>0.5</v>
      </c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21">
        <f ca="1">TODAY()</f>
        <v>41835</v>
      </c>
      <c r="V24" s="7"/>
      <c r="W24" s="7"/>
      <c r="X24" s="7"/>
      <c r="Y24" s="7"/>
      <c r="Z24" s="7"/>
      <c r="AA24" s="7"/>
      <c r="AB24" s="7"/>
      <c r="AC24" s="21">
        <f ca="1">TODAY()</f>
        <v>41835</v>
      </c>
      <c r="AD24" s="7"/>
      <c r="AE24" s="7"/>
      <c r="AF24" s="7"/>
      <c r="AG24" s="7"/>
      <c r="AH24" s="7"/>
      <c r="AI24" s="7"/>
      <c r="AJ24" s="7"/>
      <c r="AK24" s="21">
        <f ca="1">TODAY()</f>
        <v>41835</v>
      </c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</row>
    <row r="52" spans="1:5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</row>
    <row r="53" spans="1:5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</row>
    <row r="54" spans="1:5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</row>
    <row r="55" spans="1:5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</row>
    <row r="56" spans="1:5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</row>
    <row r="57" spans="1:5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</row>
    <row r="58" spans="1:5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</row>
    <row r="59" spans="1:5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</row>
    <row r="60" spans="1:5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</row>
    <row r="61" spans="1:5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</row>
    <row r="62" spans="1:5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</row>
    <row r="63" spans="1:5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</row>
    <row r="64" spans="1:5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</row>
    <row r="65" spans="1:5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</row>
    <row r="66" spans="1:5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</row>
    <row r="67" spans="1:5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</row>
    <row r="68" spans="1:5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</row>
    <row r="69" spans="1:5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</row>
    <row r="70" spans="1:5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</row>
    <row r="71" spans="1:5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</row>
    <row r="72" spans="1:5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</row>
    <row r="73" spans="1:5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</row>
    <row r="74" spans="1:5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</row>
    <row r="75" spans="1:5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</row>
    <row r="76" spans="1:5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</row>
    <row r="77" spans="1:5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</row>
    <row r="78" spans="1:5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</row>
    <row r="79" spans="1:5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</row>
    <row r="80" spans="1:5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</row>
    <row r="81" spans="1:5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</sheetData>
  <pageMargins left="0.7" right="0.7" top="0.75" bottom="0.75" header="0.3" footer="0.3"/>
  <pageSetup paperSize="9" orientation="portrait" r:id="rId1"/>
  <drawing r:id="rId2"/>
  <legacyDrawing r:id="rId3"/>
  <controls>
    <control shapeId="1025" r:id="rId4" name="cmdManualUpdate"/>
    <control shapeId="1026" r:id="rId5" name="cmdAutomaticUpdate"/>
    <control shapeId="1027" r:id="rId6" name="cmdStopUpdat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2"/>
  <sheetViews>
    <sheetView workbookViewId="0"/>
  </sheetViews>
  <sheetFormatPr defaultRowHeight="12.75"/>
  <cols>
    <col min="1" max="1" width="11.42578125" bestFit="1" customWidth="1"/>
    <col min="2" max="2" width="7" bestFit="1" customWidth="1"/>
  </cols>
  <sheetData>
    <row r="1" spans="1:2">
      <c r="A1" s="2" t="s">
        <v>11</v>
      </c>
      <c r="B1" s="2" t="s">
        <v>12</v>
      </c>
    </row>
    <row r="2" spans="1:2">
      <c r="A2" s="3" t="s">
        <v>13</v>
      </c>
      <c r="B2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4003"/>
  <sheetViews>
    <sheetView topLeftCell="A3962" workbookViewId="0">
      <selection activeCell="D3851" sqref="D3851:D4003"/>
    </sheetView>
  </sheetViews>
  <sheetFormatPr defaultRowHeight="12.75"/>
  <cols>
    <col min="1" max="1" width="44.42578125" bestFit="1" customWidth="1"/>
    <col min="3" max="3" width="10.42578125" bestFit="1" customWidth="1"/>
  </cols>
  <sheetData>
    <row r="1" spans="1:4">
      <c r="A1" s="23" t="s">
        <v>544</v>
      </c>
      <c r="B1" t="s">
        <v>545</v>
      </c>
      <c r="C1" t="s">
        <v>925</v>
      </c>
      <c r="D1" s="29">
        <f>VALUE(LEFT(C1,LEN(C1)-2))</f>
        <v>18.3</v>
      </c>
    </row>
    <row r="2" spans="1:4">
      <c r="A2" s="23" t="s">
        <v>547</v>
      </c>
      <c r="B2" t="s">
        <v>545</v>
      </c>
      <c r="C2" s="24">
        <v>0</v>
      </c>
      <c r="D2" s="27">
        <f>VALUE(C2*100)</f>
        <v>0</v>
      </c>
    </row>
    <row r="3" spans="1:4">
      <c r="A3" s="23" t="s">
        <v>548</v>
      </c>
      <c r="B3" t="s">
        <v>545</v>
      </c>
      <c r="C3" t="s">
        <v>1371</v>
      </c>
      <c r="D3" s="29">
        <f>VALUE(LEFT(C3,LEN(C3)-2))</f>
        <v>50</v>
      </c>
    </row>
    <row r="4" spans="1:4">
      <c r="A4" s="23" t="s">
        <v>550</v>
      </c>
      <c r="B4" t="s">
        <v>545</v>
      </c>
      <c r="C4" t="s">
        <v>672</v>
      </c>
      <c r="D4" s="28">
        <f>VALUE(LEFT(C4,LEN(C4)-4))</f>
        <v>1018</v>
      </c>
    </row>
    <row r="5" spans="1:4">
      <c r="A5" s="23" t="s">
        <v>552</v>
      </c>
      <c r="B5" t="s">
        <v>545</v>
      </c>
      <c r="C5" t="s">
        <v>1141</v>
      </c>
      <c r="D5" s="29">
        <f>VALUE(LEFT(C5,LEN(C5)-FIND("km/h",C5)+1)/3.6)</f>
        <v>1.1111111111111112</v>
      </c>
    </row>
    <row r="6" spans="1:4">
      <c r="A6" s="23" t="s">
        <v>554</v>
      </c>
      <c r="B6" t="s">
        <v>545</v>
      </c>
      <c r="C6" t="s">
        <v>584</v>
      </c>
      <c r="D6" s="29">
        <f>VALUE(LEFT(C6,LEN(C6)-FIND("km/h",C6)+1)/3.6)</f>
        <v>1.9166666666666667</v>
      </c>
    </row>
    <row r="7" spans="1:4">
      <c r="A7" s="23" t="s">
        <v>556</v>
      </c>
      <c r="B7" t="s">
        <v>545</v>
      </c>
      <c r="C7" t="s">
        <v>1372</v>
      </c>
      <c r="D7" s="26">
        <f>VALUE(LEFT(C7,LEN(C7)-7))</f>
        <v>306</v>
      </c>
    </row>
    <row r="8" spans="1:4">
      <c r="A8" s="23" t="s">
        <v>558</v>
      </c>
      <c r="B8" t="s">
        <v>545</v>
      </c>
      <c r="C8" t="s">
        <v>604</v>
      </c>
      <c r="D8" s="29">
        <f>VALUE(LEFT(C8,LEN(C8)-3))</f>
        <v>0</v>
      </c>
    </row>
    <row r="9" spans="1:4">
      <c r="A9" s="23" t="s">
        <v>560</v>
      </c>
      <c r="B9" t="s">
        <v>545</v>
      </c>
      <c r="C9" t="s">
        <v>1373</v>
      </c>
      <c r="D9" s="29">
        <f>VALUE(LEFT(C9,LEN(C9)-3))</f>
        <v>381</v>
      </c>
    </row>
    <row r="10" spans="1:4">
      <c r="A10" s="23" t="s">
        <v>562</v>
      </c>
      <c r="B10" t="s">
        <v>545</v>
      </c>
      <c r="C10" t="s">
        <v>604</v>
      </c>
      <c r="D10" s="29">
        <f>VALUE(LEFT(C10,LEN(C10)-3))</f>
        <v>0</v>
      </c>
    </row>
    <row r="12" spans="1:4">
      <c r="A12" s="23" t="s">
        <v>544</v>
      </c>
      <c r="B12" t="s">
        <v>545</v>
      </c>
      <c r="C12" t="s">
        <v>1374</v>
      </c>
      <c r="D12" s="29">
        <f t="shared" ref="D12" si="0">VALUE(LEFT(C12,LEN(C12)-2))</f>
        <v>17.899999999999999</v>
      </c>
    </row>
    <row r="13" spans="1:4">
      <c r="A13" s="23" t="s">
        <v>547</v>
      </c>
      <c r="B13" t="s">
        <v>545</v>
      </c>
      <c r="C13" s="24">
        <v>0.27</v>
      </c>
      <c r="D13" s="27">
        <f t="shared" ref="D13" si="1">VALUE(C13*100)</f>
        <v>27</v>
      </c>
    </row>
    <row r="14" spans="1:4">
      <c r="A14" s="23" t="s">
        <v>548</v>
      </c>
      <c r="B14" t="s">
        <v>545</v>
      </c>
      <c r="C14" t="s">
        <v>1375</v>
      </c>
      <c r="D14" s="29">
        <f t="shared" ref="D14" si="2">VALUE(LEFT(C14,LEN(C14)-2))</f>
        <v>38</v>
      </c>
    </row>
    <row r="15" spans="1:4">
      <c r="A15" s="23" t="s">
        <v>550</v>
      </c>
      <c r="B15" t="s">
        <v>545</v>
      </c>
      <c r="C15" t="s">
        <v>1376</v>
      </c>
      <c r="D15" s="28">
        <f t="shared" ref="D15" si="3">VALUE(LEFT(C15,LEN(C15)-4))</f>
        <v>1016.7</v>
      </c>
    </row>
    <row r="16" spans="1:4">
      <c r="A16" s="23" t="s">
        <v>552</v>
      </c>
      <c r="B16" t="s">
        <v>545</v>
      </c>
      <c r="C16" t="s">
        <v>1234</v>
      </c>
      <c r="D16" s="29">
        <f t="shared" ref="D16:D17" si="4">VALUE(LEFT(C16,LEN(C16)-FIND("km/h",C16)+1)/3.6)</f>
        <v>0.69444444444444442</v>
      </c>
    </row>
    <row r="17" spans="1:4">
      <c r="A17" s="23" t="s">
        <v>554</v>
      </c>
      <c r="B17" t="s">
        <v>545</v>
      </c>
      <c r="C17" t="s">
        <v>1000</v>
      </c>
      <c r="D17" s="29">
        <f t="shared" si="4"/>
        <v>1.2222222222222223</v>
      </c>
    </row>
    <row r="18" spans="1:4">
      <c r="A18" s="23" t="s">
        <v>556</v>
      </c>
      <c r="B18" t="s">
        <v>545</v>
      </c>
      <c r="C18" t="s">
        <v>1377</v>
      </c>
      <c r="D18" s="26">
        <f t="shared" ref="D18" si="5">VALUE(LEFT(C18,LEN(C18)-7))</f>
        <v>251</v>
      </c>
    </row>
    <row r="19" spans="1:4">
      <c r="A19" s="23" t="s">
        <v>558</v>
      </c>
      <c r="B19" t="s">
        <v>545</v>
      </c>
      <c r="C19" t="s">
        <v>604</v>
      </c>
      <c r="D19" s="29">
        <f t="shared" ref="D19:D21" si="6">VALUE(LEFT(C19,LEN(C19)-3))</f>
        <v>0</v>
      </c>
    </row>
    <row r="20" spans="1:4">
      <c r="A20" s="23" t="s">
        <v>560</v>
      </c>
      <c r="B20" t="s">
        <v>545</v>
      </c>
      <c r="C20" t="s">
        <v>1373</v>
      </c>
      <c r="D20" s="29">
        <f t="shared" si="6"/>
        <v>381</v>
      </c>
    </row>
    <row r="21" spans="1:4">
      <c r="A21" s="23" t="s">
        <v>562</v>
      </c>
      <c r="B21" t="s">
        <v>545</v>
      </c>
      <c r="C21" t="s">
        <v>604</v>
      </c>
      <c r="D21" s="29">
        <f t="shared" si="6"/>
        <v>0</v>
      </c>
    </row>
    <row r="23" spans="1:4">
      <c r="A23" s="23" t="s">
        <v>544</v>
      </c>
      <c r="B23" t="s">
        <v>545</v>
      </c>
      <c r="C23" t="s">
        <v>1374</v>
      </c>
      <c r="D23" s="29">
        <f t="shared" ref="D23" si="7">VALUE(LEFT(C23,LEN(C23)-2))</f>
        <v>17.899999999999999</v>
      </c>
    </row>
    <row r="24" spans="1:4">
      <c r="A24" s="23" t="s">
        <v>547</v>
      </c>
      <c r="B24" t="s">
        <v>545</v>
      </c>
      <c r="C24" s="24">
        <v>0.27</v>
      </c>
      <c r="D24" s="27">
        <f t="shared" ref="D24" si="8">VALUE(C24*100)</f>
        <v>27</v>
      </c>
    </row>
    <row r="25" spans="1:4">
      <c r="A25" s="23" t="s">
        <v>548</v>
      </c>
      <c r="B25" t="s">
        <v>545</v>
      </c>
      <c r="C25" t="s">
        <v>1375</v>
      </c>
      <c r="D25" s="29">
        <f t="shared" ref="D25" si="9">VALUE(LEFT(C25,LEN(C25)-2))</f>
        <v>38</v>
      </c>
    </row>
    <row r="26" spans="1:4">
      <c r="A26" s="23" t="s">
        <v>550</v>
      </c>
      <c r="B26" t="s">
        <v>545</v>
      </c>
      <c r="C26" t="s">
        <v>1376</v>
      </c>
      <c r="D26" s="28">
        <f t="shared" ref="D26" si="10">VALUE(LEFT(C26,LEN(C26)-4))</f>
        <v>1016.7</v>
      </c>
    </row>
    <row r="27" spans="1:4">
      <c r="A27" s="23" t="s">
        <v>552</v>
      </c>
      <c r="B27" t="s">
        <v>545</v>
      </c>
      <c r="C27" t="s">
        <v>1234</v>
      </c>
      <c r="D27" s="29">
        <f t="shared" ref="D27:D28" si="11">VALUE(LEFT(C27,LEN(C27)-FIND("km/h",C27)+1)/3.6)</f>
        <v>0.69444444444444442</v>
      </c>
    </row>
    <row r="28" spans="1:4">
      <c r="A28" s="23" t="s">
        <v>554</v>
      </c>
      <c r="B28" t="s">
        <v>545</v>
      </c>
      <c r="C28" t="s">
        <v>1000</v>
      </c>
      <c r="D28" s="29">
        <f t="shared" si="11"/>
        <v>1.2222222222222223</v>
      </c>
    </row>
    <row r="29" spans="1:4">
      <c r="A29" s="23" t="s">
        <v>556</v>
      </c>
      <c r="B29" t="s">
        <v>545</v>
      </c>
      <c r="C29" t="s">
        <v>1377</v>
      </c>
      <c r="D29" s="26">
        <f t="shared" ref="D29" si="12">VALUE(LEFT(C29,LEN(C29)-7))</f>
        <v>251</v>
      </c>
    </row>
    <row r="30" spans="1:4">
      <c r="A30" s="23" t="s">
        <v>558</v>
      </c>
      <c r="B30" t="s">
        <v>545</v>
      </c>
      <c r="C30" t="s">
        <v>604</v>
      </c>
      <c r="D30" s="29">
        <f t="shared" ref="D30:D32" si="13">VALUE(LEFT(C30,LEN(C30)-3))</f>
        <v>0</v>
      </c>
    </row>
    <row r="31" spans="1:4">
      <c r="A31" s="23" t="s">
        <v>560</v>
      </c>
      <c r="B31" t="s">
        <v>545</v>
      </c>
      <c r="C31" t="s">
        <v>1373</v>
      </c>
      <c r="D31" s="29">
        <f t="shared" si="13"/>
        <v>381</v>
      </c>
    </row>
    <row r="32" spans="1:4">
      <c r="A32" s="23" t="s">
        <v>562</v>
      </c>
      <c r="B32" t="s">
        <v>545</v>
      </c>
      <c r="C32" t="s">
        <v>604</v>
      </c>
      <c r="D32" s="29">
        <f t="shared" si="13"/>
        <v>0</v>
      </c>
    </row>
    <row r="34" spans="1:4">
      <c r="A34" s="23" t="s">
        <v>544</v>
      </c>
      <c r="B34" t="s">
        <v>545</v>
      </c>
      <c r="C34" t="s">
        <v>871</v>
      </c>
      <c r="D34" s="29">
        <f t="shared" ref="D34" si="14">VALUE(LEFT(C34,LEN(C34)-2))</f>
        <v>17.3</v>
      </c>
    </row>
    <row r="35" spans="1:4">
      <c r="A35" s="23" t="s">
        <v>547</v>
      </c>
      <c r="B35" t="s">
        <v>545</v>
      </c>
      <c r="C35" s="24">
        <v>0.86</v>
      </c>
      <c r="D35" s="27">
        <f t="shared" ref="D35" si="15">VALUE(C35*100)</f>
        <v>86</v>
      </c>
    </row>
    <row r="36" spans="1:4">
      <c r="A36" s="23" t="s">
        <v>548</v>
      </c>
      <c r="B36" t="s">
        <v>545</v>
      </c>
      <c r="C36" t="s">
        <v>960</v>
      </c>
      <c r="D36" s="29">
        <f t="shared" ref="D36" si="16">VALUE(LEFT(C36,LEN(C36)-2))</f>
        <v>14.9</v>
      </c>
    </row>
    <row r="37" spans="1:4">
      <c r="A37" s="23" t="s">
        <v>550</v>
      </c>
      <c r="B37" t="s">
        <v>545</v>
      </c>
      <c r="C37" t="s">
        <v>1378</v>
      </c>
      <c r="D37" s="28">
        <f t="shared" ref="D37" si="17">VALUE(LEFT(C37,LEN(C37)-4))</f>
        <v>1014.5</v>
      </c>
    </row>
    <row r="38" spans="1:4">
      <c r="A38" s="23" t="s">
        <v>552</v>
      </c>
      <c r="B38" t="s">
        <v>545</v>
      </c>
      <c r="C38" t="s">
        <v>776</v>
      </c>
      <c r="D38" s="29">
        <f t="shared" ref="D38:D39" si="18">VALUE(LEFT(C38,LEN(C38)-FIND("km/h",C38)+1)/3.6)</f>
        <v>0.77777777777777768</v>
      </c>
    </row>
    <row r="39" spans="1:4">
      <c r="A39" s="23" t="s">
        <v>554</v>
      </c>
      <c r="B39" t="s">
        <v>545</v>
      </c>
      <c r="C39" t="s">
        <v>1000</v>
      </c>
      <c r="D39" s="29">
        <f t="shared" si="18"/>
        <v>1.2222222222222223</v>
      </c>
    </row>
    <row r="40" spans="1:4">
      <c r="A40" s="23" t="s">
        <v>556</v>
      </c>
      <c r="B40" t="s">
        <v>545</v>
      </c>
      <c r="C40" t="s">
        <v>1379</v>
      </c>
      <c r="D40" s="26">
        <f t="shared" ref="D40" si="19">VALUE(LEFT(C40,LEN(C40)-7))</f>
        <v>225</v>
      </c>
    </row>
    <row r="41" spans="1:4">
      <c r="A41" s="23" t="s">
        <v>558</v>
      </c>
      <c r="B41" t="s">
        <v>545</v>
      </c>
      <c r="C41" t="s">
        <v>604</v>
      </c>
      <c r="D41" s="29">
        <f t="shared" ref="D41:D43" si="20">VALUE(LEFT(C41,LEN(C41)-3))</f>
        <v>0</v>
      </c>
    </row>
    <row r="42" spans="1:4">
      <c r="A42" s="23" t="s">
        <v>560</v>
      </c>
      <c r="B42" t="s">
        <v>545</v>
      </c>
      <c r="C42" t="s">
        <v>1373</v>
      </c>
      <c r="D42" s="29">
        <f t="shared" si="20"/>
        <v>381</v>
      </c>
    </row>
    <row r="43" spans="1:4">
      <c r="A43" s="23" t="s">
        <v>562</v>
      </c>
      <c r="B43" t="s">
        <v>545</v>
      </c>
      <c r="C43" t="s">
        <v>604</v>
      </c>
      <c r="D43" s="29">
        <f t="shared" si="20"/>
        <v>0</v>
      </c>
    </row>
    <row r="45" spans="1:4">
      <c r="A45" s="23" t="s">
        <v>544</v>
      </c>
      <c r="B45" t="s">
        <v>545</v>
      </c>
      <c r="C45" t="s">
        <v>1380</v>
      </c>
      <c r="D45" s="29">
        <f t="shared" ref="D45" si="21">VALUE(LEFT(C45,LEN(C45)-2))</f>
        <v>21.2</v>
      </c>
    </row>
    <row r="46" spans="1:4">
      <c r="A46" s="23" t="s">
        <v>547</v>
      </c>
      <c r="B46" t="s">
        <v>545</v>
      </c>
      <c r="C46" s="24">
        <v>0.63</v>
      </c>
      <c r="D46" s="27">
        <f t="shared" ref="D46" si="22">VALUE(C46*100)</f>
        <v>63</v>
      </c>
    </row>
    <row r="47" spans="1:4">
      <c r="A47" s="23" t="s">
        <v>548</v>
      </c>
      <c r="B47" t="s">
        <v>545</v>
      </c>
      <c r="C47" t="s">
        <v>900</v>
      </c>
      <c r="D47" s="29">
        <f t="shared" ref="D47" si="23">VALUE(LEFT(C47,LEN(C47)-2))</f>
        <v>13.5</v>
      </c>
    </row>
    <row r="48" spans="1:4">
      <c r="A48" s="23" t="s">
        <v>550</v>
      </c>
      <c r="B48" t="s">
        <v>545</v>
      </c>
      <c r="C48" t="s">
        <v>1381</v>
      </c>
      <c r="D48" s="28">
        <f t="shared" ref="D48" si="24">VALUE(LEFT(C48,LEN(C48)-4))</f>
        <v>1013.9</v>
      </c>
    </row>
    <row r="49" spans="1:4">
      <c r="A49" s="23" t="s">
        <v>552</v>
      </c>
      <c r="B49" t="s">
        <v>545</v>
      </c>
      <c r="C49" t="s">
        <v>789</v>
      </c>
      <c r="D49" s="29">
        <f t="shared" ref="D49:D50" si="25">VALUE(LEFT(C49,LEN(C49)-FIND("km/h",C49)+1)/3.6)</f>
        <v>1.8055555555555556</v>
      </c>
    </row>
    <row r="50" spans="1:4">
      <c r="A50" s="23" t="s">
        <v>554</v>
      </c>
      <c r="B50" t="s">
        <v>545</v>
      </c>
      <c r="C50" t="s">
        <v>939</v>
      </c>
      <c r="D50" s="29">
        <f t="shared" si="25"/>
        <v>2.6666666666666665</v>
      </c>
    </row>
    <row r="51" spans="1:4">
      <c r="A51" s="23" t="s">
        <v>556</v>
      </c>
      <c r="B51" t="s">
        <v>545</v>
      </c>
      <c r="C51" t="s">
        <v>1382</v>
      </c>
      <c r="D51" s="26">
        <f t="shared" ref="D51" si="26">VALUE(LEFT(C51,LEN(C51)-7))</f>
        <v>293</v>
      </c>
    </row>
    <row r="52" spans="1:4">
      <c r="A52" s="23" t="s">
        <v>558</v>
      </c>
      <c r="B52" t="s">
        <v>545</v>
      </c>
      <c r="C52" t="s">
        <v>604</v>
      </c>
      <c r="D52" s="29">
        <f t="shared" ref="D52:D54" si="27">VALUE(LEFT(C52,LEN(C52)-3))</f>
        <v>0</v>
      </c>
    </row>
    <row r="53" spans="1:4">
      <c r="A53" s="23" t="s">
        <v>560</v>
      </c>
      <c r="B53" t="s">
        <v>545</v>
      </c>
      <c r="C53" t="s">
        <v>1373</v>
      </c>
      <c r="D53" s="29">
        <f t="shared" si="27"/>
        <v>381</v>
      </c>
    </row>
    <row r="54" spans="1:4">
      <c r="A54" s="23" t="s">
        <v>562</v>
      </c>
      <c r="B54" t="s">
        <v>545</v>
      </c>
      <c r="C54" t="s">
        <v>604</v>
      </c>
      <c r="D54" s="29">
        <f t="shared" si="27"/>
        <v>0</v>
      </c>
    </row>
    <row r="56" spans="1:4">
      <c r="A56" s="23" t="s">
        <v>544</v>
      </c>
      <c r="B56" t="s">
        <v>545</v>
      </c>
      <c r="C56" t="s">
        <v>1383</v>
      </c>
      <c r="D56" s="29">
        <f t="shared" ref="D56" si="28">VALUE(LEFT(C56,LEN(C56)-2))</f>
        <v>20.399999999999999</v>
      </c>
    </row>
    <row r="57" spans="1:4">
      <c r="A57" s="23" t="s">
        <v>547</v>
      </c>
      <c r="B57" t="s">
        <v>545</v>
      </c>
      <c r="C57" s="24">
        <v>0.65</v>
      </c>
      <c r="D57" s="27">
        <f t="shared" ref="D57" si="29">VALUE(C57*100)</f>
        <v>65</v>
      </c>
    </row>
    <row r="58" spans="1:4">
      <c r="A58" s="23" t="s">
        <v>548</v>
      </c>
      <c r="B58" t="s">
        <v>545</v>
      </c>
      <c r="C58" t="s">
        <v>851</v>
      </c>
      <c r="D58" s="29">
        <f t="shared" ref="D58" si="30">VALUE(LEFT(C58,LEN(C58)-2))</f>
        <v>13.3</v>
      </c>
    </row>
    <row r="59" spans="1:4">
      <c r="A59" s="23" t="s">
        <v>550</v>
      </c>
      <c r="B59" t="s">
        <v>545</v>
      </c>
      <c r="C59" t="s">
        <v>575</v>
      </c>
      <c r="D59" s="28">
        <f t="shared" ref="D59" si="31">VALUE(LEFT(C59,LEN(C59)-4))</f>
        <v>1015.3</v>
      </c>
    </row>
    <row r="60" spans="1:4">
      <c r="A60" s="23" t="s">
        <v>552</v>
      </c>
      <c r="B60" t="s">
        <v>545</v>
      </c>
      <c r="C60" t="s">
        <v>609</v>
      </c>
      <c r="D60" s="29">
        <f t="shared" ref="D60:D61" si="32">VALUE(LEFT(C60,LEN(C60)-FIND("km/h",C60)+1)/3.6)</f>
        <v>1.5277777777777777</v>
      </c>
    </row>
    <row r="61" spans="1:4">
      <c r="A61" s="23" t="s">
        <v>554</v>
      </c>
      <c r="B61" t="s">
        <v>545</v>
      </c>
      <c r="C61" t="s">
        <v>879</v>
      </c>
      <c r="D61" s="29">
        <f t="shared" si="32"/>
        <v>2.2777777777777777</v>
      </c>
    </row>
    <row r="62" spans="1:4">
      <c r="A62" s="23" t="s">
        <v>556</v>
      </c>
      <c r="B62" t="s">
        <v>545</v>
      </c>
      <c r="C62" t="s">
        <v>666</v>
      </c>
      <c r="D62" s="26">
        <f t="shared" ref="D62" si="33">VALUE(LEFT(C62,LEN(C62)-7))</f>
        <v>300</v>
      </c>
    </row>
    <row r="63" spans="1:4">
      <c r="A63" s="23" t="s">
        <v>558</v>
      </c>
      <c r="B63" t="s">
        <v>545</v>
      </c>
      <c r="C63" t="s">
        <v>604</v>
      </c>
      <c r="D63" s="29">
        <f t="shared" ref="D63:D65" si="34">VALUE(LEFT(C63,LEN(C63)-3))</f>
        <v>0</v>
      </c>
    </row>
    <row r="64" spans="1:4">
      <c r="A64" s="23" t="s">
        <v>560</v>
      </c>
      <c r="B64" t="s">
        <v>545</v>
      </c>
      <c r="C64" t="s">
        <v>1373</v>
      </c>
      <c r="D64" s="29">
        <f t="shared" si="34"/>
        <v>381</v>
      </c>
    </row>
    <row r="65" spans="1:4">
      <c r="A65" s="23" t="s">
        <v>562</v>
      </c>
      <c r="B65" t="s">
        <v>545</v>
      </c>
      <c r="C65" t="s">
        <v>604</v>
      </c>
      <c r="D65" s="29">
        <f t="shared" si="34"/>
        <v>0</v>
      </c>
    </row>
    <row r="67" spans="1:4">
      <c r="A67" s="23" t="s">
        <v>544</v>
      </c>
      <c r="B67" t="s">
        <v>545</v>
      </c>
      <c r="C67" t="s">
        <v>1384</v>
      </c>
      <c r="D67" s="29">
        <f t="shared" ref="D67" si="35">VALUE(LEFT(C67,LEN(C67)-2))</f>
        <v>20.100000000000001</v>
      </c>
    </row>
    <row r="68" spans="1:4">
      <c r="A68" s="23" t="s">
        <v>547</v>
      </c>
      <c r="B68" t="s">
        <v>545</v>
      </c>
      <c r="C68" s="24">
        <v>0.71</v>
      </c>
      <c r="D68" s="27">
        <f t="shared" ref="D68" si="36">VALUE(C68*100)</f>
        <v>71</v>
      </c>
    </row>
    <row r="69" spans="1:4">
      <c r="A69" s="23" t="s">
        <v>548</v>
      </c>
      <c r="B69" t="s">
        <v>545</v>
      </c>
      <c r="C69" t="s">
        <v>626</v>
      </c>
      <c r="D69" s="29">
        <f t="shared" ref="D69" si="37">VALUE(LEFT(C69,LEN(C69)-2))</f>
        <v>14.2</v>
      </c>
    </row>
    <row r="70" spans="1:4">
      <c r="A70" s="23" t="s">
        <v>550</v>
      </c>
      <c r="B70" t="s">
        <v>545</v>
      </c>
      <c r="C70" t="s">
        <v>805</v>
      </c>
      <c r="D70" s="28">
        <f t="shared" ref="D70" si="38">VALUE(LEFT(C70,LEN(C70)-4))</f>
        <v>1015.6</v>
      </c>
    </row>
    <row r="71" spans="1:4">
      <c r="A71" s="23" t="s">
        <v>552</v>
      </c>
      <c r="B71" t="s">
        <v>545</v>
      </c>
      <c r="C71" t="s">
        <v>830</v>
      </c>
      <c r="D71" s="29">
        <f t="shared" ref="D71:D72" si="39">VALUE(LEFT(C71,LEN(C71)-FIND("km/h",C71)+1)/3.6)</f>
        <v>1.5</v>
      </c>
    </row>
    <row r="72" spans="1:4">
      <c r="A72" s="23" t="s">
        <v>554</v>
      </c>
      <c r="B72" t="s">
        <v>545</v>
      </c>
      <c r="C72" t="s">
        <v>953</v>
      </c>
      <c r="D72" s="29">
        <f t="shared" si="39"/>
        <v>2.1666666666666665</v>
      </c>
    </row>
    <row r="73" spans="1:4">
      <c r="A73" s="23" t="s">
        <v>556</v>
      </c>
      <c r="B73" t="s">
        <v>545</v>
      </c>
      <c r="C73" t="s">
        <v>864</v>
      </c>
      <c r="D73" s="26">
        <f t="shared" ref="D73" si="40">VALUE(LEFT(C73,LEN(C73)-7))</f>
        <v>318</v>
      </c>
    </row>
    <row r="74" spans="1:4">
      <c r="A74" s="23" t="s">
        <v>558</v>
      </c>
      <c r="B74" t="s">
        <v>545</v>
      </c>
      <c r="C74" t="s">
        <v>604</v>
      </c>
      <c r="D74" s="29">
        <f t="shared" ref="D74:D76" si="41">VALUE(LEFT(C74,LEN(C74)-3))</f>
        <v>0</v>
      </c>
    </row>
    <row r="75" spans="1:4">
      <c r="A75" s="23" t="s">
        <v>560</v>
      </c>
      <c r="B75" t="s">
        <v>545</v>
      </c>
      <c r="C75" t="s">
        <v>1373</v>
      </c>
      <c r="D75" s="29">
        <f t="shared" si="41"/>
        <v>381</v>
      </c>
    </row>
    <row r="76" spans="1:4">
      <c r="A76" s="23" t="s">
        <v>562</v>
      </c>
      <c r="B76" t="s">
        <v>545</v>
      </c>
      <c r="C76" t="s">
        <v>604</v>
      </c>
      <c r="D76" s="29">
        <f t="shared" si="41"/>
        <v>0</v>
      </c>
    </row>
    <row r="78" spans="1:4">
      <c r="A78" s="23" t="s">
        <v>544</v>
      </c>
      <c r="B78" t="s">
        <v>545</v>
      </c>
      <c r="C78" t="s">
        <v>1383</v>
      </c>
      <c r="D78" s="29">
        <f t="shared" ref="D78" si="42">VALUE(LEFT(C78,LEN(C78)-2))</f>
        <v>20.399999999999999</v>
      </c>
    </row>
    <row r="79" spans="1:4">
      <c r="A79" s="23" t="s">
        <v>547</v>
      </c>
      <c r="B79" t="s">
        <v>545</v>
      </c>
      <c r="C79" s="24">
        <v>0.68</v>
      </c>
      <c r="D79" s="27">
        <f t="shared" ref="D79" si="43">VALUE(C79*100)</f>
        <v>68</v>
      </c>
    </row>
    <row r="80" spans="1:4">
      <c r="A80" s="23" t="s">
        <v>548</v>
      </c>
      <c r="B80" t="s">
        <v>545</v>
      </c>
      <c r="C80" t="s">
        <v>657</v>
      </c>
      <c r="D80" s="29">
        <f t="shared" ref="D80" si="44">VALUE(LEFT(C80,LEN(C80)-2))</f>
        <v>13.2</v>
      </c>
    </row>
    <row r="81" spans="1:4">
      <c r="A81" s="23" t="s">
        <v>550</v>
      </c>
      <c r="B81" t="s">
        <v>545</v>
      </c>
      <c r="C81" t="s">
        <v>1385</v>
      </c>
      <c r="D81" s="28">
        <f t="shared" ref="D81" si="45">VALUE(LEFT(C81,LEN(C81)-4))</f>
        <v>1015.8</v>
      </c>
    </row>
    <row r="82" spans="1:4">
      <c r="A82" s="23" t="s">
        <v>552</v>
      </c>
      <c r="B82" t="s">
        <v>545</v>
      </c>
      <c r="C82" t="s">
        <v>669</v>
      </c>
      <c r="D82" s="29">
        <f t="shared" ref="D82:D83" si="46">VALUE(LEFT(C82,LEN(C82)-FIND("km/h",C82)+1)/3.6)</f>
        <v>1.4722222222222221</v>
      </c>
    </row>
    <row r="83" spans="1:4">
      <c r="A83" s="23" t="s">
        <v>554</v>
      </c>
      <c r="B83" t="s">
        <v>545</v>
      </c>
      <c r="C83" t="s">
        <v>834</v>
      </c>
      <c r="D83" s="29">
        <f t="shared" si="46"/>
        <v>2.0833333333333335</v>
      </c>
    </row>
    <row r="84" spans="1:4">
      <c r="A84" s="23" t="s">
        <v>556</v>
      </c>
      <c r="B84" t="s">
        <v>545</v>
      </c>
      <c r="C84" t="s">
        <v>1386</v>
      </c>
      <c r="D84" s="26">
        <f t="shared" ref="D84" si="47">VALUE(LEFT(C84,LEN(C84)-7))</f>
        <v>308</v>
      </c>
    </row>
    <row r="85" spans="1:4">
      <c r="A85" s="23" t="s">
        <v>558</v>
      </c>
      <c r="B85" t="s">
        <v>545</v>
      </c>
      <c r="C85" t="s">
        <v>604</v>
      </c>
      <c r="D85" s="29">
        <f t="shared" ref="D85:D87" si="48">VALUE(LEFT(C85,LEN(C85)-3))</f>
        <v>0</v>
      </c>
    </row>
    <row r="86" spans="1:4">
      <c r="A86" s="23" t="s">
        <v>560</v>
      </c>
      <c r="B86" t="s">
        <v>545</v>
      </c>
      <c r="C86" t="s">
        <v>1373</v>
      </c>
      <c r="D86" s="29">
        <f t="shared" si="48"/>
        <v>381</v>
      </c>
    </row>
    <row r="87" spans="1:4">
      <c r="A87" s="23" t="s">
        <v>562</v>
      </c>
      <c r="B87" t="s">
        <v>545</v>
      </c>
      <c r="C87" t="s">
        <v>604</v>
      </c>
      <c r="D87" s="29">
        <f t="shared" si="48"/>
        <v>0</v>
      </c>
    </row>
    <row r="89" spans="1:4">
      <c r="A89" s="23" t="s">
        <v>544</v>
      </c>
      <c r="B89" t="s">
        <v>545</v>
      </c>
      <c r="C89" t="s">
        <v>1387</v>
      </c>
      <c r="D89" s="29">
        <f t="shared" ref="D89" si="49">VALUE(LEFT(C89,LEN(C89)-2))</f>
        <v>21.8</v>
      </c>
    </row>
    <row r="90" spans="1:4">
      <c r="A90" s="23" t="s">
        <v>547</v>
      </c>
      <c r="B90" t="s">
        <v>545</v>
      </c>
      <c r="C90" s="24">
        <v>0.71</v>
      </c>
      <c r="D90" s="27">
        <f t="shared" ref="D90" si="50">VALUE(C90*100)</f>
        <v>71</v>
      </c>
    </row>
    <row r="91" spans="1:4">
      <c r="A91" s="23" t="s">
        <v>548</v>
      </c>
      <c r="B91" t="s">
        <v>545</v>
      </c>
      <c r="C91" t="s">
        <v>1329</v>
      </c>
      <c r="D91" s="29">
        <f t="shared" ref="D91" si="51">VALUE(LEFT(C91,LEN(C91)-2))</f>
        <v>15.5</v>
      </c>
    </row>
    <row r="92" spans="1:4">
      <c r="A92" s="23" t="s">
        <v>550</v>
      </c>
      <c r="B92" t="s">
        <v>545</v>
      </c>
      <c r="C92" t="s">
        <v>1376</v>
      </c>
      <c r="D92" s="28">
        <f t="shared" ref="D92" si="52">VALUE(LEFT(C92,LEN(C92)-4))</f>
        <v>1016.7</v>
      </c>
    </row>
    <row r="93" spans="1:4">
      <c r="A93" s="23" t="s">
        <v>552</v>
      </c>
      <c r="B93" t="s">
        <v>545</v>
      </c>
      <c r="C93" t="s">
        <v>636</v>
      </c>
      <c r="D93" s="29">
        <f t="shared" ref="D93:D94" si="53">VALUE(LEFT(C93,LEN(C93)-FIND("km/h",C93)+1)/3.6)</f>
        <v>1.3333333333333333</v>
      </c>
    </row>
    <row r="94" spans="1:4">
      <c r="A94" s="23" t="s">
        <v>554</v>
      </c>
      <c r="B94" t="s">
        <v>545</v>
      </c>
      <c r="C94" t="s">
        <v>854</v>
      </c>
      <c r="D94" s="29">
        <f t="shared" si="53"/>
        <v>1.9722222222222221</v>
      </c>
    </row>
    <row r="95" spans="1:4">
      <c r="A95" s="23" t="s">
        <v>556</v>
      </c>
      <c r="B95" t="s">
        <v>545</v>
      </c>
      <c r="C95" t="s">
        <v>722</v>
      </c>
      <c r="D95" s="26">
        <f t="shared" ref="D95" si="54">VALUE(LEFT(C95,LEN(C95)-7))</f>
        <v>301</v>
      </c>
    </row>
    <row r="96" spans="1:4">
      <c r="A96" s="23" t="s">
        <v>558</v>
      </c>
      <c r="B96" t="s">
        <v>545</v>
      </c>
      <c r="C96" t="s">
        <v>604</v>
      </c>
      <c r="D96" s="29">
        <f t="shared" ref="D96:D98" si="55">VALUE(LEFT(C96,LEN(C96)-3))</f>
        <v>0</v>
      </c>
    </row>
    <row r="97" spans="1:4">
      <c r="A97" s="23" t="s">
        <v>560</v>
      </c>
      <c r="B97" t="s">
        <v>545</v>
      </c>
      <c r="C97" t="s">
        <v>1373</v>
      </c>
      <c r="D97" s="29">
        <f t="shared" si="55"/>
        <v>381</v>
      </c>
    </row>
    <row r="98" spans="1:4">
      <c r="A98" s="23" t="s">
        <v>562</v>
      </c>
      <c r="B98" t="s">
        <v>545</v>
      </c>
      <c r="C98" t="s">
        <v>604</v>
      </c>
      <c r="D98" s="29">
        <f t="shared" si="55"/>
        <v>0</v>
      </c>
    </row>
    <row r="100" spans="1:4">
      <c r="A100" s="23" t="s">
        <v>544</v>
      </c>
      <c r="B100" t="s">
        <v>545</v>
      </c>
      <c r="C100" t="s">
        <v>1388</v>
      </c>
      <c r="D100" s="29">
        <f t="shared" ref="D100" si="56">VALUE(LEFT(C100,LEN(C100)-2))</f>
        <v>21.6</v>
      </c>
    </row>
    <row r="101" spans="1:4">
      <c r="A101" s="23" t="s">
        <v>547</v>
      </c>
      <c r="B101" t="s">
        <v>545</v>
      </c>
      <c r="C101" s="24">
        <v>0.75</v>
      </c>
      <c r="D101" s="27">
        <f t="shared" ref="D101" si="57">VALUE(C101*100)</f>
        <v>75</v>
      </c>
    </row>
    <row r="102" spans="1:4">
      <c r="A102" s="23" t="s">
        <v>548</v>
      </c>
      <c r="B102" t="s">
        <v>545</v>
      </c>
      <c r="C102" t="s">
        <v>867</v>
      </c>
      <c r="D102" s="29">
        <f t="shared" ref="D102" si="58">VALUE(LEFT(C102,LEN(C102)-2))</f>
        <v>16.899999999999999</v>
      </c>
    </row>
    <row r="103" spans="1:4">
      <c r="A103" s="23" t="s">
        <v>550</v>
      </c>
      <c r="B103" t="s">
        <v>545</v>
      </c>
      <c r="C103" t="s">
        <v>1385</v>
      </c>
      <c r="D103" s="28">
        <f t="shared" ref="D103" si="59">VALUE(LEFT(C103,LEN(C103)-4))</f>
        <v>1015.8</v>
      </c>
    </row>
    <row r="104" spans="1:4">
      <c r="A104" s="23" t="s">
        <v>552</v>
      </c>
      <c r="B104" t="s">
        <v>545</v>
      </c>
      <c r="C104" t="s">
        <v>646</v>
      </c>
      <c r="D104" s="29">
        <f t="shared" ref="D104:D105" si="60">VALUE(LEFT(C104,LEN(C104)-FIND("km/h",C104)+1)/3.6)</f>
        <v>1.5833333333333333</v>
      </c>
    </row>
    <row r="105" spans="1:4">
      <c r="A105" s="23" t="s">
        <v>554</v>
      </c>
      <c r="B105" t="s">
        <v>545</v>
      </c>
      <c r="C105" t="s">
        <v>821</v>
      </c>
      <c r="D105" s="29">
        <f t="shared" si="60"/>
        <v>2.3611111111111112</v>
      </c>
    </row>
    <row r="106" spans="1:4">
      <c r="A106" s="23" t="s">
        <v>556</v>
      </c>
      <c r="B106" t="s">
        <v>545</v>
      </c>
      <c r="C106" t="s">
        <v>1389</v>
      </c>
      <c r="D106" s="26">
        <f t="shared" ref="D106" si="61">VALUE(LEFT(C106,LEN(C106)-7))</f>
        <v>294</v>
      </c>
    </row>
    <row r="107" spans="1:4">
      <c r="A107" s="23" t="s">
        <v>558</v>
      </c>
      <c r="B107" t="s">
        <v>545</v>
      </c>
      <c r="C107" t="s">
        <v>604</v>
      </c>
      <c r="D107" s="29">
        <f t="shared" ref="D107:D109" si="62">VALUE(LEFT(C107,LEN(C107)-3))</f>
        <v>0</v>
      </c>
    </row>
    <row r="108" spans="1:4">
      <c r="A108" s="23" t="s">
        <v>560</v>
      </c>
      <c r="B108" t="s">
        <v>545</v>
      </c>
      <c r="C108" t="s">
        <v>1373</v>
      </c>
      <c r="D108" s="29">
        <f t="shared" si="62"/>
        <v>381</v>
      </c>
    </row>
    <row r="109" spans="1:4">
      <c r="A109" s="23" t="s">
        <v>562</v>
      </c>
      <c r="B109" t="s">
        <v>545</v>
      </c>
      <c r="C109" t="s">
        <v>604</v>
      </c>
      <c r="D109" s="29">
        <f t="shared" si="62"/>
        <v>0</v>
      </c>
    </row>
    <row r="111" spans="1:4">
      <c r="A111" s="23" t="s">
        <v>544</v>
      </c>
      <c r="B111" t="s">
        <v>545</v>
      </c>
      <c r="C111" t="s">
        <v>920</v>
      </c>
      <c r="D111" s="29">
        <f t="shared" ref="D111" si="63">VALUE(LEFT(C111,LEN(C111)-2))</f>
        <v>19.600000000000001</v>
      </c>
    </row>
    <row r="112" spans="1:4">
      <c r="A112" s="23" t="s">
        <v>547</v>
      </c>
      <c r="B112" t="s">
        <v>545</v>
      </c>
      <c r="C112" s="24">
        <v>0.7</v>
      </c>
      <c r="D112" s="27">
        <f t="shared" ref="D112" si="64">VALUE(C112*100)</f>
        <v>70</v>
      </c>
    </row>
    <row r="113" spans="1:4">
      <c r="A113" s="23" t="s">
        <v>548</v>
      </c>
      <c r="B113" t="s">
        <v>545</v>
      </c>
      <c r="C113" t="s">
        <v>657</v>
      </c>
      <c r="D113" s="29">
        <f t="shared" ref="D113" si="65">VALUE(LEFT(C113,LEN(C113)-2))</f>
        <v>13.2</v>
      </c>
    </row>
    <row r="114" spans="1:4">
      <c r="A114" s="23" t="s">
        <v>550</v>
      </c>
      <c r="B114" t="s">
        <v>545</v>
      </c>
      <c r="C114" t="s">
        <v>551</v>
      </c>
      <c r="D114" s="28">
        <f t="shared" ref="D114" si="66">VALUE(LEFT(C114,LEN(C114)-4))</f>
        <v>1012.4</v>
      </c>
    </row>
    <row r="115" spans="1:4">
      <c r="A115" s="23" t="s">
        <v>552</v>
      </c>
      <c r="B115" t="s">
        <v>545</v>
      </c>
      <c r="C115" t="s">
        <v>817</v>
      </c>
      <c r="D115" s="29">
        <f t="shared" ref="D115:D116" si="67">VALUE(LEFT(C115,LEN(C115)-FIND("km/h",C115)+1)/3.6)</f>
        <v>1.3611111111111112</v>
      </c>
    </row>
    <row r="116" spans="1:4">
      <c r="A116" s="23" t="s">
        <v>554</v>
      </c>
      <c r="B116" t="s">
        <v>545</v>
      </c>
      <c r="C116" t="s">
        <v>1134</v>
      </c>
      <c r="D116" s="29">
        <f t="shared" si="67"/>
        <v>2</v>
      </c>
    </row>
    <row r="117" spans="1:4">
      <c r="A117" s="23" t="s">
        <v>556</v>
      </c>
      <c r="B117" t="s">
        <v>545</v>
      </c>
      <c r="C117" t="s">
        <v>1098</v>
      </c>
      <c r="D117" s="26">
        <f t="shared" ref="D117" si="68">VALUE(LEFT(C117,LEN(C117)-7))</f>
        <v>289</v>
      </c>
    </row>
    <row r="118" spans="1:4">
      <c r="A118" s="23" t="s">
        <v>558</v>
      </c>
      <c r="B118" t="s">
        <v>545</v>
      </c>
      <c r="C118" t="s">
        <v>604</v>
      </c>
      <c r="D118" s="29">
        <f t="shared" ref="D118:D120" si="69">VALUE(LEFT(C118,LEN(C118)-3))</f>
        <v>0</v>
      </c>
    </row>
    <row r="119" spans="1:4">
      <c r="A119" s="23" t="s">
        <v>560</v>
      </c>
      <c r="B119" t="s">
        <v>545</v>
      </c>
      <c r="C119" t="s">
        <v>1373</v>
      </c>
      <c r="D119" s="29">
        <f t="shared" si="69"/>
        <v>381</v>
      </c>
    </row>
    <row r="120" spans="1:4">
      <c r="A120" s="23" t="s">
        <v>562</v>
      </c>
      <c r="B120" t="s">
        <v>545</v>
      </c>
      <c r="C120" t="s">
        <v>604</v>
      </c>
      <c r="D120" s="29">
        <f t="shared" si="69"/>
        <v>0</v>
      </c>
    </row>
    <row r="122" spans="1:4">
      <c r="A122" s="23" t="s">
        <v>544</v>
      </c>
      <c r="B122" t="s">
        <v>545</v>
      </c>
      <c r="C122" t="s">
        <v>1384</v>
      </c>
      <c r="D122" s="29">
        <f t="shared" ref="D122" si="70">VALUE(LEFT(C122,LEN(C122)-2))</f>
        <v>20.100000000000001</v>
      </c>
    </row>
    <row r="123" spans="1:4">
      <c r="A123" s="23" t="s">
        <v>547</v>
      </c>
      <c r="B123" t="s">
        <v>545</v>
      </c>
      <c r="C123" s="24">
        <v>0.64</v>
      </c>
      <c r="D123" s="27">
        <f t="shared" ref="D123" si="71">VALUE(C123*100)</f>
        <v>64</v>
      </c>
    </row>
    <row r="124" spans="1:4">
      <c r="A124" s="23" t="s">
        <v>548</v>
      </c>
      <c r="B124" t="s">
        <v>545</v>
      </c>
      <c r="C124" t="s">
        <v>565</v>
      </c>
      <c r="D124" s="29">
        <f t="shared" ref="D124" si="72">VALUE(LEFT(C124,LEN(C124)-2))</f>
        <v>12.4</v>
      </c>
    </row>
    <row r="125" spans="1:4">
      <c r="A125" s="23" t="s">
        <v>550</v>
      </c>
      <c r="B125" t="s">
        <v>545</v>
      </c>
      <c r="C125" t="s">
        <v>1390</v>
      </c>
      <c r="D125" s="28">
        <f t="shared" ref="D125" si="73">VALUE(LEFT(C125,LEN(C125)-4))</f>
        <v>1010.9</v>
      </c>
    </row>
    <row r="126" spans="1:4">
      <c r="A126" s="23" t="s">
        <v>552</v>
      </c>
      <c r="B126" t="s">
        <v>545</v>
      </c>
      <c r="C126" t="s">
        <v>1353</v>
      </c>
      <c r="D126" s="29">
        <f t="shared" ref="D126:D127" si="74">VALUE(LEFT(C126,LEN(C126)-FIND("km/h",C126)+1)/3.6)</f>
        <v>2.3333333333333335</v>
      </c>
    </row>
    <row r="127" spans="1:4">
      <c r="A127" s="23" t="s">
        <v>554</v>
      </c>
      <c r="B127" t="s">
        <v>545</v>
      </c>
      <c r="C127" t="s">
        <v>1391</v>
      </c>
      <c r="D127" s="29">
        <f t="shared" si="74"/>
        <v>3.2777777777777777</v>
      </c>
    </row>
    <row r="128" spans="1:4">
      <c r="A128" s="23" t="s">
        <v>556</v>
      </c>
      <c r="B128" t="s">
        <v>545</v>
      </c>
      <c r="C128" t="s">
        <v>1392</v>
      </c>
      <c r="D128" s="26">
        <f t="shared" ref="D128" si="75">VALUE(LEFT(C128,LEN(C128)-7))</f>
        <v>226</v>
      </c>
    </row>
    <row r="129" spans="1:4">
      <c r="A129" s="23" t="s">
        <v>558</v>
      </c>
      <c r="B129" t="s">
        <v>545</v>
      </c>
      <c r="C129" t="s">
        <v>604</v>
      </c>
      <c r="D129" s="29">
        <f t="shared" ref="D129:D131" si="76">VALUE(LEFT(C129,LEN(C129)-3))</f>
        <v>0</v>
      </c>
    </row>
    <row r="130" spans="1:4">
      <c r="A130" s="23" t="s">
        <v>560</v>
      </c>
      <c r="B130" t="s">
        <v>545</v>
      </c>
      <c r="C130" t="s">
        <v>1373</v>
      </c>
      <c r="D130" s="29">
        <f t="shared" si="76"/>
        <v>381</v>
      </c>
    </row>
    <row r="131" spans="1:4">
      <c r="A131" s="23" t="s">
        <v>562</v>
      </c>
      <c r="B131" t="s">
        <v>545</v>
      </c>
      <c r="C131" t="s">
        <v>604</v>
      </c>
      <c r="D131" s="29">
        <f t="shared" si="76"/>
        <v>0</v>
      </c>
    </row>
    <row r="133" spans="1:4">
      <c r="A133" s="23" t="s">
        <v>544</v>
      </c>
      <c r="B133" t="s">
        <v>545</v>
      </c>
      <c r="C133" t="s">
        <v>1393</v>
      </c>
      <c r="D133" s="29">
        <f t="shared" ref="D133" si="77">VALUE(LEFT(C133,LEN(C133)-2))</f>
        <v>20.3</v>
      </c>
    </row>
    <row r="134" spans="1:4">
      <c r="A134" s="23" t="s">
        <v>547</v>
      </c>
      <c r="B134" t="s">
        <v>545</v>
      </c>
      <c r="C134" s="24">
        <v>0.68</v>
      </c>
      <c r="D134" s="27">
        <f t="shared" ref="D134" si="78">VALUE(C134*100)</f>
        <v>68</v>
      </c>
    </row>
    <row r="135" spans="1:4">
      <c r="A135" s="23" t="s">
        <v>548</v>
      </c>
      <c r="B135" t="s">
        <v>545</v>
      </c>
      <c r="C135" t="s">
        <v>857</v>
      </c>
      <c r="D135" s="29">
        <f t="shared" ref="D135" si="79">VALUE(LEFT(C135,LEN(C135)-2))</f>
        <v>13.6</v>
      </c>
    </row>
    <row r="136" spans="1:4">
      <c r="A136" s="23" t="s">
        <v>550</v>
      </c>
      <c r="B136" t="s">
        <v>545</v>
      </c>
      <c r="C136" t="s">
        <v>1029</v>
      </c>
      <c r="D136" s="28">
        <f t="shared" ref="D136" si="80">VALUE(LEFT(C136,LEN(C136)-4))</f>
        <v>1015.5</v>
      </c>
    </row>
    <row r="137" spans="1:4">
      <c r="A137" s="23" t="s">
        <v>552</v>
      </c>
      <c r="B137" t="s">
        <v>545</v>
      </c>
      <c r="C137" t="s">
        <v>692</v>
      </c>
      <c r="D137" s="29">
        <f t="shared" ref="D137:D138" si="81">VALUE(LEFT(C137,LEN(C137)-FIND("km/h",C137)+1)/3.6)</f>
        <v>2.1388888888888888</v>
      </c>
    </row>
    <row r="138" spans="1:4">
      <c r="A138" s="23" t="s">
        <v>554</v>
      </c>
      <c r="B138" t="s">
        <v>545</v>
      </c>
      <c r="C138" t="s">
        <v>954</v>
      </c>
      <c r="D138" s="29">
        <f t="shared" si="81"/>
        <v>3.083333333333333</v>
      </c>
    </row>
    <row r="139" spans="1:4">
      <c r="A139" s="23" t="s">
        <v>556</v>
      </c>
      <c r="B139" t="s">
        <v>545</v>
      </c>
      <c r="C139" t="s">
        <v>1059</v>
      </c>
      <c r="D139" s="26">
        <f t="shared" ref="D139" si="82">VALUE(LEFT(C139,LEN(C139)-7))</f>
        <v>221</v>
      </c>
    </row>
    <row r="140" spans="1:4">
      <c r="A140" s="23" t="s">
        <v>558</v>
      </c>
      <c r="B140" t="s">
        <v>545</v>
      </c>
      <c r="C140" t="s">
        <v>604</v>
      </c>
      <c r="D140" s="29">
        <f t="shared" ref="D140:D142" si="83">VALUE(LEFT(C140,LEN(C140)-3))</f>
        <v>0</v>
      </c>
    </row>
    <row r="141" spans="1:4">
      <c r="A141" s="23" t="s">
        <v>560</v>
      </c>
      <c r="B141" t="s">
        <v>545</v>
      </c>
      <c r="C141" t="s">
        <v>1373</v>
      </c>
      <c r="D141" s="29">
        <f t="shared" si="83"/>
        <v>381</v>
      </c>
    </row>
    <row r="142" spans="1:4">
      <c r="A142" s="23" t="s">
        <v>562</v>
      </c>
      <c r="B142" t="s">
        <v>545</v>
      </c>
      <c r="C142" t="s">
        <v>604</v>
      </c>
      <c r="D142" s="29">
        <f t="shared" si="83"/>
        <v>0</v>
      </c>
    </row>
    <row r="144" spans="1:4">
      <c r="A144" s="23" t="s">
        <v>544</v>
      </c>
      <c r="B144" t="s">
        <v>545</v>
      </c>
      <c r="C144" t="s">
        <v>1394</v>
      </c>
      <c r="D144" s="29">
        <f t="shared" ref="D144" si="84">VALUE(LEFT(C144,LEN(C144)-2))</f>
        <v>20.5</v>
      </c>
    </row>
    <row r="145" spans="1:4">
      <c r="A145" s="23" t="s">
        <v>547</v>
      </c>
      <c r="B145" t="s">
        <v>545</v>
      </c>
      <c r="C145" s="24">
        <v>0.71</v>
      </c>
      <c r="D145" s="27">
        <f t="shared" ref="D145" si="85">VALUE(C145*100)</f>
        <v>71</v>
      </c>
    </row>
    <row r="146" spans="1:4">
      <c r="A146" s="23" t="s">
        <v>548</v>
      </c>
      <c r="B146" t="s">
        <v>545</v>
      </c>
      <c r="C146" t="s">
        <v>943</v>
      </c>
      <c r="D146" s="29">
        <f t="shared" ref="D146" si="86">VALUE(LEFT(C146,LEN(C146)-2))</f>
        <v>14.3</v>
      </c>
    </row>
    <row r="147" spans="1:4">
      <c r="A147" s="23" t="s">
        <v>550</v>
      </c>
      <c r="B147" t="s">
        <v>545</v>
      </c>
      <c r="C147" t="s">
        <v>1395</v>
      </c>
      <c r="D147" s="28">
        <f t="shared" ref="D147" si="87">VALUE(LEFT(C147,LEN(C147)-4))</f>
        <v>1022.2</v>
      </c>
    </row>
    <row r="148" spans="1:4">
      <c r="A148" s="23" t="s">
        <v>552</v>
      </c>
      <c r="B148" t="s">
        <v>545</v>
      </c>
      <c r="C148" t="s">
        <v>673</v>
      </c>
      <c r="D148" s="29">
        <f t="shared" ref="D148:D149" si="88">VALUE(LEFT(C148,LEN(C148)-FIND("km/h",C148)+1)/3.6)</f>
        <v>1.3055555555555556</v>
      </c>
    </row>
    <row r="149" spans="1:4">
      <c r="A149" s="23" t="s">
        <v>554</v>
      </c>
      <c r="B149" t="s">
        <v>545</v>
      </c>
      <c r="C149" t="s">
        <v>995</v>
      </c>
      <c r="D149" s="29">
        <f t="shared" si="88"/>
        <v>1.9444444444444444</v>
      </c>
    </row>
    <row r="150" spans="1:4">
      <c r="A150" s="23" t="s">
        <v>556</v>
      </c>
      <c r="B150" t="s">
        <v>545</v>
      </c>
      <c r="C150" t="s">
        <v>700</v>
      </c>
      <c r="D150" s="26">
        <f t="shared" ref="D150" si="89">VALUE(LEFT(C150,LEN(C150)-7))</f>
        <v>299</v>
      </c>
    </row>
    <row r="151" spans="1:4">
      <c r="A151" s="23" t="s">
        <v>558</v>
      </c>
      <c r="B151" t="s">
        <v>545</v>
      </c>
      <c r="C151" t="s">
        <v>604</v>
      </c>
      <c r="D151" s="29">
        <f t="shared" ref="D151:D153" si="90">VALUE(LEFT(C151,LEN(C151)-3))</f>
        <v>0</v>
      </c>
    </row>
    <row r="152" spans="1:4">
      <c r="A152" s="23" t="s">
        <v>560</v>
      </c>
      <c r="B152" t="s">
        <v>545</v>
      </c>
      <c r="C152" t="s">
        <v>1373</v>
      </c>
      <c r="D152" s="29">
        <f t="shared" si="90"/>
        <v>381</v>
      </c>
    </row>
    <row r="153" spans="1:4">
      <c r="A153" s="23" t="s">
        <v>562</v>
      </c>
      <c r="B153" t="s">
        <v>545</v>
      </c>
      <c r="C153" t="s">
        <v>604</v>
      </c>
      <c r="D153" s="29">
        <f t="shared" si="90"/>
        <v>0</v>
      </c>
    </row>
    <row r="155" spans="1:4">
      <c r="A155" s="23" t="s">
        <v>544</v>
      </c>
      <c r="B155" t="s">
        <v>545</v>
      </c>
      <c r="C155" t="s">
        <v>1388</v>
      </c>
      <c r="D155" s="29">
        <f t="shared" ref="D155" si="91">VALUE(LEFT(C155,LEN(C155)-2))</f>
        <v>21.6</v>
      </c>
    </row>
    <row r="156" spans="1:4">
      <c r="A156" s="23" t="s">
        <v>547</v>
      </c>
      <c r="B156" t="s">
        <v>545</v>
      </c>
      <c r="C156" s="24">
        <v>0.68</v>
      </c>
      <c r="D156" s="27">
        <f t="shared" ref="D156" si="92">VALUE(C156*100)</f>
        <v>68</v>
      </c>
    </row>
    <row r="157" spans="1:4">
      <c r="A157" s="23" t="s">
        <v>548</v>
      </c>
      <c r="B157" t="s">
        <v>545</v>
      </c>
      <c r="C157" t="s">
        <v>605</v>
      </c>
      <c r="D157" s="29">
        <f t="shared" ref="D157" si="93">VALUE(LEFT(C157,LEN(C157)-2))</f>
        <v>14.5</v>
      </c>
    </row>
    <row r="158" spans="1:4">
      <c r="A158" s="23" t="s">
        <v>550</v>
      </c>
      <c r="B158" t="s">
        <v>545</v>
      </c>
      <c r="C158" t="s">
        <v>1193</v>
      </c>
      <c r="D158" s="28">
        <f t="shared" ref="D158" si="94">VALUE(LEFT(C158,LEN(C158)-4))</f>
        <v>1020.7</v>
      </c>
    </row>
    <row r="159" spans="1:4">
      <c r="A159" s="23" t="s">
        <v>552</v>
      </c>
      <c r="B159" t="s">
        <v>545</v>
      </c>
      <c r="C159" t="s">
        <v>624</v>
      </c>
      <c r="D159" s="29">
        <f t="shared" ref="D159:D160" si="95">VALUE(LEFT(C159,LEN(C159)-FIND("km/h",C159)+1)/3.6)</f>
        <v>1.3888888888888888</v>
      </c>
    </row>
    <row r="160" spans="1:4">
      <c r="A160" s="23" t="s">
        <v>554</v>
      </c>
      <c r="B160" t="s">
        <v>545</v>
      </c>
      <c r="C160" t="s">
        <v>770</v>
      </c>
      <c r="D160" s="29">
        <f t="shared" si="95"/>
        <v>2.0277777777777777</v>
      </c>
    </row>
    <row r="161" spans="1:4">
      <c r="A161" s="23" t="s">
        <v>556</v>
      </c>
      <c r="B161" t="s">
        <v>545</v>
      </c>
      <c r="C161" t="s">
        <v>880</v>
      </c>
      <c r="D161" s="26">
        <f t="shared" ref="D161" si="96">VALUE(LEFT(C161,LEN(C161)-7))</f>
        <v>327</v>
      </c>
    </row>
    <row r="162" spans="1:4">
      <c r="A162" s="23" t="s">
        <v>558</v>
      </c>
      <c r="B162" t="s">
        <v>545</v>
      </c>
      <c r="C162" t="s">
        <v>604</v>
      </c>
      <c r="D162" s="29">
        <f t="shared" ref="D162:D164" si="97">VALUE(LEFT(C162,LEN(C162)-3))</f>
        <v>0</v>
      </c>
    </row>
    <row r="163" spans="1:4">
      <c r="A163" s="23" t="s">
        <v>560</v>
      </c>
      <c r="B163" t="s">
        <v>545</v>
      </c>
      <c r="C163" t="s">
        <v>1373</v>
      </c>
      <c r="D163" s="29">
        <f t="shared" si="97"/>
        <v>381</v>
      </c>
    </row>
    <row r="164" spans="1:4">
      <c r="A164" s="23" t="s">
        <v>562</v>
      </c>
      <c r="B164" t="s">
        <v>545</v>
      </c>
      <c r="C164" t="s">
        <v>604</v>
      </c>
      <c r="D164" s="29">
        <f t="shared" si="97"/>
        <v>0</v>
      </c>
    </row>
    <row r="166" spans="1:4">
      <c r="A166" s="23" t="s">
        <v>544</v>
      </c>
      <c r="B166" t="s">
        <v>545</v>
      </c>
      <c r="C166" t="s">
        <v>1396</v>
      </c>
      <c r="D166" s="29">
        <f t="shared" ref="D166" si="98">VALUE(LEFT(C166,LEN(C166)-2))</f>
        <v>21.3</v>
      </c>
    </row>
    <row r="167" spans="1:4">
      <c r="A167" s="23" t="s">
        <v>547</v>
      </c>
      <c r="B167" t="s">
        <v>545</v>
      </c>
      <c r="C167" s="24">
        <v>0.74</v>
      </c>
      <c r="D167" s="27">
        <f t="shared" ref="D167" si="99">VALUE(C167*100)</f>
        <v>74</v>
      </c>
    </row>
    <row r="168" spans="1:4">
      <c r="A168" s="23" t="s">
        <v>548</v>
      </c>
      <c r="B168" t="s">
        <v>545</v>
      </c>
      <c r="C168" t="s">
        <v>616</v>
      </c>
      <c r="D168" s="29">
        <f t="shared" ref="D168" si="100">VALUE(LEFT(C168,LEN(C168)-2))</f>
        <v>15.9</v>
      </c>
    </row>
    <row r="169" spans="1:4">
      <c r="A169" s="23" t="s">
        <v>550</v>
      </c>
      <c r="B169" t="s">
        <v>545</v>
      </c>
      <c r="C169" t="s">
        <v>1397</v>
      </c>
      <c r="D169" s="28">
        <f t="shared" ref="D169" si="101">VALUE(LEFT(C169,LEN(C169)-4))</f>
        <v>1015.1</v>
      </c>
    </row>
    <row r="170" spans="1:4">
      <c r="A170" s="23" t="s">
        <v>552</v>
      </c>
      <c r="B170" t="s">
        <v>545</v>
      </c>
      <c r="C170" t="s">
        <v>673</v>
      </c>
      <c r="D170" s="29">
        <f t="shared" ref="D170:D171" si="102">VALUE(LEFT(C170,LEN(C170)-FIND("km/h",C170)+1)/3.6)</f>
        <v>1.3055555555555556</v>
      </c>
    </row>
    <row r="171" spans="1:4">
      <c r="A171" s="23" t="s">
        <v>554</v>
      </c>
      <c r="B171" t="s">
        <v>545</v>
      </c>
      <c r="C171" t="s">
        <v>747</v>
      </c>
      <c r="D171" s="29">
        <f t="shared" si="102"/>
        <v>2.0555555555555558</v>
      </c>
    </row>
    <row r="172" spans="1:4">
      <c r="A172" s="23" t="s">
        <v>556</v>
      </c>
      <c r="B172" t="s">
        <v>545</v>
      </c>
      <c r="C172" t="s">
        <v>982</v>
      </c>
      <c r="D172" s="26">
        <f t="shared" ref="D172" si="103">VALUE(LEFT(C172,LEN(C172)-7))</f>
        <v>319</v>
      </c>
    </row>
    <row r="173" spans="1:4">
      <c r="A173" s="23" t="s">
        <v>558</v>
      </c>
      <c r="B173" t="s">
        <v>545</v>
      </c>
      <c r="C173" t="s">
        <v>604</v>
      </c>
      <c r="D173" s="29">
        <f t="shared" ref="D173:D175" si="104">VALUE(LEFT(C173,LEN(C173)-3))</f>
        <v>0</v>
      </c>
    </row>
    <row r="174" spans="1:4">
      <c r="A174" s="23" t="s">
        <v>560</v>
      </c>
      <c r="B174" t="s">
        <v>545</v>
      </c>
      <c r="C174" t="s">
        <v>1373</v>
      </c>
      <c r="D174" s="29">
        <f t="shared" si="104"/>
        <v>381</v>
      </c>
    </row>
    <row r="175" spans="1:4">
      <c r="A175" s="23" t="s">
        <v>562</v>
      </c>
      <c r="B175" t="s">
        <v>545</v>
      </c>
      <c r="C175" t="s">
        <v>604</v>
      </c>
      <c r="D175" s="29">
        <f t="shared" si="104"/>
        <v>0</v>
      </c>
    </row>
    <row r="176" spans="1:4" s="30" customFormat="1"/>
    <row r="177" spans="1:4">
      <c r="A177" s="23" t="s">
        <v>544</v>
      </c>
      <c r="B177" t="s">
        <v>545</v>
      </c>
      <c r="C177" t="s">
        <v>1387</v>
      </c>
      <c r="D177" s="29">
        <f t="shared" ref="D177" si="105">VALUE(LEFT(C177,LEN(C177)-2))</f>
        <v>21.8</v>
      </c>
    </row>
    <row r="178" spans="1:4">
      <c r="A178" s="23" t="s">
        <v>547</v>
      </c>
      <c r="B178" t="s">
        <v>545</v>
      </c>
      <c r="C178" s="24">
        <v>0.68</v>
      </c>
      <c r="D178" s="27">
        <f t="shared" ref="D178" si="106">VALUE(C178*100)</f>
        <v>68</v>
      </c>
    </row>
    <row r="179" spans="1:4">
      <c r="A179" s="23" t="s">
        <v>548</v>
      </c>
      <c r="B179" t="s">
        <v>545</v>
      </c>
      <c r="C179" t="s">
        <v>823</v>
      </c>
      <c r="D179" s="29">
        <f t="shared" ref="D179" si="107">VALUE(LEFT(C179,LEN(C179)-2))</f>
        <v>15</v>
      </c>
    </row>
    <row r="180" spans="1:4">
      <c r="A180" s="23" t="s">
        <v>550</v>
      </c>
      <c r="B180" t="s">
        <v>545</v>
      </c>
      <c r="C180" t="s">
        <v>1398</v>
      </c>
      <c r="D180" s="28">
        <f t="shared" ref="D180" si="108">VALUE(LEFT(C180,LEN(C180)-4))</f>
        <v>1012.1</v>
      </c>
    </row>
    <row r="181" spans="1:4">
      <c r="A181" s="23" t="s">
        <v>552</v>
      </c>
      <c r="B181" t="s">
        <v>545</v>
      </c>
      <c r="C181" t="s">
        <v>654</v>
      </c>
      <c r="D181" s="29">
        <f t="shared" ref="D181:D182" si="109">VALUE(LEFT(C181,LEN(C181)-FIND("km/h",C181)+1)/3.6)</f>
        <v>1.1944444444444444</v>
      </c>
    </row>
    <row r="182" spans="1:4">
      <c r="A182" s="23" t="s">
        <v>554</v>
      </c>
      <c r="B182" t="s">
        <v>545</v>
      </c>
      <c r="C182" t="s">
        <v>584</v>
      </c>
      <c r="D182" s="29">
        <f t="shared" si="109"/>
        <v>1.9166666666666667</v>
      </c>
    </row>
    <row r="183" spans="1:4">
      <c r="A183" s="23" t="s">
        <v>556</v>
      </c>
      <c r="B183" t="s">
        <v>545</v>
      </c>
      <c r="C183" t="s">
        <v>1399</v>
      </c>
      <c r="D183" s="26">
        <f t="shared" ref="D183" si="110">VALUE(LEFT(C183,LEN(C183)-7))</f>
        <v>286</v>
      </c>
    </row>
    <row r="184" spans="1:4">
      <c r="A184" s="23" t="s">
        <v>558</v>
      </c>
      <c r="B184" t="s">
        <v>545</v>
      </c>
      <c r="C184" t="s">
        <v>604</v>
      </c>
      <c r="D184" s="29">
        <f t="shared" ref="D184:D186" si="111">VALUE(LEFT(C184,LEN(C184)-3))</f>
        <v>0</v>
      </c>
    </row>
    <row r="185" spans="1:4">
      <c r="A185" s="23" t="s">
        <v>560</v>
      </c>
      <c r="B185" t="s">
        <v>545</v>
      </c>
      <c r="C185" t="s">
        <v>1400</v>
      </c>
      <c r="D185" s="29">
        <f t="shared" si="111"/>
        <v>385.3</v>
      </c>
    </row>
    <row r="186" spans="1:4">
      <c r="A186" s="23" t="s">
        <v>562</v>
      </c>
      <c r="B186" t="s">
        <v>545</v>
      </c>
      <c r="C186" t="s">
        <v>604</v>
      </c>
      <c r="D186" s="29">
        <f t="shared" si="111"/>
        <v>0</v>
      </c>
    </row>
    <row r="188" spans="1:4">
      <c r="A188" s="23" t="s">
        <v>544</v>
      </c>
      <c r="B188" t="s">
        <v>545</v>
      </c>
      <c r="C188" t="s">
        <v>1401</v>
      </c>
      <c r="D188" s="29">
        <f t="shared" ref="D188" si="112">VALUE(LEFT(C188,LEN(C188)-2))</f>
        <v>21.1</v>
      </c>
    </row>
    <row r="189" spans="1:4">
      <c r="A189" s="23" t="s">
        <v>547</v>
      </c>
      <c r="B189" t="s">
        <v>545</v>
      </c>
      <c r="C189" s="24">
        <v>0.69</v>
      </c>
      <c r="D189" s="27">
        <f t="shared" ref="D189" si="113">VALUE(C189*100)</f>
        <v>69</v>
      </c>
    </row>
    <row r="190" spans="1:4">
      <c r="A190" s="23" t="s">
        <v>548</v>
      </c>
      <c r="B190" t="s">
        <v>545</v>
      </c>
      <c r="C190" t="s">
        <v>605</v>
      </c>
      <c r="D190" s="29">
        <f t="shared" ref="D190" si="114">VALUE(LEFT(C190,LEN(C190)-2))</f>
        <v>14.5</v>
      </c>
    </row>
    <row r="191" spans="1:4">
      <c r="A191" s="23" t="s">
        <v>550</v>
      </c>
      <c r="B191" t="s">
        <v>545</v>
      </c>
      <c r="C191" t="s">
        <v>877</v>
      </c>
      <c r="D191" s="28">
        <f t="shared" ref="D191" si="115">VALUE(LEFT(C191,LEN(C191)-4))</f>
        <v>1016.4</v>
      </c>
    </row>
    <row r="192" spans="1:4">
      <c r="A192" s="23" t="s">
        <v>552</v>
      </c>
      <c r="B192" t="s">
        <v>545</v>
      </c>
      <c r="C192" t="s">
        <v>825</v>
      </c>
      <c r="D192" s="29">
        <f t="shared" ref="D192:D193" si="116">VALUE(LEFT(C192,LEN(C192)-FIND("km/h",C192)+1)/3.6)</f>
        <v>1.7777777777777779</v>
      </c>
    </row>
    <row r="193" spans="1:4">
      <c r="A193" s="23" t="s">
        <v>554</v>
      </c>
      <c r="B193" t="s">
        <v>545</v>
      </c>
      <c r="C193" t="s">
        <v>1263</v>
      </c>
      <c r="D193" s="29">
        <f t="shared" si="116"/>
        <v>2.6388888888888888</v>
      </c>
    </row>
    <row r="194" spans="1:4">
      <c r="A194" s="23" t="s">
        <v>556</v>
      </c>
      <c r="B194" t="s">
        <v>545</v>
      </c>
      <c r="C194" t="s">
        <v>569</v>
      </c>
      <c r="D194" s="26">
        <f t="shared" ref="D194" si="117">VALUE(LEFT(C194,LEN(C194)-7))</f>
        <v>269</v>
      </c>
    </row>
    <row r="195" spans="1:4">
      <c r="A195" s="23" t="s">
        <v>558</v>
      </c>
      <c r="B195" t="s">
        <v>545</v>
      </c>
      <c r="C195" t="s">
        <v>604</v>
      </c>
      <c r="D195" s="29">
        <f t="shared" ref="D195:D197" si="118">VALUE(LEFT(C195,LEN(C195)-3))</f>
        <v>0</v>
      </c>
    </row>
    <row r="196" spans="1:4">
      <c r="A196" s="23" t="s">
        <v>560</v>
      </c>
      <c r="B196" t="s">
        <v>545</v>
      </c>
      <c r="C196" t="s">
        <v>1400</v>
      </c>
      <c r="D196" s="29">
        <f t="shared" si="118"/>
        <v>385.3</v>
      </c>
    </row>
    <row r="197" spans="1:4">
      <c r="A197" s="23" t="s">
        <v>562</v>
      </c>
      <c r="B197" t="s">
        <v>545</v>
      </c>
      <c r="C197" t="s">
        <v>604</v>
      </c>
      <c r="D197" s="29">
        <f t="shared" si="118"/>
        <v>0</v>
      </c>
    </row>
    <row r="199" spans="1:4">
      <c r="A199" s="23" t="s">
        <v>544</v>
      </c>
      <c r="B199" t="s">
        <v>545</v>
      </c>
      <c r="C199" t="s">
        <v>1402</v>
      </c>
      <c r="D199" s="29">
        <f t="shared" ref="D199" si="119">VALUE(LEFT(C199,LEN(C199)-2))</f>
        <v>19.899999999999999</v>
      </c>
    </row>
    <row r="200" spans="1:4">
      <c r="A200" s="23" t="s">
        <v>547</v>
      </c>
      <c r="B200" t="s">
        <v>545</v>
      </c>
      <c r="C200" s="24">
        <v>0.68</v>
      </c>
      <c r="D200" s="27">
        <f t="shared" ref="D200" si="120">VALUE(C200*100)</f>
        <v>68</v>
      </c>
    </row>
    <row r="201" spans="1:4">
      <c r="A201" s="23" t="s">
        <v>548</v>
      </c>
      <c r="B201" t="s">
        <v>545</v>
      </c>
      <c r="C201" t="s">
        <v>657</v>
      </c>
      <c r="D201" s="29">
        <f t="shared" ref="D201" si="121">VALUE(LEFT(C201,LEN(C201)-2))</f>
        <v>13.2</v>
      </c>
    </row>
    <row r="202" spans="1:4">
      <c r="A202" s="23" t="s">
        <v>550</v>
      </c>
      <c r="B202" t="s">
        <v>545</v>
      </c>
      <c r="C202" t="s">
        <v>1363</v>
      </c>
      <c r="D202" s="28">
        <f t="shared" ref="D202" si="122">VALUE(LEFT(C202,LEN(C202)-4))</f>
        <v>1019.9</v>
      </c>
    </row>
    <row r="203" spans="1:4">
      <c r="A203" s="23" t="s">
        <v>552</v>
      </c>
      <c r="B203" t="s">
        <v>545</v>
      </c>
      <c r="C203" t="s">
        <v>747</v>
      </c>
      <c r="D203" s="29">
        <f t="shared" ref="D203:D204" si="123">VALUE(LEFT(C203,LEN(C203)-FIND("km/h",C203)+1)/3.6)</f>
        <v>2.0555555555555558</v>
      </c>
    </row>
    <row r="204" spans="1:4">
      <c r="A204" s="23" t="s">
        <v>554</v>
      </c>
      <c r="B204" t="s">
        <v>545</v>
      </c>
      <c r="C204" t="s">
        <v>748</v>
      </c>
      <c r="D204" s="29">
        <f t="shared" si="123"/>
        <v>2.8611111111111112</v>
      </c>
    </row>
    <row r="205" spans="1:4">
      <c r="A205" s="23" t="s">
        <v>556</v>
      </c>
      <c r="B205" t="s">
        <v>545</v>
      </c>
      <c r="C205" t="s">
        <v>880</v>
      </c>
      <c r="D205" s="26">
        <f t="shared" ref="D205" si="124">VALUE(LEFT(C205,LEN(C205)-7))</f>
        <v>327</v>
      </c>
    </row>
    <row r="206" spans="1:4">
      <c r="A206" s="23" t="s">
        <v>558</v>
      </c>
      <c r="B206" t="s">
        <v>545</v>
      </c>
      <c r="C206" t="s">
        <v>604</v>
      </c>
      <c r="D206" s="29">
        <f t="shared" ref="D206:D208" si="125">VALUE(LEFT(C206,LEN(C206)-3))</f>
        <v>0</v>
      </c>
    </row>
    <row r="207" spans="1:4">
      <c r="A207" s="23" t="s">
        <v>560</v>
      </c>
      <c r="B207" t="s">
        <v>545</v>
      </c>
      <c r="C207" t="s">
        <v>1400</v>
      </c>
      <c r="D207" s="29">
        <f t="shared" si="125"/>
        <v>385.3</v>
      </c>
    </row>
    <row r="208" spans="1:4">
      <c r="A208" s="23" t="s">
        <v>562</v>
      </c>
      <c r="B208" t="s">
        <v>545</v>
      </c>
      <c r="C208" t="s">
        <v>604</v>
      </c>
      <c r="D208" s="29">
        <f t="shared" si="125"/>
        <v>0</v>
      </c>
    </row>
    <row r="210" spans="1:4">
      <c r="A210" s="23" t="s">
        <v>544</v>
      </c>
      <c r="B210" t="s">
        <v>545</v>
      </c>
      <c r="C210" t="s">
        <v>1393</v>
      </c>
      <c r="D210" s="29">
        <f t="shared" ref="D210" si="126">VALUE(LEFT(C210,LEN(C210)-2))</f>
        <v>20.3</v>
      </c>
    </row>
    <row r="211" spans="1:4">
      <c r="A211" s="23" t="s">
        <v>547</v>
      </c>
      <c r="B211" t="s">
        <v>545</v>
      </c>
      <c r="C211" s="24">
        <v>0.7</v>
      </c>
      <c r="D211" s="27">
        <f t="shared" ref="D211" si="127">VALUE(C211*100)</f>
        <v>70</v>
      </c>
    </row>
    <row r="212" spans="1:4">
      <c r="A212" s="23" t="s">
        <v>548</v>
      </c>
      <c r="B212" t="s">
        <v>545</v>
      </c>
      <c r="C212" t="s">
        <v>621</v>
      </c>
      <c r="D212" s="29">
        <f t="shared" ref="D212" si="128">VALUE(LEFT(C212,LEN(C212)-2))</f>
        <v>13.8</v>
      </c>
    </row>
    <row r="213" spans="1:4">
      <c r="A213" s="23" t="s">
        <v>550</v>
      </c>
      <c r="B213" t="s">
        <v>545</v>
      </c>
      <c r="C213" t="s">
        <v>1191</v>
      </c>
      <c r="D213" s="28">
        <f t="shared" ref="D213" si="129">VALUE(LEFT(C213,LEN(C213)-4))</f>
        <v>1019.2</v>
      </c>
    </row>
    <row r="214" spans="1:4">
      <c r="A214" s="23" t="s">
        <v>552</v>
      </c>
      <c r="B214" t="s">
        <v>545</v>
      </c>
      <c r="C214" t="s">
        <v>854</v>
      </c>
      <c r="D214" s="29">
        <f t="shared" ref="D214:D215" si="130">VALUE(LEFT(C214,LEN(C214)-FIND("km/h",C214)+1)/3.6)</f>
        <v>1.9722222222222221</v>
      </c>
    </row>
    <row r="215" spans="1:4">
      <c r="A215" s="23" t="s">
        <v>554</v>
      </c>
      <c r="B215" t="s">
        <v>545</v>
      </c>
      <c r="C215" t="s">
        <v>1403</v>
      </c>
      <c r="D215" s="29">
        <f t="shared" si="130"/>
        <v>2.8055555555555554</v>
      </c>
    </row>
    <row r="216" spans="1:4">
      <c r="A216" s="23" t="s">
        <v>556</v>
      </c>
      <c r="B216" t="s">
        <v>545</v>
      </c>
      <c r="C216" t="s">
        <v>892</v>
      </c>
      <c r="D216" s="26">
        <f t="shared" ref="D216" si="131">VALUE(LEFT(C216,LEN(C216)-7))</f>
        <v>321</v>
      </c>
    </row>
    <row r="217" spans="1:4">
      <c r="A217" s="23" t="s">
        <v>558</v>
      </c>
      <c r="B217" t="s">
        <v>545</v>
      </c>
      <c r="C217" t="s">
        <v>604</v>
      </c>
      <c r="D217" s="29">
        <f t="shared" ref="D217:D219" si="132">VALUE(LEFT(C217,LEN(C217)-3))</f>
        <v>0</v>
      </c>
    </row>
    <row r="218" spans="1:4">
      <c r="A218" s="23" t="s">
        <v>560</v>
      </c>
      <c r="B218" t="s">
        <v>545</v>
      </c>
      <c r="C218" t="s">
        <v>1400</v>
      </c>
      <c r="D218" s="29">
        <f t="shared" si="132"/>
        <v>385.3</v>
      </c>
    </row>
    <row r="219" spans="1:4">
      <c r="A219" s="23" t="s">
        <v>562</v>
      </c>
      <c r="B219" t="s">
        <v>545</v>
      </c>
      <c r="C219" t="s">
        <v>604</v>
      </c>
      <c r="D219" s="29">
        <f t="shared" si="132"/>
        <v>0</v>
      </c>
    </row>
    <row r="221" spans="1:4">
      <c r="A221" s="23" t="s">
        <v>544</v>
      </c>
      <c r="B221" t="s">
        <v>545</v>
      </c>
      <c r="C221" t="s">
        <v>1404</v>
      </c>
      <c r="D221" s="29">
        <f t="shared" ref="D221" si="133">VALUE(LEFT(C221,LEN(C221)-2))</f>
        <v>20.9</v>
      </c>
    </row>
    <row r="222" spans="1:4">
      <c r="A222" s="23" t="s">
        <v>547</v>
      </c>
      <c r="B222" t="s">
        <v>545</v>
      </c>
      <c r="C222" s="24">
        <v>0.74</v>
      </c>
      <c r="D222" s="27">
        <f t="shared" ref="D222" si="134">VALUE(C222*100)</f>
        <v>74</v>
      </c>
    </row>
    <row r="223" spans="1:4">
      <c r="A223" s="23" t="s">
        <v>548</v>
      </c>
      <c r="B223" t="s">
        <v>545</v>
      </c>
      <c r="C223" t="s">
        <v>802</v>
      </c>
      <c r="D223" s="29">
        <f t="shared" ref="D223" si="135">VALUE(LEFT(C223,LEN(C223)-2))</f>
        <v>15.7</v>
      </c>
    </row>
    <row r="224" spans="1:4">
      <c r="A224" s="23" t="s">
        <v>550</v>
      </c>
      <c r="B224" t="s">
        <v>545</v>
      </c>
      <c r="C224" t="s">
        <v>909</v>
      </c>
      <c r="D224" s="28">
        <f t="shared" ref="D224" si="136">VALUE(LEFT(C224,LEN(C224)-4))</f>
        <v>1017</v>
      </c>
    </row>
    <row r="225" spans="1:4">
      <c r="A225" s="23" t="s">
        <v>552</v>
      </c>
      <c r="B225" t="s">
        <v>545</v>
      </c>
      <c r="C225" t="s">
        <v>789</v>
      </c>
      <c r="D225" s="29">
        <f t="shared" ref="D225:D226" si="137">VALUE(LEFT(C225,LEN(C225)-FIND("km/h",C225)+1)/3.6)</f>
        <v>1.8055555555555556</v>
      </c>
    </row>
    <row r="226" spans="1:4">
      <c r="A226" s="23" t="s">
        <v>554</v>
      </c>
      <c r="B226" t="s">
        <v>545</v>
      </c>
      <c r="C226" t="s">
        <v>1403</v>
      </c>
      <c r="D226" s="29">
        <f t="shared" si="137"/>
        <v>2.8055555555555554</v>
      </c>
    </row>
    <row r="227" spans="1:4">
      <c r="A227" s="23" t="s">
        <v>556</v>
      </c>
      <c r="B227" t="s">
        <v>545</v>
      </c>
      <c r="C227" t="s">
        <v>594</v>
      </c>
      <c r="D227" s="26">
        <f t="shared" ref="D227" si="138">VALUE(LEFT(C227,LEN(C227)-7))</f>
        <v>326</v>
      </c>
    </row>
    <row r="228" spans="1:4">
      <c r="A228" s="23" t="s">
        <v>558</v>
      </c>
      <c r="B228" t="s">
        <v>545</v>
      </c>
      <c r="C228" t="s">
        <v>604</v>
      </c>
      <c r="D228" s="29">
        <f t="shared" ref="D228:D230" si="139">VALUE(LEFT(C228,LEN(C228)-3))</f>
        <v>0</v>
      </c>
    </row>
    <row r="229" spans="1:4">
      <c r="A229" s="23" t="s">
        <v>560</v>
      </c>
      <c r="B229" t="s">
        <v>545</v>
      </c>
      <c r="C229" t="s">
        <v>1400</v>
      </c>
      <c r="D229" s="29">
        <f t="shared" si="139"/>
        <v>385.3</v>
      </c>
    </row>
    <row r="230" spans="1:4">
      <c r="A230" s="23" t="s">
        <v>562</v>
      </c>
      <c r="B230" t="s">
        <v>545</v>
      </c>
      <c r="C230" t="s">
        <v>604</v>
      </c>
      <c r="D230" s="29">
        <f t="shared" si="139"/>
        <v>0</v>
      </c>
    </row>
    <row r="232" spans="1:4">
      <c r="A232" s="23" t="s">
        <v>544</v>
      </c>
      <c r="B232" t="s">
        <v>545</v>
      </c>
      <c r="C232" t="s">
        <v>1405</v>
      </c>
      <c r="D232" s="29">
        <f t="shared" ref="D232" si="140">VALUE(LEFT(C232,LEN(C232)-2))</f>
        <v>20.6</v>
      </c>
    </row>
    <row r="233" spans="1:4">
      <c r="A233" s="23" t="s">
        <v>547</v>
      </c>
      <c r="B233" t="s">
        <v>545</v>
      </c>
      <c r="C233" s="24">
        <v>0.74</v>
      </c>
      <c r="D233" s="27">
        <f t="shared" ref="D233" si="141">VALUE(C233*100)</f>
        <v>74</v>
      </c>
    </row>
    <row r="234" spans="1:4">
      <c r="A234" s="23" t="s">
        <v>548</v>
      </c>
      <c r="B234" t="s">
        <v>545</v>
      </c>
      <c r="C234" t="s">
        <v>1406</v>
      </c>
      <c r="D234" s="29">
        <f t="shared" ref="D234" si="142">VALUE(LEFT(C234,LEN(C234)-2))</f>
        <v>15.3</v>
      </c>
    </row>
    <row r="235" spans="1:4">
      <c r="A235" s="23" t="s">
        <v>550</v>
      </c>
      <c r="B235" t="s">
        <v>545</v>
      </c>
      <c r="C235" t="s">
        <v>1230</v>
      </c>
      <c r="D235" s="28">
        <f t="shared" ref="D235" si="143">VALUE(LEFT(C235,LEN(C235)-4))</f>
        <v>1016.2</v>
      </c>
    </row>
    <row r="236" spans="1:4">
      <c r="A236" s="23" t="s">
        <v>552</v>
      </c>
      <c r="B236" t="s">
        <v>545</v>
      </c>
      <c r="C236" t="s">
        <v>843</v>
      </c>
      <c r="D236" s="29">
        <f t="shared" ref="D236:D237" si="144">VALUE(LEFT(C236,LEN(C236)-FIND("km/h",C236)+1)/3.6)</f>
        <v>2.3055555555555558</v>
      </c>
    </row>
    <row r="237" spans="1:4">
      <c r="A237" s="23" t="s">
        <v>554</v>
      </c>
      <c r="B237" t="s">
        <v>545</v>
      </c>
      <c r="C237" t="s">
        <v>1039</v>
      </c>
      <c r="D237" s="29">
        <f t="shared" si="144"/>
        <v>3.2222222222222219</v>
      </c>
    </row>
    <row r="238" spans="1:4">
      <c r="A238" s="23" t="s">
        <v>556</v>
      </c>
      <c r="B238" t="s">
        <v>545</v>
      </c>
      <c r="C238" t="s">
        <v>880</v>
      </c>
      <c r="D238" s="26">
        <f t="shared" ref="D238" si="145">VALUE(LEFT(C238,LEN(C238)-7))</f>
        <v>327</v>
      </c>
    </row>
    <row r="239" spans="1:4">
      <c r="A239" s="23" t="s">
        <v>558</v>
      </c>
      <c r="B239" t="s">
        <v>545</v>
      </c>
      <c r="C239" t="s">
        <v>604</v>
      </c>
      <c r="D239" s="29">
        <f t="shared" ref="D239:D241" si="146">VALUE(LEFT(C239,LEN(C239)-3))</f>
        <v>0</v>
      </c>
    </row>
    <row r="240" spans="1:4">
      <c r="A240" s="23" t="s">
        <v>560</v>
      </c>
      <c r="B240" t="s">
        <v>545</v>
      </c>
      <c r="C240" t="s">
        <v>1400</v>
      </c>
      <c r="D240" s="29">
        <f t="shared" si="146"/>
        <v>385.3</v>
      </c>
    </row>
    <row r="241" spans="1:4">
      <c r="A241" s="23" t="s">
        <v>562</v>
      </c>
      <c r="B241" t="s">
        <v>545</v>
      </c>
      <c r="C241" t="s">
        <v>604</v>
      </c>
      <c r="D241" s="29">
        <f t="shared" si="146"/>
        <v>0</v>
      </c>
    </row>
    <row r="243" spans="1:4">
      <c r="A243" s="23" t="s">
        <v>544</v>
      </c>
      <c r="B243" t="s">
        <v>545</v>
      </c>
      <c r="C243" t="s">
        <v>920</v>
      </c>
      <c r="D243" s="29">
        <f t="shared" ref="D243" si="147">VALUE(LEFT(C243,LEN(C243)-2))</f>
        <v>19.600000000000001</v>
      </c>
    </row>
    <row r="244" spans="1:4">
      <c r="A244" s="23" t="s">
        <v>547</v>
      </c>
      <c r="B244" t="s">
        <v>545</v>
      </c>
      <c r="C244" s="24">
        <v>0.72</v>
      </c>
      <c r="D244" s="27">
        <f t="shared" ref="D244" si="148">VALUE(C244*100)</f>
        <v>72</v>
      </c>
    </row>
    <row r="245" spans="1:4">
      <c r="A245" s="23" t="s">
        <v>548</v>
      </c>
      <c r="B245" t="s">
        <v>545</v>
      </c>
      <c r="C245" t="s">
        <v>626</v>
      </c>
      <c r="D245" s="29">
        <f t="shared" ref="D245" si="149">VALUE(LEFT(C245,LEN(C245)-2))</f>
        <v>14.2</v>
      </c>
    </row>
    <row r="246" spans="1:4">
      <c r="A246" s="23" t="s">
        <v>550</v>
      </c>
      <c r="B246" t="s">
        <v>545</v>
      </c>
      <c r="C246" t="s">
        <v>805</v>
      </c>
      <c r="D246" s="28">
        <f t="shared" ref="D246" si="150">VALUE(LEFT(C246,LEN(C246)-4))</f>
        <v>1015.6</v>
      </c>
    </row>
    <row r="247" spans="1:4">
      <c r="A247" s="23" t="s">
        <v>552</v>
      </c>
      <c r="B247" t="s">
        <v>545</v>
      </c>
      <c r="C247" t="s">
        <v>692</v>
      </c>
      <c r="D247" s="29">
        <f t="shared" ref="D247:D248" si="151">VALUE(LEFT(C247,LEN(C247)-FIND("km/h",C247)+1)/3.6)</f>
        <v>2.1388888888888888</v>
      </c>
    </row>
    <row r="248" spans="1:4">
      <c r="A248" s="23" t="s">
        <v>554</v>
      </c>
      <c r="B248" t="s">
        <v>545</v>
      </c>
      <c r="C248" t="s">
        <v>567</v>
      </c>
      <c r="D248" s="29">
        <f t="shared" si="151"/>
        <v>3.1111111111111107</v>
      </c>
    </row>
    <row r="249" spans="1:4">
      <c r="A249" s="23" t="s">
        <v>556</v>
      </c>
      <c r="B249" t="s">
        <v>545</v>
      </c>
      <c r="C249" t="s">
        <v>982</v>
      </c>
      <c r="D249" s="26">
        <f t="shared" ref="D249" si="152">VALUE(LEFT(C249,LEN(C249)-7))</f>
        <v>319</v>
      </c>
    </row>
    <row r="250" spans="1:4">
      <c r="A250" s="23" t="s">
        <v>558</v>
      </c>
      <c r="B250" t="s">
        <v>545</v>
      </c>
      <c r="C250" t="s">
        <v>604</v>
      </c>
      <c r="D250" s="29">
        <f t="shared" ref="D250:D252" si="153">VALUE(LEFT(C250,LEN(C250)-3))</f>
        <v>0</v>
      </c>
    </row>
    <row r="251" spans="1:4">
      <c r="A251" s="23" t="s">
        <v>560</v>
      </c>
      <c r="B251" t="s">
        <v>545</v>
      </c>
      <c r="C251" t="s">
        <v>1400</v>
      </c>
      <c r="D251" s="29">
        <f t="shared" si="153"/>
        <v>385.3</v>
      </c>
    </row>
    <row r="252" spans="1:4">
      <c r="A252" s="23" t="s">
        <v>562</v>
      </c>
      <c r="B252" t="s">
        <v>545</v>
      </c>
      <c r="C252" t="s">
        <v>604</v>
      </c>
      <c r="D252" s="29">
        <f t="shared" si="153"/>
        <v>0</v>
      </c>
    </row>
    <row r="254" spans="1:4">
      <c r="A254" s="23" t="s">
        <v>544</v>
      </c>
      <c r="B254" t="s">
        <v>545</v>
      </c>
      <c r="C254" t="s">
        <v>1405</v>
      </c>
      <c r="D254" s="29">
        <f t="shared" ref="D254" si="154">VALUE(LEFT(C254,LEN(C254)-2))</f>
        <v>20.6</v>
      </c>
    </row>
    <row r="255" spans="1:4">
      <c r="A255" s="23" t="s">
        <v>547</v>
      </c>
      <c r="B255" t="s">
        <v>545</v>
      </c>
      <c r="C255" s="24">
        <v>0.67</v>
      </c>
      <c r="D255" s="27">
        <f t="shared" ref="D255" si="155">VALUE(C255*100)</f>
        <v>67</v>
      </c>
    </row>
    <row r="256" spans="1:4">
      <c r="A256" s="23" t="s">
        <v>548</v>
      </c>
      <c r="B256" t="s">
        <v>545</v>
      </c>
      <c r="C256" t="s">
        <v>598</v>
      </c>
      <c r="D256" s="29">
        <f t="shared" ref="D256" si="156">VALUE(LEFT(C256,LEN(C256)-2))</f>
        <v>13.4</v>
      </c>
    </row>
    <row r="257" spans="1:4">
      <c r="A257" s="23" t="s">
        <v>550</v>
      </c>
      <c r="B257" t="s">
        <v>545</v>
      </c>
      <c r="C257" t="s">
        <v>904</v>
      </c>
      <c r="D257" s="28">
        <f t="shared" ref="D257" si="157">VALUE(LEFT(C257,LEN(C257)-4))</f>
        <v>1018.5</v>
      </c>
    </row>
    <row r="258" spans="1:4">
      <c r="A258" s="23" t="s">
        <v>552</v>
      </c>
      <c r="B258" t="s">
        <v>545</v>
      </c>
      <c r="C258" t="s">
        <v>839</v>
      </c>
      <c r="D258" s="29">
        <f t="shared" ref="D258:D259" si="158">VALUE(LEFT(C258,LEN(C258)-FIND("km/h",C258)+1)/3.6)</f>
        <v>2.2222222222222223</v>
      </c>
    </row>
    <row r="259" spans="1:4">
      <c r="A259" s="23" t="s">
        <v>554</v>
      </c>
      <c r="B259" t="s">
        <v>545</v>
      </c>
      <c r="C259" t="s">
        <v>1407</v>
      </c>
      <c r="D259" s="29">
        <f t="shared" si="158"/>
        <v>3.1666666666666665</v>
      </c>
    </row>
    <row r="260" spans="1:4">
      <c r="A260" s="23" t="s">
        <v>556</v>
      </c>
      <c r="B260" t="s">
        <v>545</v>
      </c>
      <c r="C260" t="s">
        <v>880</v>
      </c>
      <c r="D260" s="26">
        <f t="shared" ref="D260" si="159">VALUE(LEFT(C260,LEN(C260)-7))</f>
        <v>327</v>
      </c>
    </row>
    <row r="261" spans="1:4">
      <c r="A261" s="23" t="s">
        <v>558</v>
      </c>
      <c r="B261" t="s">
        <v>545</v>
      </c>
      <c r="C261" t="s">
        <v>604</v>
      </c>
      <c r="D261" s="29">
        <f t="shared" ref="D261:D263" si="160">VALUE(LEFT(C261,LEN(C261)-3))</f>
        <v>0</v>
      </c>
    </row>
    <row r="262" spans="1:4">
      <c r="A262" s="23" t="s">
        <v>560</v>
      </c>
      <c r="B262" t="s">
        <v>545</v>
      </c>
      <c r="C262" t="s">
        <v>1400</v>
      </c>
      <c r="D262" s="29">
        <f t="shared" si="160"/>
        <v>385.3</v>
      </c>
    </row>
    <row r="263" spans="1:4">
      <c r="A263" s="23" t="s">
        <v>562</v>
      </c>
      <c r="B263" t="s">
        <v>545</v>
      </c>
      <c r="C263" t="s">
        <v>604</v>
      </c>
      <c r="D263" s="29">
        <f t="shared" si="160"/>
        <v>0</v>
      </c>
    </row>
    <row r="265" spans="1:4">
      <c r="A265" s="23" t="s">
        <v>544</v>
      </c>
      <c r="B265" t="s">
        <v>545</v>
      </c>
      <c r="C265" t="s">
        <v>1005</v>
      </c>
      <c r="D265" s="29">
        <f t="shared" ref="D265" si="161">VALUE(LEFT(C265,LEN(C265)-2))</f>
        <v>23.2</v>
      </c>
    </row>
    <row r="266" spans="1:4">
      <c r="A266" s="23" t="s">
        <v>547</v>
      </c>
      <c r="B266" t="s">
        <v>545</v>
      </c>
      <c r="C266" s="24">
        <v>0.59</v>
      </c>
      <c r="D266" s="27">
        <f t="shared" ref="D266" si="162">VALUE(C266*100)</f>
        <v>59</v>
      </c>
    </row>
    <row r="267" spans="1:4">
      <c r="A267" s="23" t="s">
        <v>548</v>
      </c>
      <c r="B267" t="s">
        <v>545</v>
      </c>
      <c r="C267" t="s">
        <v>546</v>
      </c>
      <c r="D267" s="29">
        <f t="shared" ref="D267" si="163">VALUE(LEFT(C267,LEN(C267)-2))</f>
        <v>12.9</v>
      </c>
    </row>
    <row r="268" spans="1:4">
      <c r="A268" s="23" t="s">
        <v>550</v>
      </c>
      <c r="B268" t="s">
        <v>545</v>
      </c>
      <c r="C268" t="s">
        <v>977</v>
      </c>
      <c r="D268" s="28">
        <f t="shared" ref="D268" si="164">VALUE(LEFT(C268,LEN(C268)-4))</f>
        <v>1019.3</v>
      </c>
    </row>
    <row r="269" spans="1:4">
      <c r="A269" s="23" t="s">
        <v>552</v>
      </c>
      <c r="B269" t="s">
        <v>545</v>
      </c>
      <c r="C269" t="s">
        <v>609</v>
      </c>
      <c r="D269" s="29">
        <f t="shared" ref="D269:D270" si="165">VALUE(LEFT(C269,LEN(C269)-FIND("km/h",C269)+1)/3.6)</f>
        <v>1.5277777777777777</v>
      </c>
    </row>
    <row r="270" spans="1:4">
      <c r="A270" s="23" t="s">
        <v>554</v>
      </c>
      <c r="B270" t="s">
        <v>545</v>
      </c>
      <c r="C270" t="s">
        <v>692</v>
      </c>
      <c r="D270" s="29">
        <f t="shared" si="165"/>
        <v>2.1388888888888888</v>
      </c>
    </row>
    <row r="271" spans="1:4">
      <c r="A271" s="23" t="s">
        <v>556</v>
      </c>
      <c r="B271" t="s">
        <v>545</v>
      </c>
      <c r="C271" t="s">
        <v>1408</v>
      </c>
      <c r="D271" s="26">
        <f t="shared" ref="D271" si="166">VALUE(LEFT(C271,LEN(C271)-7))</f>
        <v>334</v>
      </c>
    </row>
    <row r="272" spans="1:4">
      <c r="A272" s="23" t="s">
        <v>558</v>
      </c>
      <c r="B272" t="s">
        <v>545</v>
      </c>
      <c r="C272" t="s">
        <v>604</v>
      </c>
      <c r="D272" s="29">
        <f t="shared" ref="D272:D274" si="167">VALUE(LEFT(C272,LEN(C272)-3))</f>
        <v>0</v>
      </c>
    </row>
    <row r="273" spans="1:4">
      <c r="A273" s="23" t="s">
        <v>560</v>
      </c>
      <c r="B273" t="s">
        <v>545</v>
      </c>
      <c r="C273" t="s">
        <v>1400</v>
      </c>
      <c r="D273" s="29">
        <f t="shared" si="167"/>
        <v>385.3</v>
      </c>
    </row>
    <row r="274" spans="1:4">
      <c r="A274" s="23" t="s">
        <v>562</v>
      </c>
      <c r="B274" t="s">
        <v>545</v>
      </c>
      <c r="C274" t="s">
        <v>604</v>
      </c>
      <c r="D274" s="29">
        <f t="shared" si="167"/>
        <v>0</v>
      </c>
    </row>
    <row r="276" spans="1:4">
      <c r="A276" s="23" t="s">
        <v>544</v>
      </c>
      <c r="B276" t="s">
        <v>545</v>
      </c>
      <c r="C276" t="s">
        <v>1409</v>
      </c>
      <c r="D276" s="29">
        <f t="shared" ref="D276" si="168">VALUE(LEFT(C276,LEN(C276)-2))</f>
        <v>24.5</v>
      </c>
    </row>
    <row r="277" spans="1:4">
      <c r="A277" s="23" t="s">
        <v>547</v>
      </c>
      <c r="B277" t="s">
        <v>545</v>
      </c>
      <c r="C277" s="24">
        <v>0.57999999999999996</v>
      </c>
      <c r="D277" s="27">
        <f t="shared" ref="D277" si="169">VALUE(C277*100)</f>
        <v>57.999999999999993</v>
      </c>
    </row>
    <row r="278" spans="1:4">
      <c r="A278" s="23" t="s">
        <v>548</v>
      </c>
      <c r="B278" t="s">
        <v>545</v>
      </c>
      <c r="C278" t="s">
        <v>956</v>
      </c>
      <c r="D278" s="29">
        <f t="shared" ref="D278" si="170">VALUE(LEFT(C278,LEN(C278)-2))</f>
        <v>14</v>
      </c>
    </row>
    <row r="279" spans="1:4">
      <c r="A279" s="23" t="s">
        <v>550</v>
      </c>
      <c r="B279" t="s">
        <v>545</v>
      </c>
      <c r="C279" t="s">
        <v>957</v>
      </c>
      <c r="D279" s="28">
        <f t="shared" ref="D279" si="171">VALUE(LEFT(C279,LEN(C279)-4))</f>
        <v>1016.5</v>
      </c>
    </row>
    <row r="280" spans="1:4">
      <c r="A280" s="23" t="s">
        <v>552</v>
      </c>
      <c r="B280" t="s">
        <v>545</v>
      </c>
      <c r="C280" t="s">
        <v>1000</v>
      </c>
      <c r="D280" s="29">
        <f t="shared" ref="D280:D281" si="172">VALUE(LEFT(C280,LEN(C280)-FIND("km/h",C280)+1)/3.6)</f>
        <v>1.2222222222222223</v>
      </c>
    </row>
    <row r="281" spans="1:4">
      <c r="A281" s="23" t="s">
        <v>554</v>
      </c>
      <c r="B281" t="s">
        <v>545</v>
      </c>
      <c r="C281" t="s">
        <v>825</v>
      </c>
      <c r="D281" s="29">
        <f t="shared" si="172"/>
        <v>1.7777777777777779</v>
      </c>
    </row>
    <row r="282" spans="1:4">
      <c r="A282" s="23" t="s">
        <v>556</v>
      </c>
      <c r="B282" t="s">
        <v>545</v>
      </c>
      <c r="C282" t="s">
        <v>1340</v>
      </c>
      <c r="D282" s="26">
        <f t="shared" ref="D282" si="173">VALUE(LEFT(C282,LEN(C282)-7))</f>
        <v>311</v>
      </c>
    </row>
    <row r="283" spans="1:4">
      <c r="A283" s="23" t="s">
        <v>558</v>
      </c>
      <c r="B283" t="s">
        <v>545</v>
      </c>
      <c r="C283" t="s">
        <v>604</v>
      </c>
      <c r="D283" s="29">
        <f t="shared" ref="D283:D285" si="174">VALUE(LEFT(C283,LEN(C283)-3))</f>
        <v>0</v>
      </c>
    </row>
    <row r="284" spans="1:4">
      <c r="A284" s="23" t="s">
        <v>560</v>
      </c>
      <c r="B284" t="s">
        <v>545</v>
      </c>
      <c r="C284" t="s">
        <v>1400</v>
      </c>
      <c r="D284" s="29">
        <f t="shared" si="174"/>
        <v>385.3</v>
      </c>
    </row>
    <row r="285" spans="1:4">
      <c r="A285" s="23" t="s">
        <v>562</v>
      </c>
      <c r="B285" t="s">
        <v>545</v>
      </c>
      <c r="C285" t="s">
        <v>604</v>
      </c>
      <c r="D285" s="29">
        <f t="shared" si="174"/>
        <v>0</v>
      </c>
    </row>
    <row r="287" spans="1:4">
      <c r="A287" s="23" t="s">
        <v>544</v>
      </c>
      <c r="B287" t="s">
        <v>545</v>
      </c>
      <c r="C287" t="s">
        <v>1410</v>
      </c>
      <c r="D287" s="29">
        <f t="shared" ref="D287" si="175">VALUE(LEFT(C287,LEN(C287)-2))</f>
        <v>23.7</v>
      </c>
    </row>
    <row r="288" spans="1:4">
      <c r="A288" s="23" t="s">
        <v>547</v>
      </c>
      <c r="B288" t="s">
        <v>545</v>
      </c>
      <c r="C288" s="24">
        <v>0.7</v>
      </c>
      <c r="D288" s="27">
        <f t="shared" ref="D288" si="176">VALUE(C288*100)</f>
        <v>70</v>
      </c>
    </row>
    <row r="289" spans="1:4">
      <c r="A289" s="23" t="s">
        <v>548</v>
      </c>
      <c r="B289" t="s">
        <v>545</v>
      </c>
      <c r="C289" t="s">
        <v>792</v>
      </c>
      <c r="D289" s="29">
        <f t="shared" ref="D289" si="177">VALUE(LEFT(C289,LEN(C289)-2))</f>
        <v>16.7</v>
      </c>
    </row>
    <row r="290" spans="1:4">
      <c r="A290" s="23" t="s">
        <v>550</v>
      </c>
      <c r="B290" t="s">
        <v>545</v>
      </c>
      <c r="C290" t="s">
        <v>1378</v>
      </c>
      <c r="D290" s="28">
        <f t="shared" ref="D290" si="178">VALUE(LEFT(C290,LEN(C290)-4))</f>
        <v>1014.5</v>
      </c>
    </row>
    <row r="291" spans="1:4">
      <c r="A291" s="23" t="s">
        <v>552</v>
      </c>
      <c r="B291" t="s">
        <v>545</v>
      </c>
      <c r="C291" t="s">
        <v>665</v>
      </c>
      <c r="D291" s="29">
        <f t="shared" ref="D291:D292" si="179">VALUE(LEFT(C291,LEN(C291)-FIND("km/h",C291)+1)/3.6)</f>
        <v>0.86111111111111116</v>
      </c>
    </row>
    <row r="292" spans="1:4">
      <c r="A292" s="23" t="s">
        <v>554</v>
      </c>
      <c r="B292" t="s">
        <v>545</v>
      </c>
      <c r="C292" t="s">
        <v>817</v>
      </c>
      <c r="D292" s="29">
        <f t="shared" si="179"/>
        <v>1.3611111111111112</v>
      </c>
    </row>
    <row r="293" spans="1:4">
      <c r="A293" s="23" t="s">
        <v>556</v>
      </c>
      <c r="B293" t="s">
        <v>545</v>
      </c>
      <c r="C293" t="s">
        <v>578</v>
      </c>
      <c r="D293" s="26">
        <f t="shared" ref="D293" si="180">VALUE(LEFT(C293,LEN(C293)-7))</f>
        <v>290</v>
      </c>
    </row>
    <row r="294" spans="1:4">
      <c r="A294" s="23" t="s">
        <v>558</v>
      </c>
      <c r="B294" t="s">
        <v>545</v>
      </c>
      <c r="C294" t="s">
        <v>604</v>
      </c>
      <c r="D294" s="29">
        <f t="shared" ref="D294:D296" si="181">VALUE(LEFT(C294,LEN(C294)-3))</f>
        <v>0</v>
      </c>
    </row>
    <row r="295" spans="1:4">
      <c r="A295" s="23" t="s">
        <v>560</v>
      </c>
      <c r="B295" t="s">
        <v>545</v>
      </c>
      <c r="C295" t="s">
        <v>1400</v>
      </c>
      <c r="D295" s="29">
        <f t="shared" si="181"/>
        <v>385.3</v>
      </c>
    </row>
    <row r="296" spans="1:4">
      <c r="A296" s="23" t="s">
        <v>562</v>
      </c>
      <c r="B296" t="s">
        <v>545</v>
      </c>
      <c r="C296" t="s">
        <v>604</v>
      </c>
      <c r="D296" s="29">
        <f t="shared" si="181"/>
        <v>0</v>
      </c>
    </row>
    <row r="298" spans="1:4">
      <c r="A298" s="23" t="s">
        <v>544</v>
      </c>
      <c r="B298" t="s">
        <v>545</v>
      </c>
      <c r="C298" t="s">
        <v>1001</v>
      </c>
      <c r="D298" s="29">
        <f t="shared" ref="D298" si="182">VALUE(LEFT(C298,LEN(C298)-2))</f>
        <v>22</v>
      </c>
    </row>
    <row r="299" spans="1:4">
      <c r="A299" s="23" t="s">
        <v>547</v>
      </c>
      <c r="B299" t="s">
        <v>545</v>
      </c>
      <c r="C299" s="24">
        <v>0.71</v>
      </c>
      <c r="D299" s="27">
        <f t="shared" ref="D299" si="183">VALUE(C299*100)</f>
        <v>71</v>
      </c>
    </row>
    <row r="300" spans="1:4">
      <c r="A300" s="23" t="s">
        <v>548</v>
      </c>
      <c r="B300" t="s">
        <v>545</v>
      </c>
      <c r="C300" t="s">
        <v>768</v>
      </c>
      <c r="D300" s="29">
        <f t="shared" ref="D300" si="184">VALUE(LEFT(C300,LEN(C300)-2))</f>
        <v>16</v>
      </c>
    </row>
    <row r="301" spans="1:4">
      <c r="A301" s="23" t="s">
        <v>550</v>
      </c>
      <c r="B301" t="s">
        <v>545</v>
      </c>
      <c r="C301" t="s">
        <v>1186</v>
      </c>
      <c r="D301" s="28">
        <f t="shared" ref="D301" si="185">VALUE(LEFT(C301,LEN(C301)-4))</f>
        <v>1013.8</v>
      </c>
    </row>
    <row r="302" spans="1:4">
      <c r="A302" s="23" t="s">
        <v>552</v>
      </c>
      <c r="B302" t="s">
        <v>545</v>
      </c>
      <c r="C302" t="s">
        <v>609</v>
      </c>
      <c r="D302" s="29">
        <f t="shared" ref="D302:D303" si="186">VALUE(LEFT(C302,LEN(C302)-FIND("km/h",C302)+1)/3.6)</f>
        <v>1.5277777777777777</v>
      </c>
    </row>
    <row r="303" spans="1:4">
      <c r="A303" s="23" t="s">
        <v>554</v>
      </c>
      <c r="B303" t="s">
        <v>545</v>
      </c>
      <c r="C303" t="s">
        <v>821</v>
      </c>
      <c r="D303" s="29">
        <f t="shared" si="186"/>
        <v>2.3611111111111112</v>
      </c>
    </row>
    <row r="304" spans="1:4">
      <c r="A304" s="23" t="s">
        <v>556</v>
      </c>
      <c r="B304" t="s">
        <v>545</v>
      </c>
      <c r="C304" t="s">
        <v>1377</v>
      </c>
      <c r="D304" s="26">
        <f t="shared" ref="D304" si="187">VALUE(LEFT(C304,LEN(C304)-7))</f>
        <v>251</v>
      </c>
    </row>
    <row r="305" spans="1:4">
      <c r="A305" s="23" t="s">
        <v>558</v>
      </c>
      <c r="B305" t="s">
        <v>545</v>
      </c>
      <c r="C305" t="s">
        <v>604</v>
      </c>
      <c r="D305" s="29">
        <f t="shared" ref="D305:D307" si="188">VALUE(LEFT(C305,LEN(C305)-3))</f>
        <v>0</v>
      </c>
    </row>
    <row r="306" spans="1:4">
      <c r="A306" s="23" t="s">
        <v>560</v>
      </c>
      <c r="B306" t="s">
        <v>545</v>
      </c>
      <c r="C306" t="s">
        <v>1400</v>
      </c>
      <c r="D306" s="29">
        <f t="shared" si="188"/>
        <v>385.3</v>
      </c>
    </row>
    <row r="307" spans="1:4">
      <c r="A307" s="23" t="s">
        <v>562</v>
      </c>
      <c r="B307" t="s">
        <v>545</v>
      </c>
      <c r="C307" t="s">
        <v>604</v>
      </c>
      <c r="D307" s="29">
        <f t="shared" si="188"/>
        <v>0</v>
      </c>
    </row>
    <row r="309" spans="1:4">
      <c r="A309" s="23" t="s">
        <v>544</v>
      </c>
      <c r="B309" t="s">
        <v>545</v>
      </c>
      <c r="C309" t="s">
        <v>1005</v>
      </c>
      <c r="D309" s="29">
        <f t="shared" ref="D309" si="189">VALUE(LEFT(C309,LEN(C309)-2))</f>
        <v>23.2</v>
      </c>
    </row>
    <row r="310" spans="1:4">
      <c r="A310" s="23" t="s">
        <v>547</v>
      </c>
      <c r="B310" t="s">
        <v>545</v>
      </c>
      <c r="C310" s="24">
        <v>0.7</v>
      </c>
      <c r="D310" s="27">
        <f t="shared" ref="D310" si="190">VALUE(C310*100)</f>
        <v>70</v>
      </c>
    </row>
    <row r="311" spans="1:4">
      <c r="A311" s="23" t="s">
        <v>548</v>
      </c>
      <c r="B311" t="s">
        <v>545</v>
      </c>
      <c r="C311" t="s">
        <v>894</v>
      </c>
      <c r="D311" s="29">
        <f t="shared" ref="D311" si="191">VALUE(LEFT(C311,LEN(C311)-2))</f>
        <v>16.8</v>
      </c>
    </row>
    <row r="312" spans="1:4">
      <c r="A312" s="23" t="s">
        <v>550</v>
      </c>
      <c r="B312" t="s">
        <v>545</v>
      </c>
      <c r="C312" t="s">
        <v>1381</v>
      </c>
      <c r="D312" s="28">
        <f t="shared" ref="D312" si="192">VALUE(LEFT(C312,LEN(C312)-4))</f>
        <v>1013.9</v>
      </c>
    </row>
    <row r="313" spans="1:4">
      <c r="A313" s="23" t="s">
        <v>552</v>
      </c>
      <c r="B313" t="s">
        <v>545</v>
      </c>
      <c r="C313" t="s">
        <v>817</v>
      </c>
      <c r="D313" s="29">
        <f t="shared" ref="D313:D314" si="193">VALUE(LEFT(C313,LEN(C313)-FIND("km/h",C313)+1)/3.6)</f>
        <v>1.3611111111111112</v>
      </c>
    </row>
    <row r="314" spans="1:4">
      <c r="A314" s="23" t="s">
        <v>554</v>
      </c>
      <c r="B314" t="s">
        <v>545</v>
      </c>
      <c r="C314" t="s">
        <v>1134</v>
      </c>
      <c r="D314" s="29">
        <f t="shared" si="193"/>
        <v>2</v>
      </c>
    </row>
    <row r="315" spans="1:4">
      <c r="A315" s="23" t="s">
        <v>556</v>
      </c>
      <c r="B315" t="s">
        <v>545</v>
      </c>
      <c r="C315" t="s">
        <v>822</v>
      </c>
      <c r="D315" s="26">
        <f t="shared" ref="D315" si="194">VALUE(LEFT(C315,LEN(C315)-7))</f>
        <v>303</v>
      </c>
    </row>
    <row r="316" spans="1:4">
      <c r="A316" s="23" t="s">
        <v>558</v>
      </c>
      <c r="B316" t="s">
        <v>545</v>
      </c>
      <c r="C316" t="s">
        <v>604</v>
      </c>
      <c r="D316" s="29">
        <f t="shared" ref="D316:D318" si="195">VALUE(LEFT(C316,LEN(C316)-3))</f>
        <v>0</v>
      </c>
    </row>
    <row r="317" spans="1:4">
      <c r="A317" s="23" t="s">
        <v>560</v>
      </c>
      <c r="B317" t="s">
        <v>545</v>
      </c>
      <c r="C317" t="s">
        <v>1400</v>
      </c>
      <c r="D317" s="29">
        <f t="shared" si="195"/>
        <v>385.3</v>
      </c>
    </row>
    <row r="318" spans="1:4">
      <c r="A318" s="23" t="s">
        <v>562</v>
      </c>
      <c r="B318" t="s">
        <v>545</v>
      </c>
      <c r="C318" t="s">
        <v>604</v>
      </c>
      <c r="D318" s="29">
        <f t="shared" si="195"/>
        <v>0</v>
      </c>
    </row>
    <row r="320" spans="1:4">
      <c r="A320" s="23" t="s">
        <v>544</v>
      </c>
      <c r="B320" t="s">
        <v>545</v>
      </c>
      <c r="C320" t="s">
        <v>1410</v>
      </c>
      <c r="D320" s="29">
        <f t="shared" ref="D320" si="196">VALUE(LEFT(C320,LEN(C320)-2))</f>
        <v>23.7</v>
      </c>
    </row>
    <row r="321" spans="1:4">
      <c r="A321" s="23" t="s">
        <v>547</v>
      </c>
      <c r="B321" t="s">
        <v>545</v>
      </c>
      <c r="C321" s="24">
        <v>0.7</v>
      </c>
      <c r="D321" s="27">
        <f t="shared" ref="D321" si="197">VALUE(C321*100)</f>
        <v>70</v>
      </c>
    </row>
    <row r="322" spans="1:4">
      <c r="A322" s="23" t="s">
        <v>548</v>
      </c>
      <c r="B322" t="s">
        <v>545</v>
      </c>
      <c r="C322" t="s">
        <v>867</v>
      </c>
      <c r="D322" s="29">
        <f t="shared" ref="D322" si="198">VALUE(LEFT(C322,LEN(C322)-2))</f>
        <v>16.899999999999999</v>
      </c>
    </row>
    <row r="323" spans="1:4">
      <c r="A323" s="23" t="s">
        <v>550</v>
      </c>
      <c r="B323" t="s">
        <v>545</v>
      </c>
      <c r="C323" t="s">
        <v>1378</v>
      </c>
      <c r="D323" s="28">
        <f t="shared" ref="D323" si="199">VALUE(LEFT(C323,LEN(C323)-4))</f>
        <v>1014.5</v>
      </c>
    </row>
    <row r="324" spans="1:4">
      <c r="A324" s="23" t="s">
        <v>552</v>
      </c>
      <c r="B324" t="s">
        <v>545</v>
      </c>
      <c r="C324" t="s">
        <v>800</v>
      </c>
      <c r="D324" s="29">
        <f t="shared" ref="D324:D325" si="200">VALUE(LEFT(C324,LEN(C324)-FIND("km/h",C324)+1)/3.6)</f>
        <v>1.0555555555555556</v>
      </c>
    </row>
    <row r="325" spans="1:4">
      <c r="A325" s="23" t="s">
        <v>554</v>
      </c>
      <c r="B325" t="s">
        <v>545</v>
      </c>
      <c r="C325" t="s">
        <v>646</v>
      </c>
      <c r="D325" s="29">
        <f t="shared" si="200"/>
        <v>1.5833333333333333</v>
      </c>
    </row>
    <row r="326" spans="1:4">
      <c r="A326" s="23" t="s">
        <v>556</v>
      </c>
      <c r="B326" t="s">
        <v>545</v>
      </c>
      <c r="C326" t="s">
        <v>1330</v>
      </c>
      <c r="D326" s="26">
        <f t="shared" ref="D326" si="201">VALUE(LEFT(C326,LEN(C326)-7))</f>
        <v>296</v>
      </c>
    </row>
    <row r="327" spans="1:4">
      <c r="A327" s="23" t="s">
        <v>558</v>
      </c>
      <c r="B327" t="s">
        <v>545</v>
      </c>
      <c r="C327" t="s">
        <v>604</v>
      </c>
      <c r="D327" s="29">
        <f t="shared" ref="D327:D329" si="202">VALUE(LEFT(C327,LEN(C327)-3))</f>
        <v>0</v>
      </c>
    </row>
    <row r="328" spans="1:4">
      <c r="A328" s="23" t="s">
        <v>560</v>
      </c>
      <c r="B328" t="s">
        <v>545</v>
      </c>
      <c r="C328" t="s">
        <v>1400</v>
      </c>
      <c r="D328" s="29">
        <f t="shared" si="202"/>
        <v>385.3</v>
      </c>
    </row>
    <row r="329" spans="1:4">
      <c r="A329" s="23" t="s">
        <v>562</v>
      </c>
      <c r="B329" t="s">
        <v>545</v>
      </c>
      <c r="C329" t="s">
        <v>604</v>
      </c>
      <c r="D329" s="29">
        <f t="shared" si="202"/>
        <v>0</v>
      </c>
    </row>
    <row r="331" spans="1:4">
      <c r="A331" s="23" t="s">
        <v>544</v>
      </c>
      <c r="B331" t="s">
        <v>545</v>
      </c>
      <c r="C331" t="s">
        <v>1411</v>
      </c>
      <c r="D331" s="29">
        <f t="shared" ref="D331" si="203">VALUE(LEFT(C331,LEN(C331)-2))</f>
        <v>22.2</v>
      </c>
    </row>
    <row r="332" spans="1:4">
      <c r="A332" s="23" t="s">
        <v>547</v>
      </c>
      <c r="B332" t="s">
        <v>545</v>
      </c>
      <c r="C332" s="24">
        <v>0.77</v>
      </c>
      <c r="D332" s="27">
        <f t="shared" ref="D332" si="204">VALUE(C332*100)</f>
        <v>77</v>
      </c>
    </row>
    <row r="333" spans="1:4">
      <c r="A333" s="23" t="s">
        <v>548</v>
      </c>
      <c r="B333" t="s">
        <v>545</v>
      </c>
      <c r="C333" t="s">
        <v>1412</v>
      </c>
      <c r="D333" s="29">
        <f t="shared" ref="D333" si="205">VALUE(LEFT(C333,LEN(C333)-2))</f>
        <v>17.5</v>
      </c>
    </row>
    <row r="334" spans="1:4">
      <c r="A334" s="23" t="s">
        <v>550</v>
      </c>
      <c r="B334" t="s">
        <v>545</v>
      </c>
      <c r="C334" t="s">
        <v>993</v>
      </c>
      <c r="D334" s="28">
        <f t="shared" ref="D334" si="206">VALUE(LEFT(C334,LEN(C334)-4))</f>
        <v>1016.3</v>
      </c>
    </row>
    <row r="335" spans="1:4">
      <c r="A335" s="23" t="s">
        <v>552</v>
      </c>
      <c r="B335" t="s">
        <v>545</v>
      </c>
      <c r="C335" t="s">
        <v>629</v>
      </c>
      <c r="D335" s="29">
        <f t="shared" ref="D335:D336" si="207">VALUE(LEFT(C335,LEN(C335)-FIND("km/h",C335)+1)/3.6)</f>
        <v>1.0833333333333333</v>
      </c>
    </row>
    <row r="336" spans="1:4">
      <c r="A336" s="23" t="s">
        <v>554</v>
      </c>
      <c r="B336" t="s">
        <v>545</v>
      </c>
      <c r="C336" t="s">
        <v>789</v>
      </c>
      <c r="D336" s="29">
        <f t="shared" si="207"/>
        <v>1.8055555555555556</v>
      </c>
    </row>
    <row r="337" spans="1:4">
      <c r="A337" s="23" t="s">
        <v>556</v>
      </c>
      <c r="B337" t="s">
        <v>545</v>
      </c>
      <c r="C337" t="s">
        <v>822</v>
      </c>
      <c r="D337" s="26">
        <f t="shared" ref="D337" si="208">VALUE(LEFT(C337,LEN(C337)-7))</f>
        <v>303</v>
      </c>
    </row>
    <row r="338" spans="1:4">
      <c r="A338" s="23" t="s">
        <v>558</v>
      </c>
      <c r="B338" t="s">
        <v>545</v>
      </c>
      <c r="C338" t="s">
        <v>604</v>
      </c>
      <c r="D338" s="29">
        <f t="shared" ref="D338:D340" si="209">VALUE(LEFT(C338,LEN(C338)-3))</f>
        <v>0</v>
      </c>
    </row>
    <row r="339" spans="1:4">
      <c r="A339" s="23" t="s">
        <v>560</v>
      </c>
      <c r="B339" t="s">
        <v>545</v>
      </c>
      <c r="C339" t="s">
        <v>1400</v>
      </c>
      <c r="D339" s="29">
        <f t="shared" si="209"/>
        <v>385.3</v>
      </c>
    </row>
    <row r="340" spans="1:4">
      <c r="A340" s="23" t="s">
        <v>562</v>
      </c>
      <c r="B340" t="s">
        <v>545</v>
      </c>
      <c r="C340" t="s">
        <v>604</v>
      </c>
      <c r="D340" s="29">
        <f t="shared" si="209"/>
        <v>0</v>
      </c>
    </row>
    <row r="342" spans="1:4">
      <c r="A342" s="23" t="s">
        <v>544</v>
      </c>
      <c r="B342" t="s">
        <v>545</v>
      </c>
      <c r="C342" t="s">
        <v>920</v>
      </c>
      <c r="D342" s="29">
        <f t="shared" ref="D342" si="210">VALUE(LEFT(C342,LEN(C342)-2))</f>
        <v>19.600000000000001</v>
      </c>
    </row>
    <row r="343" spans="1:4">
      <c r="A343" s="23" t="s">
        <v>547</v>
      </c>
      <c r="B343" t="s">
        <v>545</v>
      </c>
      <c r="C343" s="24">
        <v>0.84</v>
      </c>
      <c r="D343" s="27">
        <f t="shared" ref="D343" si="211">VALUE(C343*100)</f>
        <v>84</v>
      </c>
    </row>
    <row r="344" spans="1:4">
      <c r="A344" s="23" t="s">
        <v>548</v>
      </c>
      <c r="B344" t="s">
        <v>545</v>
      </c>
      <c r="C344" t="s">
        <v>1328</v>
      </c>
      <c r="D344" s="29">
        <f t="shared" ref="D344" si="212">VALUE(LEFT(C344,LEN(C344)-2))</f>
        <v>16.600000000000001</v>
      </c>
    </row>
    <row r="345" spans="1:4">
      <c r="A345" s="23" t="s">
        <v>550</v>
      </c>
      <c r="B345" t="s">
        <v>545</v>
      </c>
      <c r="C345" t="s">
        <v>591</v>
      </c>
      <c r="D345" s="28">
        <f t="shared" ref="D345" si="213">VALUE(LEFT(C345,LEN(C345)-4))</f>
        <v>1018.7</v>
      </c>
    </row>
    <row r="346" spans="1:4">
      <c r="A346" s="23" t="s">
        <v>552</v>
      </c>
      <c r="B346" t="s">
        <v>545</v>
      </c>
      <c r="C346" t="s">
        <v>868</v>
      </c>
      <c r="D346" s="29">
        <f t="shared" ref="D346:D347" si="214">VALUE(LEFT(C346,LEN(C346)-FIND("km/h",C346)+1)/3.6)</f>
        <v>2.5</v>
      </c>
    </row>
    <row r="347" spans="1:4">
      <c r="A347" s="23" t="s">
        <v>554</v>
      </c>
      <c r="B347" t="s">
        <v>545</v>
      </c>
      <c r="C347" t="s">
        <v>1115</v>
      </c>
      <c r="D347" s="29">
        <f t="shared" si="214"/>
        <v>3.5833333333333335</v>
      </c>
    </row>
    <row r="348" spans="1:4">
      <c r="A348" s="23" t="s">
        <v>556</v>
      </c>
      <c r="B348" t="s">
        <v>545</v>
      </c>
      <c r="C348" t="s">
        <v>892</v>
      </c>
      <c r="D348" s="26">
        <f t="shared" ref="D348" si="215">VALUE(LEFT(C348,LEN(C348)-7))</f>
        <v>321</v>
      </c>
    </row>
    <row r="349" spans="1:4">
      <c r="A349" s="23" t="s">
        <v>558</v>
      </c>
      <c r="B349" t="s">
        <v>545</v>
      </c>
      <c r="C349" t="s">
        <v>604</v>
      </c>
      <c r="D349" s="29">
        <f t="shared" ref="D349:D351" si="216">VALUE(LEFT(C349,LEN(C349)-3))</f>
        <v>0</v>
      </c>
    </row>
    <row r="350" spans="1:4">
      <c r="A350" s="23" t="s">
        <v>560</v>
      </c>
      <c r="B350" t="s">
        <v>545</v>
      </c>
      <c r="C350" t="s">
        <v>1400</v>
      </c>
      <c r="D350" s="29">
        <f t="shared" si="216"/>
        <v>385.3</v>
      </c>
    </row>
    <row r="351" spans="1:4">
      <c r="A351" s="23" t="s">
        <v>562</v>
      </c>
      <c r="B351" t="s">
        <v>545</v>
      </c>
      <c r="C351" t="s">
        <v>604</v>
      </c>
      <c r="D351" s="29">
        <f t="shared" si="216"/>
        <v>0</v>
      </c>
    </row>
    <row r="353" spans="1:4">
      <c r="A353" s="23" t="s">
        <v>544</v>
      </c>
      <c r="B353" t="s">
        <v>545</v>
      </c>
      <c r="C353" t="s">
        <v>1380</v>
      </c>
      <c r="D353" s="29">
        <f t="shared" ref="D353" si="217">VALUE(LEFT(C353,LEN(C353)-2))</f>
        <v>21.2</v>
      </c>
    </row>
    <row r="354" spans="1:4">
      <c r="A354" s="23" t="s">
        <v>547</v>
      </c>
      <c r="B354" t="s">
        <v>545</v>
      </c>
      <c r="C354" s="24">
        <v>0.77</v>
      </c>
      <c r="D354" s="27">
        <f t="shared" ref="D354" si="218">VALUE(C354*100)</f>
        <v>77</v>
      </c>
    </row>
    <row r="355" spans="1:4">
      <c r="A355" s="23" t="s">
        <v>548</v>
      </c>
      <c r="B355" t="s">
        <v>545</v>
      </c>
      <c r="C355" t="s">
        <v>1328</v>
      </c>
      <c r="D355" s="29">
        <f t="shared" ref="D355" si="219">VALUE(LEFT(C355,LEN(C355)-2))</f>
        <v>16.600000000000001</v>
      </c>
    </row>
    <row r="356" spans="1:4">
      <c r="A356" s="23" t="s">
        <v>550</v>
      </c>
      <c r="B356" t="s">
        <v>545</v>
      </c>
      <c r="C356" t="s">
        <v>784</v>
      </c>
      <c r="D356" s="28">
        <f t="shared" ref="D356" si="220">VALUE(LEFT(C356,LEN(C356)-4))</f>
        <v>1017.5</v>
      </c>
    </row>
    <row r="357" spans="1:4">
      <c r="A357" s="23" t="s">
        <v>552</v>
      </c>
      <c r="B357" t="s">
        <v>545</v>
      </c>
      <c r="C357" t="s">
        <v>868</v>
      </c>
      <c r="D357" s="29">
        <f t="shared" ref="D357:D358" si="221">VALUE(LEFT(C357,LEN(C357)-FIND("km/h",C357)+1)/3.6)</f>
        <v>2.5</v>
      </c>
    </row>
    <row r="358" spans="1:4">
      <c r="A358" s="23" t="s">
        <v>554</v>
      </c>
      <c r="B358" t="s">
        <v>545</v>
      </c>
      <c r="C358" t="s">
        <v>1115</v>
      </c>
      <c r="D358" s="29">
        <f t="shared" si="221"/>
        <v>3.5833333333333335</v>
      </c>
    </row>
    <row r="359" spans="1:4">
      <c r="A359" s="23" t="s">
        <v>556</v>
      </c>
      <c r="B359" t="s">
        <v>545</v>
      </c>
      <c r="C359" t="s">
        <v>1002</v>
      </c>
      <c r="D359" s="26">
        <f t="shared" ref="D359" si="222">VALUE(LEFT(C359,LEN(C359)-7))</f>
        <v>317</v>
      </c>
    </row>
    <row r="360" spans="1:4">
      <c r="A360" s="23" t="s">
        <v>558</v>
      </c>
      <c r="B360" t="s">
        <v>545</v>
      </c>
      <c r="C360" t="s">
        <v>604</v>
      </c>
      <c r="D360" s="29">
        <f t="shared" ref="D360:D362" si="223">VALUE(LEFT(C360,LEN(C360)-3))</f>
        <v>0</v>
      </c>
    </row>
    <row r="361" spans="1:4">
      <c r="A361" s="23" t="s">
        <v>560</v>
      </c>
      <c r="B361" t="s">
        <v>545</v>
      </c>
      <c r="C361" t="s">
        <v>1400</v>
      </c>
      <c r="D361" s="29">
        <f t="shared" si="223"/>
        <v>385.3</v>
      </c>
    </row>
    <row r="362" spans="1:4">
      <c r="A362" s="23" t="s">
        <v>562</v>
      </c>
      <c r="B362" t="s">
        <v>545</v>
      </c>
      <c r="C362" t="s">
        <v>604</v>
      </c>
      <c r="D362" s="29">
        <f t="shared" si="223"/>
        <v>0</v>
      </c>
    </row>
    <row r="364" spans="1:4">
      <c r="A364" s="23" t="s">
        <v>544</v>
      </c>
      <c r="B364" t="s">
        <v>545</v>
      </c>
      <c r="C364" t="s">
        <v>1405</v>
      </c>
      <c r="D364" s="29">
        <f t="shared" ref="D364" si="224">VALUE(LEFT(C364,LEN(C364)-2))</f>
        <v>20.6</v>
      </c>
    </row>
    <row r="365" spans="1:4">
      <c r="A365" s="23" t="s">
        <v>547</v>
      </c>
      <c r="B365" t="s">
        <v>545</v>
      </c>
      <c r="C365" s="24">
        <v>0.81</v>
      </c>
      <c r="D365" s="27">
        <f t="shared" ref="D365" si="225">VALUE(C365*100)</f>
        <v>81</v>
      </c>
    </row>
    <row r="366" spans="1:4">
      <c r="A366" s="23" t="s">
        <v>548</v>
      </c>
      <c r="B366" t="s">
        <v>545</v>
      </c>
      <c r="C366" t="s">
        <v>1328</v>
      </c>
      <c r="D366" s="29">
        <f t="shared" ref="D366" si="226">VALUE(LEFT(C366,LEN(C366)-2))</f>
        <v>16.600000000000001</v>
      </c>
    </row>
    <row r="367" spans="1:4">
      <c r="A367" s="23" t="s">
        <v>550</v>
      </c>
      <c r="B367" t="s">
        <v>545</v>
      </c>
      <c r="C367" t="s">
        <v>877</v>
      </c>
      <c r="D367" s="28">
        <f t="shared" ref="D367" si="227">VALUE(LEFT(C367,LEN(C367)-4))</f>
        <v>1016.4</v>
      </c>
    </row>
    <row r="368" spans="1:4">
      <c r="A368" s="23" t="s">
        <v>552</v>
      </c>
      <c r="B368" t="s">
        <v>545</v>
      </c>
      <c r="C368" t="s">
        <v>848</v>
      </c>
      <c r="D368" s="29">
        <f t="shared" ref="D368:D369" si="228">VALUE(LEFT(C368,LEN(C368)-FIND("km/h",C368)+1)/3.6)</f>
        <v>1.8888888888888888</v>
      </c>
    </row>
    <row r="369" spans="1:4">
      <c r="A369" s="23" t="s">
        <v>554</v>
      </c>
      <c r="B369" t="s">
        <v>545</v>
      </c>
      <c r="C369" t="s">
        <v>585</v>
      </c>
      <c r="D369" s="29">
        <f t="shared" si="228"/>
        <v>2.8888888888888888</v>
      </c>
    </row>
    <row r="370" spans="1:4">
      <c r="A370" s="23" t="s">
        <v>556</v>
      </c>
      <c r="B370" t="s">
        <v>545</v>
      </c>
      <c r="C370" t="s">
        <v>890</v>
      </c>
      <c r="D370" s="26">
        <f t="shared" ref="D370" si="229">VALUE(LEFT(C370,LEN(C370)-7))</f>
        <v>312</v>
      </c>
    </row>
    <row r="371" spans="1:4">
      <c r="A371" s="23" t="s">
        <v>558</v>
      </c>
      <c r="B371" t="s">
        <v>545</v>
      </c>
      <c r="C371" t="s">
        <v>604</v>
      </c>
      <c r="D371" s="29">
        <f t="shared" ref="D371:D373" si="230">VALUE(LEFT(C371,LEN(C371)-3))</f>
        <v>0</v>
      </c>
    </row>
    <row r="372" spans="1:4">
      <c r="A372" s="23" t="s">
        <v>560</v>
      </c>
      <c r="B372" t="s">
        <v>545</v>
      </c>
      <c r="C372" t="s">
        <v>1400</v>
      </c>
      <c r="D372" s="29">
        <f t="shared" si="230"/>
        <v>385.3</v>
      </c>
    </row>
    <row r="373" spans="1:4">
      <c r="A373" s="23" t="s">
        <v>562</v>
      </c>
      <c r="B373" t="s">
        <v>545</v>
      </c>
      <c r="C373" t="s">
        <v>604</v>
      </c>
      <c r="D373" s="29">
        <f t="shared" si="230"/>
        <v>0</v>
      </c>
    </row>
    <row r="375" spans="1:4">
      <c r="A375" s="23" t="s">
        <v>544</v>
      </c>
      <c r="B375" t="s">
        <v>545</v>
      </c>
      <c r="C375" t="s">
        <v>1411</v>
      </c>
      <c r="D375" s="29">
        <f t="shared" ref="D375" si="231">VALUE(LEFT(C375,LEN(C375)-2))</f>
        <v>22.2</v>
      </c>
    </row>
    <row r="376" spans="1:4">
      <c r="A376" s="23" t="s">
        <v>547</v>
      </c>
      <c r="B376" t="s">
        <v>545</v>
      </c>
      <c r="C376" s="24">
        <v>0.72</v>
      </c>
      <c r="D376" s="27">
        <f t="shared" ref="D376" si="232">VALUE(C376*100)</f>
        <v>72</v>
      </c>
    </row>
    <row r="377" spans="1:4">
      <c r="A377" s="23" t="s">
        <v>548</v>
      </c>
      <c r="B377" t="s">
        <v>545</v>
      </c>
      <c r="C377" t="s">
        <v>813</v>
      </c>
      <c r="D377" s="29">
        <f t="shared" ref="D377" si="233">VALUE(LEFT(C377,LEN(C377)-2))</f>
        <v>16.100000000000001</v>
      </c>
    </row>
    <row r="378" spans="1:4">
      <c r="A378" s="23" t="s">
        <v>550</v>
      </c>
      <c r="B378" t="s">
        <v>545</v>
      </c>
      <c r="C378" t="s">
        <v>1041</v>
      </c>
      <c r="D378" s="28">
        <f t="shared" ref="D378" si="234">VALUE(LEFT(C378,LEN(C378)-4))</f>
        <v>1017.1</v>
      </c>
    </row>
    <row r="379" spans="1:4">
      <c r="A379" s="23" t="s">
        <v>552</v>
      </c>
      <c r="B379" t="s">
        <v>545</v>
      </c>
      <c r="C379" t="s">
        <v>602</v>
      </c>
      <c r="D379" s="29">
        <f t="shared" ref="D379:D380" si="235">VALUE(LEFT(C379,LEN(C379)-FIND("km/h",C379)+1)/3.6)</f>
        <v>1.4444444444444444</v>
      </c>
    </row>
    <row r="380" spans="1:4">
      <c r="A380" s="23" t="s">
        <v>554</v>
      </c>
      <c r="B380" t="s">
        <v>545</v>
      </c>
      <c r="C380" t="s">
        <v>843</v>
      </c>
      <c r="D380" s="29">
        <f t="shared" si="235"/>
        <v>2.3055555555555558</v>
      </c>
    </row>
    <row r="381" spans="1:4">
      <c r="A381" s="23" t="s">
        <v>556</v>
      </c>
      <c r="B381" t="s">
        <v>545</v>
      </c>
      <c r="C381" t="s">
        <v>666</v>
      </c>
      <c r="D381" s="26">
        <f t="shared" ref="D381" si="236">VALUE(LEFT(C381,LEN(C381)-7))</f>
        <v>300</v>
      </c>
    </row>
    <row r="382" spans="1:4">
      <c r="A382" s="23" t="s">
        <v>558</v>
      </c>
      <c r="B382" t="s">
        <v>545</v>
      </c>
      <c r="C382" t="s">
        <v>604</v>
      </c>
      <c r="D382" s="29">
        <f t="shared" ref="D382:D384" si="237">VALUE(LEFT(C382,LEN(C382)-3))</f>
        <v>0</v>
      </c>
    </row>
    <row r="383" spans="1:4">
      <c r="A383" s="23" t="s">
        <v>560</v>
      </c>
      <c r="B383" t="s">
        <v>545</v>
      </c>
      <c r="C383" t="s">
        <v>1400</v>
      </c>
      <c r="D383" s="29">
        <f t="shared" si="237"/>
        <v>385.3</v>
      </c>
    </row>
    <row r="384" spans="1:4">
      <c r="A384" s="23" t="s">
        <v>562</v>
      </c>
      <c r="B384" t="s">
        <v>545</v>
      </c>
      <c r="C384" t="s">
        <v>604</v>
      </c>
      <c r="D384" s="29">
        <f t="shared" si="237"/>
        <v>0</v>
      </c>
    </row>
    <row r="386" spans="1:4">
      <c r="A386" s="23" t="s">
        <v>544</v>
      </c>
      <c r="B386" t="s">
        <v>545</v>
      </c>
      <c r="C386" t="s">
        <v>1413</v>
      </c>
      <c r="D386" s="29">
        <f t="shared" ref="D386" si="238">VALUE(LEFT(C386,LEN(C386)-2))</f>
        <v>23.4</v>
      </c>
    </row>
    <row r="387" spans="1:4">
      <c r="A387" s="23" t="s">
        <v>547</v>
      </c>
      <c r="B387" t="s">
        <v>545</v>
      </c>
      <c r="C387" s="24">
        <v>0.62</v>
      </c>
      <c r="D387" s="27">
        <f t="shared" ref="D387" si="239">VALUE(C387*100)</f>
        <v>62</v>
      </c>
    </row>
    <row r="388" spans="1:4">
      <c r="A388" s="23" t="s">
        <v>548</v>
      </c>
      <c r="B388" t="s">
        <v>545</v>
      </c>
      <c r="C388" t="s">
        <v>956</v>
      </c>
      <c r="D388" s="29">
        <f t="shared" ref="D388" si="240">VALUE(LEFT(C388,LEN(C388)-2))</f>
        <v>14</v>
      </c>
    </row>
    <row r="389" spans="1:4">
      <c r="A389" s="23" t="s">
        <v>550</v>
      </c>
      <c r="B389" t="s">
        <v>545</v>
      </c>
      <c r="C389" t="s">
        <v>1385</v>
      </c>
      <c r="D389" s="28">
        <f t="shared" ref="D389" si="241">VALUE(LEFT(C389,LEN(C389)-4))</f>
        <v>1015.8</v>
      </c>
    </row>
    <row r="390" spans="1:4">
      <c r="A390" s="23" t="s">
        <v>552</v>
      </c>
      <c r="B390" t="s">
        <v>545</v>
      </c>
      <c r="C390" t="s">
        <v>1008</v>
      </c>
      <c r="D390" s="29">
        <f t="shared" ref="D390:D391" si="242">VALUE(LEFT(C390,LEN(C390)-FIND("km/h",C390)+1)/3.6)</f>
        <v>1.0277777777777779</v>
      </c>
    </row>
    <row r="391" spans="1:4">
      <c r="A391" s="23" t="s">
        <v>554</v>
      </c>
      <c r="B391" t="s">
        <v>545</v>
      </c>
      <c r="C391" t="s">
        <v>669</v>
      </c>
      <c r="D391" s="29">
        <f t="shared" si="242"/>
        <v>1.4722222222222221</v>
      </c>
    </row>
    <row r="392" spans="1:4">
      <c r="A392" s="23" t="s">
        <v>556</v>
      </c>
      <c r="B392" t="s">
        <v>545</v>
      </c>
      <c r="C392" t="s">
        <v>1330</v>
      </c>
      <c r="D392" s="26">
        <f t="shared" ref="D392" si="243">VALUE(LEFT(C392,LEN(C392)-7))</f>
        <v>296</v>
      </c>
    </row>
    <row r="393" spans="1:4">
      <c r="A393" s="23" t="s">
        <v>558</v>
      </c>
      <c r="B393" t="s">
        <v>545</v>
      </c>
      <c r="C393" t="s">
        <v>604</v>
      </c>
      <c r="D393" s="29">
        <f t="shared" ref="D393:D395" si="244">VALUE(LEFT(C393,LEN(C393)-3))</f>
        <v>0</v>
      </c>
    </row>
    <row r="394" spans="1:4">
      <c r="A394" s="23" t="s">
        <v>560</v>
      </c>
      <c r="B394" t="s">
        <v>545</v>
      </c>
      <c r="C394" t="s">
        <v>1400</v>
      </c>
      <c r="D394" s="29">
        <f t="shared" si="244"/>
        <v>385.3</v>
      </c>
    </row>
    <row r="395" spans="1:4">
      <c r="A395" s="23" t="s">
        <v>562</v>
      </c>
      <c r="B395" t="s">
        <v>545</v>
      </c>
      <c r="C395" t="s">
        <v>604</v>
      </c>
      <c r="D395" s="29">
        <f t="shared" si="244"/>
        <v>0</v>
      </c>
    </row>
    <row r="397" spans="1:4">
      <c r="A397" s="23" t="s">
        <v>544</v>
      </c>
      <c r="B397" t="s">
        <v>545</v>
      </c>
      <c r="C397" t="s">
        <v>1414</v>
      </c>
      <c r="D397" s="29">
        <f t="shared" ref="D397" si="245">VALUE(LEFT(C397,LEN(C397)-2))</f>
        <v>21.4</v>
      </c>
    </row>
    <row r="398" spans="1:4">
      <c r="A398" s="23" t="s">
        <v>547</v>
      </c>
      <c r="B398" t="s">
        <v>545</v>
      </c>
      <c r="C398" s="24">
        <v>0.71</v>
      </c>
      <c r="D398" s="27">
        <f t="shared" ref="D398" si="246">VALUE(C398*100)</f>
        <v>71</v>
      </c>
    </row>
    <row r="399" spans="1:4">
      <c r="A399" s="23" t="s">
        <v>548</v>
      </c>
      <c r="B399" t="s">
        <v>545</v>
      </c>
      <c r="C399" t="s">
        <v>1006</v>
      </c>
      <c r="D399" s="29">
        <f t="shared" ref="D399" si="247">VALUE(LEFT(C399,LEN(C399)-2))</f>
        <v>15.2</v>
      </c>
    </row>
    <row r="400" spans="1:4">
      <c r="A400" s="23" t="s">
        <v>550</v>
      </c>
      <c r="B400" t="s">
        <v>545</v>
      </c>
      <c r="C400" t="s">
        <v>664</v>
      </c>
      <c r="D400" s="28">
        <f t="shared" ref="D400" si="248">VALUE(LEFT(C400,LEN(C400)-4))</f>
        <v>1016.9</v>
      </c>
    </row>
    <row r="401" spans="1:4">
      <c r="A401" s="23" t="s">
        <v>552</v>
      </c>
      <c r="B401" t="s">
        <v>545</v>
      </c>
      <c r="C401" t="s">
        <v>1167</v>
      </c>
      <c r="D401" s="29">
        <f t="shared" ref="D401:D402" si="249">VALUE(LEFT(C401,LEN(C401)-FIND("km/h",C401)+1)/3.6)</f>
        <v>1.25</v>
      </c>
    </row>
    <row r="402" spans="1:4">
      <c r="A402" s="23" t="s">
        <v>554</v>
      </c>
      <c r="B402" t="s">
        <v>545</v>
      </c>
      <c r="C402" t="s">
        <v>770</v>
      </c>
      <c r="D402" s="29">
        <f t="shared" si="249"/>
        <v>2.0277777777777777</v>
      </c>
    </row>
    <row r="403" spans="1:4">
      <c r="A403" s="23" t="s">
        <v>556</v>
      </c>
      <c r="B403" t="s">
        <v>545</v>
      </c>
      <c r="C403" t="s">
        <v>756</v>
      </c>
      <c r="D403" s="26">
        <f t="shared" ref="D403" si="250">VALUE(LEFT(C403,LEN(C403)-7))</f>
        <v>267</v>
      </c>
    </row>
    <row r="404" spans="1:4">
      <c r="A404" s="23" t="s">
        <v>558</v>
      </c>
      <c r="B404" t="s">
        <v>545</v>
      </c>
      <c r="C404" t="s">
        <v>604</v>
      </c>
      <c r="D404" s="29">
        <f t="shared" ref="D404:D406" si="251">VALUE(LEFT(C404,LEN(C404)-3))</f>
        <v>0</v>
      </c>
    </row>
    <row r="405" spans="1:4">
      <c r="A405" s="23" t="s">
        <v>560</v>
      </c>
      <c r="B405" t="s">
        <v>545</v>
      </c>
      <c r="C405" t="s">
        <v>1400</v>
      </c>
      <c r="D405" s="29">
        <f t="shared" si="251"/>
        <v>385.3</v>
      </c>
    </row>
    <row r="406" spans="1:4">
      <c r="A406" s="23" t="s">
        <v>562</v>
      </c>
      <c r="B406" t="s">
        <v>545</v>
      </c>
      <c r="C406" t="s">
        <v>604</v>
      </c>
      <c r="D406" s="29">
        <f t="shared" si="251"/>
        <v>0</v>
      </c>
    </row>
    <row r="408" spans="1:4">
      <c r="A408" s="23" t="s">
        <v>544</v>
      </c>
      <c r="B408" t="s">
        <v>545</v>
      </c>
      <c r="C408" t="s">
        <v>1396</v>
      </c>
      <c r="D408" s="29">
        <f t="shared" ref="D408" si="252">VALUE(LEFT(C408,LEN(C408)-2))</f>
        <v>21.3</v>
      </c>
    </row>
    <row r="409" spans="1:4">
      <c r="A409" s="23" t="s">
        <v>547</v>
      </c>
      <c r="B409" t="s">
        <v>545</v>
      </c>
      <c r="C409" s="24">
        <v>0.69</v>
      </c>
      <c r="D409" s="27">
        <f t="shared" ref="D409" si="253">VALUE(C409*100)</f>
        <v>69</v>
      </c>
    </row>
    <row r="410" spans="1:4">
      <c r="A410" s="23" t="s">
        <v>548</v>
      </c>
      <c r="B410" t="s">
        <v>545</v>
      </c>
      <c r="C410" t="s">
        <v>823</v>
      </c>
      <c r="D410" s="29">
        <f t="shared" ref="D410" si="254">VALUE(LEFT(C410,LEN(C410)-2))</f>
        <v>15</v>
      </c>
    </row>
    <row r="411" spans="1:4">
      <c r="A411" s="23" t="s">
        <v>550</v>
      </c>
      <c r="B411" t="s">
        <v>545</v>
      </c>
      <c r="C411" t="s">
        <v>814</v>
      </c>
      <c r="D411" s="28">
        <f t="shared" ref="D411" si="255">VALUE(LEFT(C411,LEN(C411)-4))</f>
        <v>1016.1</v>
      </c>
    </row>
    <row r="412" spans="1:4">
      <c r="A412" s="23" t="s">
        <v>552</v>
      </c>
      <c r="B412" t="s">
        <v>545</v>
      </c>
      <c r="C412" t="s">
        <v>747</v>
      </c>
      <c r="D412" s="29">
        <f t="shared" ref="D412:D413" si="256">VALUE(LEFT(C412,LEN(C412)-FIND("km/h",C412)+1)/3.6)</f>
        <v>2.0555555555555558</v>
      </c>
    </row>
    <row r="413" spans="1:4">
      <c r="A413" s="23" t="s">
        <v>554</v>
      </c>
      <c r="B413" t="s">
        <v>545</v>
      </c>
      <c r="C413" t="s">
        <v>698</v>
      </c>
      <c r="D413" s="29">
        <f t="shared" si="256"/>
        <v>3.0555555555555554</v>
      </c>
    </row>
    <row r="414" spans="1:4">
      <c r="A414" s="23" t="s">
        <v>556</v>
      </c>
      <c r="B414" t="s">
        <v>545</v>
      </c>
      <c r="C414" t="s">
        <v>647</v>
      </c>
      <c r="D414" s="26">
        <f t="shared" ref="D414" si="257">VALUE(LEFT(C414,LEN(C414)-7))</f>
        <v>328</v>
      </c>
    </row>
    <row r="415" spans="1:4">
      <c r="A415" s="23" t="s">
        <v>558</v>
      </c>
      <c r="B415" t="s">
        <v>545</v>
      </c>
      <c r="C415" t="s">
        <v>604</v>
      </c>
      <c r="D415" s="29">
        <f t="shared" ref="D415:D417" si="258">VALUE(LEFT(C415,LEN(C415)-3))</f>
        <v>0</v>
      </c>
    </row>
    <row r="416" spans="1:4">
      <c r="A416" s="23" t="s">
        <v>560</v>
      </c>
      <c r="B416" t="s">
        <v>545</v>
      </c>
      <c r="C416" t="s">
        <v>1400</v>
      </c>
      <c r="D416" s="29">
        <f t="shared" si="258"/>
        <v>385.3</v>
      </c>
    </row>
    <row r="417" spans="1:4">
      <c r="A417" s="23" t="s">
        <v>562</v>
      </c>
      <c r="B417" t="s">
        <v>545</v>
      </c>
      <c r="C417" t="s">
        <v>604</v>
      </c>
      <c r="D417" s="29">
        <f t="shared" si="258"/>
        <v>0</v>
      </c>
    </row>
    <row r="419" spans="1:4">
      <c r="A419" s="23" t="s">
        <v>544</v>
      </c>
      <c r="B419" t="s">
        <v>545</v>
      </c>
      <c r="C419" t="s">
        <v>1383</v>
      </c>
      <c r="D419" s="29">
        <f t="shared" ref="D419" si="259">VALUE(LEFT(C419,LEN(C419)-2))</f>
        <v>20.399999999999999</v>
      </c>
    </row>
    <row r="420" spans="1:4">
      <c r="A420" s="23" t="s">
        <v>547</v>
      </c>
      <c r="B420" t="s">
        <v>545</v>
      </c>
      <c r="C420" s="24">
        <v>0.75</v>
      </c>
      <c r="D420" s="27">
        <f t="shared" ref="D420" si="260">VALUE(C420*100)</f>
        <v>75</v>
      </c>
    </row>
    <row r="421" spans="1:4">
      <c r="A421" s="23" t="s">
        <v>548</v>
      </c>
      <c r="B421" t="s">
        <v>545</v>
      </c>
      <c r="C421" t="s">
        <v>1406</v>
      </c>
      <c r="D421" s="29">
        <f t="shared" ref="D421" si="261">VALUE(LEFT(C421,LEN(C421)-2))</f>
        <v>15.3</v>
      </c>
    </row>
    <row r="422" spans="1:4">
      <c r="A422" s="23" t="s">
        <v>550</v>
      </c>
      <c r="B422" t="s">
        <v>545</v>
      </c>
      <c r="C422" t="s">
        <v>814</v>
      </c>
      <c r="D422" s="28">
        <f t="shared" ref="D422" si="262">VALUE(LEFT(C422,LEN(C422)-4))</f>
        <v>1016.1</v>
      </c>
    </row>
    <row r="423" spans="1:4">
      <c r="A423" s="23" t="s">
        <v>552</v>
      </c>
      <c r="B423" t="s">
        <v>545</v>
      </c>
      <c r="C423" t="s">
        <v>1415</v>
      </c>
      <c r="D423" s="29">
        <f t="shared" ref="D423:D424" si="263">VALUE(LEFT(C423,LEN(C423)-FIND("km/h",C423)+1)/3.6)</f>
        <v>3.2499999999999996</v>
      </c>
    </row>
    <row r="424" spans="1:4">
      <c r="A424" s="23" t="s">
        <v>554</v>
      </c>
      <c r="B424" t="s">
        <v>545</v>
      </c>
      <c r="C424" t="s">
        <v>1071</v>
      </c>
      <c r="D424" s="29">
        <f t="shared" si="263"/>
        <v>4.5277777777777777</v>
      </c>
    </row>
    <row r="425" spans="1:4">
      <c r="A425" s="23" t="s">
        <v>556</v>
      </c>
      <c r="B425" t="s">
        <v>545</v>
      </c>
      <c r="C425" t="s">
        <v>866</v>
      </c>
      <c r="D425" s="26">
        <f t="shared" ref="D425" si="264">VALUE(LEFT(C425,LEN(C425)-7))</f>
        <v>325</v>
      </c>
    </row>
    <row r="426" spans="1:4">
      <c r="A426" s="23" t="s">
        <v>558</v>
      </c>
      <c r="B426" t="s">
        <v>545</v>
      </c>
      <c r="C426" t="s">
        <v>604</v>
      </c>
      <c r="D426" s="29">
        <f t="shared" ref="D426:D428" si="265">VALUE(LEFT(C426,LEN(C426)-3))</f>
        <v>0</v>
      </c>
    </row>
    <row r="427" spans="1:4">
      <c r="A427" s="23" t="s">
        <v>560</v>
      </c>
      <c r="B427" t="s">
        <v>545</v>
      </c>
      <c r="C427" t="s">
        <v>1400</v>
      </c>
      <c r="D427" s="29">
        <f t="shared" si="265"/>
        <v>385.3</v>
      </c>
    </row>
    <row r="428" spans="1:4">
      <c r="A428" s="23" t="s">
        <v>562</v>
      </c>
      <c r="B428" t="s">
        <v>545</v>
      </c>
      <c r="C428" t="s">
        <v>604</v>
      </c>
      <c r="D428" s="29">
        <f t="shared" si="265"/>
        <v>0</v>
      </c>
    </row>
    <row r="430" spans="1:4">
      <c r="A430" s="23" t="s">
        <v>544</v>
      </c>
      <c r="B430" t="s">
        <v>545</v>
      </c>
      <c r="C430" t="s">
        <v>1393</v>
      </c>
      <c r="D430" s="29">
        <f t="shared" ref="D430" si="266">VALUE(LEFT(C430,LEN(C430)-2))</f>
        <v>20.3</v>
      </c>
    </row>
    <row r="431" spans="1:4">
      <c r="A431" s="23" t="s">
        <v>547</v>
      </c>
      <c r="B431" t="s">
        <v>545</v>
      </c>
      <c r="C431" s="24">
        <v>0.73</v>
      </c>
      <c r="D431" s="27">
        <f t="shared" ref="D431" si="267">VALUE(C431*100)</f>
        <v>73</v>
      </c>
    </row>
    <row r="432" spans="1:4">
      <c r="A432" s="23" t="s">
        <v>548</v>
      </c>
      <c r="B432" t="s">
        <v>545</v>
      </c>
      <c r="C432" t="s">
        <v>819</v>
      </c>
      <c r="D432" s="29">
        <f t="shared" ref="D432" si="268">VALUE(LEFT(C432,LEN(C432)-2))</f>
        <v>14.7</v>
      </c>
    </row>
    <row r="433" spans="1:4">
      <c r="A433" s="23" t="s">
        <v>550</v>
      </c>
      <c r="B433" t="s">
        <v>545</v>
      </c>
      <c r="C433" t="s">
        <v>891</v>
      </c>
      <c r="D433" s="28">
        <f t="shared" ref="D433" si="269">VALUE(LEFT(C433,LEN(C433)-4))</f>
        <v>1014.7</v>
      </c>
    </row>
    <row r="434" spans="1:4">
      <c r="A434" s="23" t="s">
        <v>552</v>
      </c>
      <c r="B434" t="s">
        <v>545</v>
      </c>
      <c r="C434" t="s">
        <v>826</v>
      </c>
      <c r="D434" s="29">
        <f t="shared" ref="D434:D435" si="270">VALUE(LEFT(C434,LEN(C434)-FIND("km/h",C434)+1)/3.6)</f>
        <v>2.6944444444444442</v>
      </c>
    </row>
    <row r="435" spans="1:4">
      <c r="A435" s="23" t="s">
        <v>554</v>
      </c>
      <c r="B435" t="s">
        <v>545</v>
      </c>
      <c r="C435" t="s">
        <v>1416</v>
      </c>
      <c r="D435" s="29">
        <f t="shared" si="270"/>
        <v>3.8888888888888888</v>
      </c>
    </row>
    <row r="436" spans="1:4">
      <c r="A436" s="23" t="s">
        <v>556</v>
      </c>
      <c r="B436" t="s">
        <v>545</v>
      </c>
      <c r="C436" t="s">
        <v>890</v>
      </c>
      <c r="D436" s="26">
        <f t="shared" ref="D436" si="271">VALUE(LEFT(C436,LEN(C436)-7))</f>
        <v>312</v>
      </c>
    </row>
    <row r="437" spans="1:4">
      <c r="A437" s="23" t="s">
        <v>558</v>
      </c>
      <c r="B437" t="s">
        <v>545</v>
      </c>
      <c r="C437" t="s">
        <v>604</v>
      </c>
      <c r="D437" s="29">
        <f t="shared" ref="D437:D439" si="272">VALUE(LEFT(C437,LEN(C437)-3))</f>
        <v>0</v>
      </c>
    </row>
    <row r="438" spans="1:4">
      <c r="A438" s="23" t="s">
        <v>560</v>
      </c>
      <c r="B438" t="s">
        <v>545</v>
      </c>
      <c r="C438" t="s">
        <v>1400</v>
      </c>
      <c r="D438" s="29">
        <f t="shared" si="272"/>
        <v>385.3</v>
      </c>
    </row>
    <row r="439" spans="1:4">
      <c r="A439" s="23" t="s">
        <v>562</v>
      </c>
      <c r="B439" t="s">
        <v>545</v>
      </c>
      <c r="C439" t="s">
        <v>604</v>
      </c>
      <c r="D439" s="29">
        <f t="shared" si="272"/>
        <v>0</v>
      </c>
    </row>
    <row r="441" spans="1:4">
      <c r="A441" s="23" t="s">
        <v>544</v>
      </c>
      <c r="B441" t="s">
        <v>545</v>
      </c>
      <c r="C441" t="s">
        <v>1417</v>
      </c>
      <c r="D441" s="29">
        <f t="shared" ref="D441" si="273">VALUE(LEFT(C441,LEN(C441)-2))</f>
        <v>20</v>
      </c>
    </row>
    <row r="442" spans="1:4">
      <c r="A442" s="23" t="s">
        <v>547</v>
      </c>
      <c r="B442" t="s">
        <v>545</v>
      </c>
      <c r="C442" s="24">
        <v>0.66</v>
      </c>
      <c r="D442" s="27">
        <f t="shared" ref="D442" si="274">VALUE(C442*100)</f>
        <v>66</v>
      </c>
    </row>
    <row r="443" spans="1:4">
      <c r="A443" s="23" t="s">
        <v>548</v>
      </c>
      <c r="B443" t="s">
        <v>545</v>
      </c>
      <c r="C443" t="s">
        <v>565</v>
      </c>
      <c r="D443" s="29">
        <f t="shared" ref="D443" si="275">VALUE(LEFT(C443,LEN(C443)-2))</f>
        <v>12.4</v>
      </c>
    </row>
    <row r="444" spans="1:4">
      <c r="A444" s="23" t="s">
        <v>550</v>
      </c>
      <c r="B444" t="s">
        <v>545</v>
      </c>
      <c r="C444" t="s">
        <v>1418</v>
      </c>
      <c r="D444" s="28">
        <f t="shared" ref="D444" si="276">VALUE(LEFT(C444,LEN(C444)-4))</f>
        <v>1011</v>
      </c>
    </row>
    <row r="445" spans="1:4">
      <c r="A445" s="23" t="s">
        <v>552</v>
      </c>
      <c r="B445" t="s">
        <v>545</v>
      </c>
      <c r="C445" t="s">
        <v>646</v>
      </c>
      <c r="D445" s="29">
        <f t="shared" ref="D445:D446" si="277">VALUE(LEFT(C445,LEN(C445)-FIND("km/h",C445)+1)/3.6)</f>
        <v>1.5833333333333333</v>
      </c>
    </row>
    <row r="446" spans="1:4">
      <c r="A446" s="23" t="s">
        <v>554</v>
      </c>
      <c r="B446" t="s">
        <v>545</v>
      </c>
      <c r="C446" t="s">
        <v>1338</v>
      </c>
      <c r="D446" s="29">
        <f t="shared" si="277"/>
        <v>2.4444444444444446</v>
      </c>
    </row>
    <row r="447" spans="1:4">
      <c r="A447" s="23" t="s">
        <v>556</v>
      </c>
      <c r="B447" t="s">
        <v>545</v>
      </c>
      <c r="C447" t="s">
        <v>1419</v>
      </c>
      <c r="D447" s="26">
        <f t="shared" ref="D447" si="278">VALUE(LEFT(C447,LEN(C447)-7))</f>
        <v>309</v>
      </c>
    </row>
    <row r="448" spans="1:4">
      <c r="A448" s="23" t="s">
        <v>558</v>
      </c>
      <c r="B448" t="s">
        <v>545</v>
      </c>
      <c r="C448" t="s">
        <v>604</v>
      </c>
      <c r="D448" s="29">
        <f t="shared" ref="D448:D450" si="279">VALUE(LEFT(C448,LEN(C448)-3))</f>
        <v>0</v>
      </c>
    </row>
    <row r="449" spans="1:4">
      <c r="A449" s="23" t="s">
        <v>560</v>
      </c>
      <c r="B449" t="s">
        <v>545</v>
      </c>
      <c r="C449" t="s">
        <v>1400</v>
      </c>
      <c r="D449" s="29">
        <f t="shared" si="279"/>
        <v>385.3</v>
      </c>
    </row>
    <row r="450" spans="1:4">
      <c r="A450" s="23" t="s">
        <v>562</v>
      </c>
      <c r="B450" t="s">
        <v>545</v>
      </c>
      <c r="C450" t="s">
        <v>604</v>
      </c>
      <c r="D450" s="29">
        <f t="shared" si="279"/>
        <v>0</v>
      </c>
    </row>
    <row r="452" spans="1:4">
      <c r="A452" s="23" t="s">
        <v>544</v>
      </c>
      <c r="B452" t="s">
        <v>545</v>
      </c>
      <c r="C452" t="s">
        <v>1020</v>
      </c>
      <c r="D452" s="29">
        <f t="shared" ref="D452" si="280">VALUE(LEFT(C452,LEN(C452)-2))</f>
        <v>19.7</v>
      </c>
    </row>
    <row r="453" spans="1:4">
      <c r="A453" s="23" t="s">
        <v>547</v>
      </c>
      <c r="B453" t="s">
        <v>545</v>
      </c>
      <c r="C453" s="24">
        <v>0.67</v>
      </c>
      <c r="D453" s="27">
        <f t="shared" ref="D453" si="281">VALUE(C453*100)</f>
        <v>67</v>
      </c>
    </row>
    <row r="454" spans="1:4">
      <c r="A454" s="23" t="s">
        <v>548</v>
      </c>
      <c r="B454" t="s">
        <v>545</v>
      </c>
      <c r="C454" t="s">
        <v>565</v>
      </c>
      <c r="D454" s="29">
        <f t="shared" ref="D454" si="282">VALUE(LEFT(C454,LEN(C454)-2))</f>
        <v>12.4</v>
      </c>
    </row>
    <row r="455" spans="1:4">
      <c r="A455" s="23" t="s">
        <v>550</v>
      </c>
      <c r="B455" t="s">
        <v>545</v>
      </c>
      <c r="C455" t="s">
        <v>1420</v>
      </c>
      <c r="D455" s="28">
        <f t="shared" ref="D455" si="283">VALUE(LEFT(C455,LEN(C455)-4))</f>
        <v>1007.8</v>
      </c>
    </row>
    <row r="456" spans="1:4">
      <c r="A456" s="23" t="s">
        <v>552</v>
      </c>
      <c r="B456" t="s">
        <v>545</v>
      </c>
      <c r="C456" t="s">
        <v>608</v>
      </c>
      <c r="D456" s="29">
        <f t="shared" ref="D456:D457" si="284">VALUE(LEFT(C456,LEN(C456)-FIND("km/h",C456)+1)/3.6)</f>
        <v>0.94444444444444442</v>
      </c>
    </row>
    <row r="457" spans="1:4">
      <c r="A457" s="23" t="s">
        <v>554</v>
      </c>
      <c r="B457" t="s">
        <v>545</v>
      </c>
      <c r="C457" t="s">
        <v>795</v>
      </c>
      <c r="D457" s="29">
        <f t="shared" si="284"/>
        <v>1.6111111111111109</v>
      </c>
    </row>
    <row r="458" spans="1:4">
      <c r="A458" s="23" t="s">
        <v>556</v>
      </c>
      <c r="B458" t="s">
        <v>545</v>
      </c>
      <c r="C458" t="s">
        <v>1421</v>
      </c>
      <c r="D458" s="26">
        <f t="shared" ref="D458" si="285">VALUE(LEFT(C458,LEN(C458)-7))</f>
        <v>278</v>
      </c>
    </row>
    <row r="459" spans="1:4">
      <c r="A459" s="23" t="s">
        <v>558</v>
      </c>
      <c r="B459" t="s">
        <v>545</v>
      </c>
      <c r="C459" t="s">
        <v>604</v>
      </c>
      <c r="D459" s="29">
        <f t="shared" ref="D459:D461" si="286">VALUE(LEFT(C459,LEN(C459)-3))</f>
        <v>0</v>
      </c>
    </row>
    <row r="460" spans="1:4">
      <c r="A460" s="23" t="s">
        <v>560</v>
      </c>
      <c r="B460" t="s">
        <v>545</v>
      </c>
      <c r="C460" t="s">
        <v>1400</v>
      </c>
      <c r="D460" s="29">
        <f t="shared" si="286"/>
        <v>385.3</v>
      </c>
    </row>
    <row r="461" spans="1:4">
      <c r="A461" s="23" t="s">
        <v>562</v>
      </c>
      <c r="B461" t="s">
        <v>545</v>
      </c>
      <c r="C461" t="s">
        <v>604</v>
      </c>
      <c r="D461" s="29">
        <f t="shared" si="286"/>
        <v>0</v>
      </c>
    </row>
    <row r="463" spans="1:4">
      <c r="A463" s="23" t="s">
        <v>544</v>
      </c>
      <c r="B463" t="s">
        <v>545</v>
      </c>
      <c r="C463" t="s">
        <v>1422</v>
      </c>
      <c r="D463" s="29">
        <f t="shared" ref="D463" si="287">VALUE(LEFT(C463,LEN(C463)-2))</f>
        <v>21.5</v>
      </c>
    </row>
    <row r="464" spans="1:4">
      <c r="A464" s="23" t="s">
        <v>547</v>
      </c>
      <c r="B464" t="s">
        <v>545</v>
      </c>
      <c r="C464" s="24">
        <v>0.57999999999999996</v>
      </c>
      <c r="D464" s="27">
        <f t="shared" ref="D464" si="288">VALUE(C464*100)</f>
        <v>57.999999999999993</v>
      </c>
    </row>
    <row r="465" spans="1:4">
      <c r="A465" s="23" t="s">
        <v>548</v>
      </c>
      <c r="B465" t="s">
        <v>545</v>
      </c>
      <c r="C465" t="s">
        <v>895</v>
      </c>
      <c r="D465" s="29">
        <f t="shared" ref="D465" si="289">VALUE(LEFT(C465,LEN(C465)-2))</f>
        <v>11.6</v>
      </c>
    </row>
    <row r="466" spans="1:4">
      <c r="A466" s="23" t="s">
        <v>550</v>
      </c>
      <c r="B466" t="s">
        <v>545</v>
      </c>
      <c r="C466" t="s">
        <v>1423</v>
      </c>
      <c r="D466" s="28">
        <f t="shared" ref="D466" si="290">VALUE(LEFT(C466,LEN(C466)-4))</f>
        <v>1010.3</v>
      </c>
    </row>
    <row r="467" spans="1:4">
      <c r="A467" s="23" t="s">
        <v>552</v>
      </c>
      <c r="B467" t="s">
        <v>545</v>
      </c>
      <c r="C467" t="s">
        <v>1000</v>
      </c>
      <c r="D467" s="29">
        <f t="shared" ref="D467:D468" si="291">VALUE(LEFT(C467,LEN(C467)-FIND("km/h",C467)+1)/3.6)</f>
        <v>1.2222222222222223</v>
      </c>
    </row>
    <row r="468" spans="1:4">
      <c r="A468" s="23" t="s">
        <v>554</v>
      </c>
      <c r="B468" t="s">
        <v>545</v>
      </c>
      <c r="C468" t="s">
        <v>781</v>
      </c>
      <c r="D468" s="29">
        <f t="shared" si="291"/>
        <v>1.8333333333333333</v>
      </c>
    </row>
    <row r="469" spans="1:4">
      <c r="A469" s="23" t="s">
        <v>556</v>
      </c>
      <c r="B469" t="s">
        <v>545</v>
      </c>
      <c r="C469" t="s">
        <v>982</v>
      </c>
      <c r="D469" s="26">
        <f t="shared" ref="D469" si="292">VALUE(LEFT(C469,LEN(C469)-7))</f>
        <v>319</v>
      </c>
    </row>
    <row r="470" spans="1:4">
      <c r="A470" s="23" t="s">
        <v>558</v>
      </c>
      <c r="B470" t="s">
        <v>545</v>
      </c>
      <c r="C470" t="s">
        <v>604</v>
      </c>
      <c r="D470" s="29">
        <f t="shared" ref="D470:D472" si="293">VALUE(LEFT(C470,LEN(C470)-3))</f>
        <v>0</v>
      </c>
    </row>
    <row r="471" spans="1:4">
      <c r="A471" s="23" t="s">
        <v>560</v>
      </c>
      <c r="B471" t="s">
        <v>545</v>
      </c>
      <c r="C471" t="s">
        <v>1400</v>
      </c>
      <c r="D471" s="29">
        <f t="shared" si="293"/>
        <v>385.3</v>
      </c>
    </row>
    <row r="472" spans="1:4">
      <c r="A472" s="23" t="s">
        <v>562</v>
      </c>
      <c r="B472" t="s">
        <v>545</v>
      </c>
      <c r="C472" t="s">
        <v>604</v>
      </c>
      <c r="D472" s="29">
        <f t="shared" si="293"/>
        <v>0</v>
      </c>
    </row>
    <row r="474" spans="1:4">
      <c r="A474" s="23" t="s">
        <v>544</v>
      </c>
      <c r="B474" t="s">
        <v>545</v>
      </c>
      <c r="C474" t="s">
        <v>1414</v>
      </c>
      <c r="D474" s="29">
        <f t="shared" ref="D474" si="294">VALUE(LEFT(C474,LEN(C474)-2))</f>
        <v>21.4</v>
      </c>
    </row>
    <row r="475" spans="1:4">
      <c r="A475" s="23" t="s">
        <v>547</v>
      </c>
      <c r="B475" t="s">
        <v>545</v>
      </c>
      <c r="C475" s="24">
        <v>0.6</v>
      </c>
      <c r="D475" s="27">
        <f t="shared" ref="D475" si="295">VALUE(C475*100)</f>
        <v>60</v>
      </c>
    </row>
    <row r="476" spans="1:4">
      <c r="A476" s="23" t="s">
        <v>548</v>
      </c>
      <c r="B476" t="s">
        <v>545</v>
      </c>
      <c r="C476" t="s">
        <v>759</v>
      </c>
      <c r="D476" s="29">
        <f t="shared" ref="D476" si="296">VALUE(LEFT(C476,LEN(C476)-2))</f>
        <v>12.3</v>
      </c>
    </row>
    <row r="477" spans="1:4">
      <c r="A477" s="23" t="s">
        <v>550</v>
      </c>
      <c r="B477" t="s">
        <v>545</v>
      </c>
      <c r="C477" t="s">
        <v>1398</v>
      </c>
      <c r="D477" s="28">
        <f t="shared" ref="D477" si="297">VALUE(LEFT(C477,LEN(C477)-4))</f>
        <v>1012.1</v>
      </c>
    </row>
    <row r="478" spans="1:4">
      <c r="A478" s="23" t="s">
        <v>552</v>
      </c>
      <c r="B478" t="s">
        <v>545</v>
      </c>
      <c r="C478" t="s">
        <v>645</v>
      </c>
      <c r="D478" s="29">
        <f t="shared" ref="D478:D479" si="298">VALUE(LEFT(C478,LEN(C478)-FIND("km/h",C478)+1)/3.6)</f>
        <v>1</v>
      </c>
    </row>
    <row r="479" spans="1:4">
      <c r="A479" s="23" t="s">
        <v>554</v>
      </c>
      <c r="B479" t="s">
        <v>545</v>
      </c>
      <c r="C479" t="s">
        <v>602</v>
      </c>
      <c r="D479" s="29">
        <f t="shared" si="298"/>
        <v>1.4444444444444444</v>
      </c>
    </row>
    <row r="480" spans="1:4">
      <c r="A480" s="23" t="s">
        <v>556</v>
      </c>
      <c r="B480" t="s">
        <v>545</v>
      </c>
      <c r="C480" t="s">
        <v>1424</v>
      </c>
      <c r="D480" s="26">
        <f t="shared" ref="D480" si="299">VALUE(LEFT(C480,LEN(C480)-7))</f>
        <v>291</v>
      </c>
    </row>
    <row r="481" spans="1:4">
      <c r="A481" s="23" t="s">
        <v>558</v>
      </c>
      <c r="B481" t="s">
        <v>545</v>
      </c>
      <c r="C481" t="s">
        <v>604</v>
      </c>
      <c r="D481" s="29">
        <f t="shared" ref="D481:D483" si="300">VALUE(LEFT(C481,LEN(C481)-3))</f>
        <v>0</v>
      </c>
    </row>
    <row r="482" spans="1:4">
      <c r="A482" s="23" t="s">
        <v>560</v>
      </c>
      <c r="B482" t="s">
        <v>545</v>
      </c>
      <c r="C482" t="s">
        <v>1400</v>
      </c>
      <c r="D482" s="29">
        <f t="shared" si="300"/>
        <v>385.3</v>
      </c>
    </row>
    <row r="483" spans="1:4">
      <c r="A483" s="23" t="s">
        <v>562</v>
      </c>
      <c r="B483" t="s">
        <v>545</v>
      </c>
      <c r="C483" t="s">
        <v>604</v>
      </c>
      <c r="D483" s="29">
        <f t="shared" si="300"/>
        <v>0</v>
      </c>
    </row>
    <row r="485" spans="1:4">
      <c r="A485" s="23" t="s">
        <v>544</v>
      </c>
      <c r="B485" t="s">
        <v>545</v>
      </c>
      <c r="C485" t="s">
        <v>1380</v>
      </c>
      <c r="D485" s="29">
        <f t="shared" ref="D485" si="301">VALUE(LEFT(C485,LEN(C485)-2))</f>
        <v>21.2</v>
      </c>
    </row>
    <row r="486" spans="1:4">
      <c r="A486" s="23" t="s">
        <v>547</v>
      </c>
      <c r="B486" t="s">
        <v>545</v>
      </c>
      <c r="C486" s="24">
        <v>0.56000000000000005</v>
      </c>
      <c r="D486" s="27">
        <f t="shared" ref="D486" si="302">VALUE(C486*100)</f>
        <v>56.000000000000007</v>
      </c>
    </row>
    <row r="487" spans="1:4">
      <c r="A487" s="23" t="s">
        <v>548</v>
      </c>
      <c r="B487" t="s">
        <v>545</v>
      </c>
      <c r="C487" t="s">
        <v>730</v>
      </c>
      <c r="D487" s="29">
        <f t="shared" ref="D487" si="303">VALUE(LEFT(C487,LEN(C487)-2))</f>
        <v>11</v>
      </c>
    </row>
    <row r="488" spans="1:4">
      <c r="A488" s="23" t="s">
        <v>550</v>
      </c>
      <c r="B488" t="s">
        <v>545</v>
      </c>
      <c r="C488" t="s">
        <v>1078</v>
      </c>
      <c r="D488" s="28">
        <f t="shared" ref="D488" si="304">VALUE(LEFT(C488,LEN(C488)-4))</f>
        <v>1014.3</v>
      </c>
    </row>
    <row r="489" spans="1:4">
      <c r="A489" s="23" t="s">
        <v>552</v>
      </c>
      <c r="B489" t="s">
        <v>545</v>
      </c>
      <c r="C489" t="s">
        <v>1167</v>
      </c>
      <c r="D489" s="29">
        <f t="shared" ref="D489:D490" si="305">VALUE(LEFT(C489,LEN(C489)-FIND("km/h",C489)+1)/3.6)</f>
        <v>1.25</v>
      </c>
    </row>
    <row r="490" spans="1:4">
      <c r="A490" s="23" t="s">
        <v>554</v>
      </c>
      <c r="B490" t="s">
        <v>545</v>
      </c>
      <c r="C490" t="s">
        <v>789</v>
      </c>
      <c r="D490" s="29">
        <f t="shared" si="305"/>
        <v>1.8055555555555556</v>
      </c>
    </row>
    <row r="491" spans="1:4">
      <c r="A491" s="23" t="s">
        <v>556</v>
      </c>
      <c r="B491" t="s">
        <v>545</v>
      </c>
      <c r="C491" t="s">
        <v>1425</v>
      </c>
      <c r="D491" s="26">
        <f t="shared" ref="D491" si="306">VALUE(LEFT(C491,LEN(C491)-7))</f>
        <v>16</v>
      </c>
    </row>
    <row r="492" spans="1:4">
      <c r="A492" s="23" t="s">
        <v>558</v>
      </c>
      <c r="B492" t="s">
        <v>545</v>
      </c>
      <c r="C492" t="s">
        <v>604</v>
      </c>
      <c r="D492" s="29">
        <f t="shared" ref="D492:D494" si="307">VALUE(LEFT(C492,LEN(C492)-3))</f>
        <v>0</v>
      </c>
    </row>
    <row r="493" spans="1:4">
      <c r="A493" s="23" t="s">
        <v>560</v>
      </c>
      <c r="B493" t="s">
        <v>545</v>
      </c>
      <c r="C493" t="s">
        <v>1400</v>
      </c>
      <c r="D493" s="29">
        <f t="shared" si="307"/>
        <v>385.3</v>
      </c>
    </row>
    <row r="494" spans="1:4">
      <c r="A494" s="23" t="s">
        <v>562</v>
      </c>
      <c r="B494" t="s">
        <v>545</v>
      </c>
      <c r="C494" t="s">
        <v>604</v>
      </c>
      <c r="D494" s="29">
        <f t="shared" si="307"/>
        <v>0</v>
      </c>
    </row>
    <row r="496" spans="1:4">
      <c r="A496" s="23" t="s">
        <v>544</v>
      </c>
      <c r="B496" t="s">
        <v>545</v>
      </c>
      <c r="C496" t="s">
        <v>1387</v>
      </c>
      <c r="D496" s="29">
        <f t="shared" ref="D496" si="308">VALUE(LEFT(C496,LEN(C496)-2))</f>
        <v>21.8</v>
      </c>
    </row>
    <row r="497" spans="1:4">
      <c r="A497" s="23" t="s">
        <v>547</v>
      </c>
      <c r="B497" t="s">
        <v>545</v>
      </c>
      <c r="C497" s="24">
        <v>0.5</v>
      </c>
      <c r="D497" s="27">
        <f t="shared" ref="D497" si="309">VALUE(C497*100)</f>
        <v>50</v>
      </c>
    </row>
    <row r="498" spans="1:4">
      <c r="A498" s="23" t="s">
        <v>548</v>
      </c>
      <c r="B498" t="s">
        <v>545</v>
      </c>
      <c r="C498" t="s">
        <v>590</v>
      </c>
      <c r="D498" s="29">
        <f t="shared" ref="D498" si="310">VALUE(LEFT(C498,LEN(C498)-2))</f>
        <v>9.6999999999999993</v>
      </c>
    </row>
    <row r="499" spans="1:4">
      <c r="A499" s="23" t="s">
        <v>550</v>
      </c>
      <c r="B499" t="s">
        <v>545</v>
      </c>
      <c r="C499" t="s">
        <v>1041</v>
      </c>
      <c r="D499" s="28">
        <f t="shared" ref="D499" si="311">VALUE(LEFT(C499,LEN(C499)-4))</f>
        <v>1017.1</v>
      </c>
    </row>
    <row r="500" spans="1:4">
      <c r="A500" s="23" t="s">
        <v>552</v>
      </c>
      <c r="B500" t="s">
        <v>545</v>
      </c>
      <c r="C500" t="s">
        <v>1008</v>
      </c>
      <c r="D500" s="29">
        <f t="shared" ref="D500:D501" si="312">VALUE(LEFT(C500,LEN(C500)-FIND("km/h",C500)+1)/3.6)</f>
        <v>1.0277777777777779</v>
      </c>
    </row>
    <row r="501" spans="1:4">
      <c r="A501" s="23" t="s">
        <v>554</v>
      </c>
      <c r="B501" t="s">
        <v>545</v>
      </c>
      <c r="C501" t="s">
        <v>830</v>
      </c>
      <c r="D501" s="29">
        <f t="shared" si="312"/>
        <v>1.5</v>
      </c>
    </row>
    <row r="502" spans="1:4">
      <c r="A502" s="23" t="s">
        <v>556</v>
      </c>
      <c r="B502" t="s">
        <v>545</v>
      </c>
      <c r="C502" t="s">
        <v>892</v>
      </c>
      <c r="D502" s="26">
        <f t="shared" ref="D502" si="313">VALUE(LEFT(C502,LEN(C502)-7))</f>
        <v>321</v>
      </c>
    </row>
    <row r="503" spans="1:4">
      <c r="A503" s="23" t="s">
        <v>558</v>
      </c>
      <c r="B503" t="s">
        <v>545</v>
      </c>
      <c r="C503" t="s">
        <v>604</v>
      </c>
      <c r="D503" s="29">
        <f t="shared" ref="D503:D505" si="314">VALUE(LEFT(C503,LEN(C503)-3))</f>
        <v>0</v>
      </c>
    </row>
    <row r="504" spans="1:4">
      <c r="A504" s="23" t="s">
        <v>560</v>
      </c>
      <c r="B504" t="s">
        <v>545</v>
      </c>
      <c r="C504" t="s">
        <v>1400</v>
      </c>
      <c r="D504" s="29">
        <f t="shared" si="314"/>
        <v>385.3</v>
      </c>
    </row>
    <row r="505" spans="1:4">
      <c r="A505" s="23" t="s">
        <v>562</v>
      </c>
      <c r="B505" t="s">
        <v>545</v>
      </c>
      <c r="C505" t="s">
        <v>604</v>
      </c>
      <c r="D505" s="29">
        <f t="shared" si="314"/>
        <v>0</v>
      </c>
    </row>
    <row r="507" spans="1:4">
      <c r="A507" s="23" t="s">
        <v>544</v>
      </c>
      <c r="B507" t="s">
        <v>545</v>
      </c>
      <c r="C507" t="s">
        <v>871</v>
      </c>
      <c r="D507" s="29">
        <f t="shared" ref="D507" si="315">VALUE(LEFT(C507,LEN(C507)-2))</f>
        <v>17.3</v>
      </c>
    </row>
    <row r="508" spans="1:4">
      <c r="A508" s="23" t="s">
        <v>547</v>
      </c>
      <c r="B508" t="s">
        <v>545</v>
      </c>
      <c r="C508" s="24">
        <v>0.56999999999999995</v>
      </c>
      <c r="D508" s="27">
        <f t="shared" ref="D508" si="316">VALUE(C508*100)</f>
        <v>56.999999999999993</v>
      </c>
    </row>
    <row r="509" spans="1:4">
      <c r="A509" s="23" t="s">
        <v>548</v>
      </c>
      <c r="B509" t="s">
        <v>545</v>
      </c>
      <c r="C509" t="s">
        <v>1131</v>
      </c>
      <c r="D509" s="29">
        <f t="shared" ref="D509" si="317">VALUE(LEFT(C509,LEN(C509)-2))</f>
        <v>8.6</v>
      </c>
    </row>
    <row r="510" spans="1:4">
      <c r="A510" s="23" t="s">
        <v>550</v>
      </c>
      <c r="B510" t="s">
        <v>545</v>
      </c>
      <c r="C510" t="s">
        <v>1331</v>
      </c>
      <c r="D510" s="28">
        <f t="shared" ref="D510" si="318">VALUE(LEFT(C510,LEN(C510)-4))</f>
        <v>1019</v>
      </c>
    </row>
    <row r="511" spans="1:4">
      <c r="A511" s="23" t="s">
        <v>552</v>
      </c>
      <c r="B511" t="s">
        <v>545</v>
      </c>
      <c r="C511" t="s">
        <v>1048</v>
      </c>
      <c r="D511" s="29">
        <f t="shared" ref="D511:D512" si="319">VALUE(LEFT(C511,LEN(C511)-FIND("km/h",C511)+1)/3.6)</f>
        <v>0</v>
      </c>
    </row>
    <row r="512" spans="1:4">
      <c r="A512" s="23" t="s">
        <v>554</v>
      </c>
      <c r="B512" t="s">
        <v>545</v>
      </c>
      <c r="C512" t="s">
        <v>1048</v>
      </c>
      <c r="D512" s="29">
        <f t="shared" si="319"/>
        <v>0</v>
      </c>
    </row>
    <row r="513" spans="1:4">
      <c r="A513" s="23" t="s">
        <v>556</v>
      </c>
      <c r="B513" t="s">
        <v>545</v>
      </c>
      <c r="C513" t="s">
        <v>1068</v>
      </c>
      <c r="D513" s="26">
        <f t="shared" ref="D513" si="320">VALUE(LEFT(C513,LEN(C513)-7))</f>
        <v>207</v>
      </c>
    </row>
    <row r="514" spans="1:4">
      <c r="A514" s="23" t="s">
        <v>558</v>
      </c>
      <c r="B514" t="s">
        <v>545</v>
      </c>
      <c r="C514" t="s">
        <v>604</v>
      </c>
      <c r="D514" s="29">
        <f t="shared" ref="D514:D516" si="321">VALUE(LEFT(C514,LEN(C514)-3))</f>
        <v>0</v>
      </c>
    </row>
    <row r="515" spans="1:4">
      <c r="A515" s="23" t="s">
        <v>560</v>
      </c>
      <c r="B515" t="s">
        <v>545</v>
      </c>
      <c r="C515" t="s">
        <v>1400</v>
      </c>
      <c r="D515" s="29">
        <f t="shared" si="321"/>
        <v>385.3</v>
      </c>
    </row>
    <row r="516" spans="1:4">
      <c r="A516" s="23" t="s">
        <v>562</v>
      </c>
      <c r="B516" t="s">
        <v>545</v>
      </c>
      <c r="C516" t="s">
        <v>604</v>
      </c>
      <c r="D516" s="29">
        <f t="shared" si="321"/>
        <v>0</v>
      </c>
    </row>
    <row r="517" spans="1:4" s="30" customFormat="1"/>
    <row r="518" spans="1:4">
      <c r="A518" s="23" t="s">
        <v>544</v>
      </c>
      <c r="B518" t="s">
        <v>545</v>
      </c>
      <c r="C518" t="s">
        <v>1426</v>
      </c>
      <c r="D518" s="29">
        <f t="shared" ref="D518" si="322">VALUE(LEFT(C518,LEN(C518)-2))</f>
        <v>22.5</v>
      </c>
    </row>
    <row r="519" spans="1:4">
      <c r="A519" s="23" t="s">
        <v>547</v>
      </c>
      <c r="B519" t="s">
        <v>545</v>
      </c>
      <c r="C519" s="24">
        <v>0.49</v>
      </c>
      <c r="D519" s="27">
        <f t="shared" ref="D519" si="323">VALUE(C519*100)</f>
        <v>49</v>
      </c>
    </row>
    <row r="520" spans="1:4">
      <c r="A520" s="23" t="s">
        <v>548</v>
      </c>
      <c r="B520" t="s">
        <v>545</v>
      </c>
      <c r="C520" t="s">
        <v>837</v>
      </c>
      <c r="D520" s="29">
        <f t="shared" ref="D520" si="324">VALUE(LEFT(C520,LEN(C520)-2))</f>
        <v>9.1999999999999993</v>
      </c>
    </row>
    <row r="521" spans="1:4">
      <c r="A521" s="23" t="s">
        <v>550</v>
      </c>
      <c r="B521" t="s">
        <v>545</v>
      </c>
      <c r="C521" t="s">
        <v>607</v>
      </c>
      <c r="D521" s="28">
        <f t="shared" ref="D521" si="325">VALUE(LEFT(C521,LEN(C521)-4))</f>
        <v>1017.7</v>
      </c>
    </row>
    <row r="522" spans="1:4">
      <c r="A522" s="23" t="s">
        <v>552</v>
      </c>
      <c r="B522" t="s">
        <v>545</v>
      </c>
      <c r="C522" t="s">
        <v>665</v>
      </c>
      <c r="D522" s="29">
        <f t="shared" ref="D522:D523" si="326">VALUE(LEFT(C522,LEN(C522)-FIND("km/h",C522)+1)/3.6)</f>
        <v>0.86111111111111116</v>
      </c>
    </row>
    <row r="523" spans="1:4">
      <c r="A523" s="23" t="s">
        <v>554</v>
      </c>
      <c r="B523" t="s">
        <v>545</v>
      </c>
      <c r="C523" t="s">
        <v>636</v>
      </c>
      <c r="D523" s="29">
        <f t="shared" si="326"/>
        <v>1.3333333333333333</v>
      </c>
    </row>
    <row r="524" spans="1:4">
      <c r="A524" s="23" t="s">
        <v>556</v>
      </c>
      <c r="B524" t="s">
        <v>545</v>
      </c>
      <c r="C524" t="s">
        <v>892</v>
      </c>
      <c r="D524" s="26">
        <f t="shared" ref="D524" si="327">VALUE(LEFT(C524,LEN(C524)-7))</f>
        <v>321</v>
      </c>
    </row>
    <row r="525" spans="1:4">
      <c r="A525" s="23" t="s">
        <v>558</v>
      </c>
      <c r="B525" t="s">
        <v>545</v>
      </c>
      <c r="C525" t="s">
        <v>604</v>
      </c>
      <c r="D525" s="29">
        <f t="shared" ref="D525:D527" si="328">VALUE(LEFT(C525,LEN(C525)-3))</f>
        <v>0</v>
      </c>
    </row>
    <row r="526" spans="1:4">
      <c r="A526" s="23" t="s">
        <v>560</v>
      </c>
      <c r="B526" t="s">
        <v>545</v>
      </c>
      <c r="C526" t="s">
        <v>1400</v>
      </c>
      <c r="D526" s="29">
        <f t="shared" si="328"/>
        <v>385.3</v>
      </c>
    </row>
    <row r="527" spans="1:4">
      <c r="A527" s="23" t="s">
        <v>562</v>
      </c>
      <c r="B527" t="s">
        <v>545</v>
      </c>
      <c r="C527" t="s">
        <v>604</v>
      </c>
      <c r="D527" s="29">
        <f t="shared" si="328"/>
        <v>0</v>
      </c>
    </row>
    <row r="529" spans="1:4">
      <c r="A529" s="23" t="s">
        <v>544</v>
      </c>
      <c r="B529" t="s">
        <v>545</v>
      </c>
      <c r="C529" t="s">
        <v>1427</v>
      </c>
      <c r="D529" s="29">
        <f t="shared" ref="D529" si="329">VALUE(LEFT(C529,LEN(C529)-2))</f>
        <v>22.9</v>
      </c>
    </row>
    <row r="530" spans="1:4">
      <c r="A530" s="23" t="s">
        <v>547</v>
      </c>
      <c r="B530" t="s">
        <v>545</v>
      </c>
      <c r="C530" s="24">
        <v>0.48</v>
      </c>
      <c r="D530" s="27">
        <f t="shared" ref="D530" si="330">VALUE(C530*100)</f>
        <v>48</v>
      </c>
    </row>
    <row r="531" spans="1:4">
      <c r="A531" s="23" t="s">
        <v>548</v>
      </c>
      <c r="B531" t="s">
        <v>545</v>
      </c>
      <c r="C531" t="s">
        <v>1148</v>
      </c>
      <c r="D531" s="29">
        <f t="shared" ref="D531" si="331">VALUE(LEFT(C531,LEN(C531)-2))</f>
        <v>9.9</v>
      </c>
    </row>
    <row r="532" spans="1:4">
      <c r="A532" s="23" t="s">
        <v>550</v>
      </c>
      <c r="B532" t="s">
        <v>545</v>
      </c>
      <c r="C532" t="s">
        <v>583</v>
      </c>
      <c r="D532" s="28">
        <f t="shared" ref="D532" si="332">VALUE(LEFT(C532,LEN(C532)-4))</f>
        <v>1018.9</v>
      </c>
    </row>
    <row r="533" spans="1:4">
      <c r="A533" s="23" t="s">
        <v>552</v>
      </c>
      <c r="B533" t="s">
        <v>545</v>
      </c>
      <c r="C533" t="s">
        <v>776</v>
      </c>
      <c r="D533" s="29">
        <f t="shared" ref="D533:D534" si="333">VALUE(LEFT(C533,LEN(C533)-FIND("km/h",C533)+1)/3.6)</f>
        <v>0.77777777777777768</v>
      </c>
    </row>
    <row r="534" spans="1:4">
      <c r="A534" s="23" t="s">
        <v>554</v>
      </c>
      <c r="B534" t="s">
        <v>545</v>
      </c>
      <c r="C534" t="s">
        <v>1000</v>
      </c>
      <c r="D534" s="29">
        <f t="shared" si="333"/>
        <v>1.2222222222222223</v>
      </c>
    </row>
    <row r="535" spans="1:4">
      <c r="A535" s="23" t="s">
        <v>556</v>
      </c>
      <c r="B535" t="s">
        <v>545</v>
      </c>
      <c r="C535" t="s">
        <v>1428</v>
      </c>
      <c r="D535" s="26">
        <f t="shared" ref="D535" si="334">VALUE(LEFT(C535,LEN(C535)-7))</f>
        <v>314</v>
      </c>
    </row>
    <row r="536" spans="1:4">
      <c r="A536" s="23" t="s">
        <v>558</v>
      </c>
      <c r="B536" t="s">
        <v>545</v>
      </c>
      <c r="C536" t="s">
        <v>604</v>
      </c>
      <c r="D536" s="29">
        <f t="shared" ref="D536:D538" si="335">VALUE(LEFT(C536,LEN(C536)-3))</f>
        <v>0</v>
      </c>
    </row>
    <row r="537" spans="1:4">
      <c r="A537" s="23" t="s">
        <v>560</v>
      </c>
      <c r="B537" t="s">
        <v>545</v>
      </c>
      <c r="C537" t="s">
        <v>1400</v>
      </c>
      <c r="D537" s="29">
        <f t="shared" si="335"/>
        <v>385.3</v>
      </c>
    </row>
    <row r="538" spans="1:4">
      <c r="A538" s="23" t="s">
        <v>562</v>
      </c>
      <c r="B538" t="s">
        <v>545</v>
      </c>
      <c r="C538" t="s">
        <v>604</v>
      </c>
      <c r="D538" s="29">
        <f t="shared" si="335"/>
        <v>0</v>
      </c>
    </row>
    <row r="540" spans="1:4">
      <c r="A540" s="23" t="s">
        <v>544</v>
      </c>
      <c r="B540" t="s">
        <v>545</v>
      </c>
      <c r="C540" t="s">
        <v>1427</v>
      </c>
      <c r="D540" s="29">
        <f t="shared" ref="D540" si="336">VALUE(LEFT(C540,LEN(C540)-2))</f>
        <v>22.9</v>
      </c>
    </row>
    <row r="541" spans="1:4">
      <c r="A541" s="23" t="s">
        <v>547</v>
      </c>
      <c r="B541" t="s">
        <v>545</v>
      </c>
      <c r="C541" s="24">
        <v>0.53</v>
      </c>
      <c r="D541" s="27">
        <f t="shared" ref="D541" si="337">VALUE(C541*100)</f>
        <v>53</v>
      </c>
    </row>
    <row r="542" spans="1:4">
      <c r="A542" s="23" t="s">
        <v>548</v>
      </c>
      <c r="B542" t="s">
        <v>545</v>
      </c>
      <c r="C542" t="s">
        <v>760</v>
      </c>
      <c r="D542" s="29">
        <f t="shared" ref="D542" si="338">VALUE(LEFT(C542,LEN(C542)-2))</f>
        <v>11.3</v>
      </c>
    </row>
    <row r="543" spans="1:4">
      <c r="A543" s="23" t="s">
        <v>550</v>
      </c>
      <c r="B543" t="s">
        <v>545</v>
      </c>
      <c r="C543" t="s">
        <v>628</v>
      </c>
      <c r="D543" s="28">
        <f t="shared" ref="D543" si="339">VALUE(LEFT(C543,LEN(C543)-4))</f>
        <v>1018.8</v>
      </c>
    </row>
    <row r="544" spans="1:4">
      <c r="A544" s="23" t="s">
        <v>552</v>
      </c>
      <c r="B544" t="s">
        <v>545</v>
      </c>
      <c r="C544" t="s">
        <v>645</v>
      </c>
      <c r="D544" s="29">
        <f t="shared" ref="D544:D545" si="340">VALUE(LEFT(C544,LEN(C544)-FIND("km/h",C544)+1)/3.6)</f>
        <v>1</v>
      </c>
    </row>
    <row r="545" spans="1:4">
      <c r="A545" s="23" t="s">
        <v>554</v>
      </c>
      <c r="B545" t="s">
        <v>545</v>
      </c>
      <c r="C545" t="s">
        <v>830</v>
      </c>
      <c r="D545" s="29">
        <f t="shared" si="340"/>
        <v>1.5</v>
      </c>
    </row>
    <row r="546" spans="1:4">
      <c r="A546" s="23" t="s">
        <v>556</v>
      </c>
      <c r="B546" t="s">
        <v>545</v>
      </c>
      <c r="C546" t="s">
        <v>1004</v>
      </c>
      <c r="D546" s="26">
        <f t="shared" ref="D546" si="341">VALUE(LEFT(C546,LEN(C546)-7))</f>
        <v>320</v>
      </c>
    </row>
    <row r="547" spans="1:4">
      <c r="A547" s="23" t="s">
        <v>558</v>
      </c>
      <c r="B547" t="s">
        <v>545</v>
      </c>
      <c r="C547" t="s">
        <v>604</v>
      </c>
      <c r="D547" s="29">
        <f t="shared" ref="D547:D549" si="342">VALUE(LEFT(C547,LEN(C547)-3))</f>
        <v>0</v>
      </c>
    </row>
    <row r="548" spans="1:4">
      <c r="A548" s="23" t="s">
        <v>560</v>
      </c>
      <c r="B548" t="s">
        <v>545</v>
      </c>
      <c r="C548" t="s">
        <v>1400</v>
      </c>
      <c r="D548" s="29">
        <f t="shared" si="342"/>
        <v>385.3</v>
      </c>
    </row>
    <row r="549" spans="1:4">
      <c r="A549" s="23" t="s">
        <v>562</v>
      </c>
      <c r="B549" t="s">
        <v>545</v>
      </c>
      <c r="C549" t="s">
        <v>604</v>
      </c>
      <c r="D549" s="29">
        <f t="shared" si="342"/>
        <v>0</v>
      </c>
    </row>
    <row r="551" spans="1:4">
      <c r="A551" s="23" t="s">
        <v>544</v>
      </c>
      <c r="B551" t="s">
        <v>545</v>
      </c>
      <c r="C551" t="s">
        <v>1396</v>
      </c>
      <c r="D551" s="29">
        <f t="shared" ref="D551" si="343">VALUE(LEFT(C551,LEN(C551)-2))</f>
        <v>21.3</v>
      </c>
    </row>
    <row r="552" spans="1:4">
      <c r="A552" s="23" t="s">
        <v>547</v>
      </c>
      <c r="B552" t="s">
        <v>545</v>
      </c>
      <c r="C552" s="24">
        <v>0.61</v>
      </c>
      <c r="D552" s="27">
        <f t="shared" ref="D552" si="344">VALUE(C552*100)</f>
        <v>61</v>
      </c>
    </row>
    <row r="553" spans="1:4">
      <c r="A553" s="23" t="s">
        <v>548</v>
      </c>
      <c r="B553" t="s">
        <v>545</v>
      </c>
      <c r="C553" t="s">
        <v>783</v>
      </c>
      <c r="D553" s="29">
        <f t="shared" ref="D553" si="345">VALUE(LEFT(C553,LEN(C553)-2))</f>
        <v>12.6</v>
      </c>
    </row>
    <row r="554" spans="1:4">
      <c r="A554" s="23" t="s">
        <v>550</v>
      </c>
      <c r="B554" t="s">
        <v>545</v>
      </c>
      <c r="C554" t="s">
        <v>872</v>
      </c>
      <c r="D554" s="28">
        <f t="shared" ref="D554" si="346">VALUE(LEFT(C554,LEN(C554)-4))</f>
        <v>1015.4</v>
      </c>
    </row>
    <row r="555" spans="1:4">
      <c r="A555" s="23" t="s">
        <v>552</v>
      </c>
      <c r="B555" t="s">
        <v>545</v>
      </c>
      <c r="C555" t="s">
        <v>807</v>
      </c>
      <c r="D555" s="29">
        <f t="shared" ref="D555:D556" si="347">VALUE(LEFT(C555,LEN(C555)-FIND("km/h",C555)+1)/3.6)</f>
        <v>0.75</v>
      </c>
    </row>
    <row r="556" spans="1:4">
      <c r="A556" s="23" t="s">
        <v>554</v>
      </c>
      <c r="B556" t="s">
        <v>545</v>
      </c>
      <c r="C556" t="s">
        <v>624</v>
      </c>
      <c r="D556" s="29">
        <f t="shared" si="347"/>
        <v>1.3888888888888888</v>
      </c>
    </row>
    <row r="557" spans="1:4">
      <c r="A557" s="23" t="s">
        <v>556</v>
      </c>
      <c r="B557" t="s">
        <v>545</v>
      </c>
      <c r="C557" t="s">
        <v>1040</v>
      </c>
      <c r="D557" s="26">
        <f t="shared" ref="D557" si="348">VALUE(LEFT(C557,LEN(C557)-7))</f>
        <v>295</v>
      </c>
    </row>
    <row r="558" spans="1:4">
      <c r="A558" s="23" t="s">
        <v>558</v>
      </c>
      <c r="B558" t="s">
        <v>545</v>
      </c>
      <c r="C558" t="s">
        <v>604</v>
      </c>
      <c r="D558" s="29">
        <f t="shared" ref="D558:D560" si="349">VALUE(LEFT(C558,LEN(C558)-3))</f>
        <v>0</v>
      </c>
    </row>
    <row r="559" spans="1:4">
      <c r="A559" s="23" t="s">
        <v>560</v>
      </c>
      <c r="B559" t="s">
        <v>545</v>
      </c>
      <c r="C559" t="s">
        <v>1400</v>
      </c>
      <c r="D559" s="29">
        <f t="shared" si="349"/>
        <v>385.3</v>
      </c>
    </row>
    <row r="560" spans="1:4">
      <c r="A560" s="23" t="s">
        <v>562</v>
      </c>
      <c r="B560" t="s">
        <v>545</v>
      </c>
      <c r="C560" t="s">
        <v>604</v>
      </c>
      <c r="D560" s="29">
        <f t="shared" si="349"/>
        <v>0</v>
      </c>
    </row>
    <row r="562" spans="1:4">
      <c r="A562" s="23" t="s">
        <v>544</v>
      </c>
      <c r="B562" t="s">
        <v>545</v>
      </c>
      <c r="C562" t="s">
        <v>1393</v>
      </c>
      <c r="D562" s="29">
        <f t="shared" ref="D562" si="350">VALUE(LEFT(C562,LEN(C562)-2))</f>
        <v>20.3</v>
      </c>
    </row>
    <row r="563" spans="1:4">
      <c r="A563" s="23" t="s">
        <v>547</v>
      </c>
      <c r="B563" t="s">
        <v>545</v>
      </c>
      <c r="C563" s="24">
        <v>0.76</v>
      </c>
      <c r="D563" s="27">
        <f t="shared" ref="D563" si="351">VALUE(C563*100)</f>
        <v>76</v>
      </c>
    </row>
    <row r="564" spans="1:4">
      <c r="A564" s="23" t="s">
        <v>548</v>
      </c>
      <c r="B564" t="s">
        <v>545</v>
      </c>
      <c r="C564" t="s">
        <v>1329</v>
      </c>
      <c r="D564" s="29">
        <f t="shared" ref="D564" si="352">VALUE(LEFT(C564,LEN(C564)-2))</f>
        <v>15.5</v>
      </c>
    </row>
    <row r="565" spans="1:4">
      <c r="A565" s="23" t="s">
        <v>550</v>
      </c>
      <c r="B565" t="s">
        <v>545</v>
      </c>
      <c r="C565" t="s">
        <v>1021</v>
      </c>
      <c r="D565" s="28">
        <f t="shared" ref="D565" si="353">VALUE(LEFT(C565,LEN(C565)-4))</f>
        <v>1013</v>
      </c>
    </row>
    <row r="566" spans="1:4">
      <c r="A566" s="23" t="s">
        <v>552</v>
      </c>
      <c r="B566" t="s">
        <v>545</v>
      </c>
      <c r="C566" t="s">
        <v>817</v>
      </c>
      <c r="D566" s="29">
        <f t="shared" ref="D566:D567" si="354">VALUE(LEFT(C566,LEN(C566)-FIND("km/h",C566)+1)/3.6)</f>
        <v>1.3611111111111112</v>
      </c>
    </row>
    <row r="567" spans="1:4">
      <c r="A567" s="23" t="s">
        <v>554</v>
      </c>
      <c r="B567" t="s">
        <v>545</v>
      </c>
      <c r="C567" t="s">
        <v>692</v>
      </c>
      <c r="D567" s="29">
        <f t="shared" si="354"/>
        <v>2.1388888888888888</v>
      </c>
    </row>
    <row r="568" spans="1:4">
      <c r="A568" s="23" t="s">
        <v>556</v>
      </c>
      <c r="B568" t="s">
        <v>545</v>
      </c>
      <c r="C568" t="s">
        <v>637</v>
      </c>
      <c r="D568" s="26">
        <f t="shared" ref="D568" si="355">VALUE(LEFT(C568,LEN(C568)-7))</f>
        <v>282</v>
      </c>
    </row>
    <row r="569" spans="1:4">
      <c r="A569" s="23" t="s">
        <v>558</v>
      </c>
      <c r="B569" t="s">
        <v>545</v>
      </c>
      <c r="C569" t="s">
        <v>685</v>
      </c>
      <c r="D569" s="29">
        <f t="shared" ref="D569:D571" si="356">VALUE(LEFT(C569,LEN(C569)-3))</f>
        <v>2</v>
      </c>
    </row>
    <row r="570" spans="1:4">
      <c r="A570" s="23" t="s">
        <v>560</v>
      </c>
      <c r="B570" t="s">
        <v>545</v>
      </c>
      <c r="C570" t="s">
        <v>1429</v>
      </c>
      <c r="D570" s="29">
        <f t="shared" si="356"/>
        <v>387.3</v>
      </c>
    </row>
    <row r="571" spans="1:4">
      <c r="A571" s="23" t="s">
        <v>562</v>
      </c>
      <c r="B571" t="s">
        <v>545</v>
      </c>
      <c r="C571" t="s">
        <v>685</v>
      </c>
      <c r="D571" s="29">
        <f t="shared" si="356"/>
        <v>2</v>
      </c>
    </row>
    <row r="573" spans="1:4">
      <c r="A573" s="23" t="s">
        <v>544</v>
      </c>
      <c r="B573" t="s">
        <v>545</v>
      </c>
      <c r="C573" t="s">
        <v>920</v>
      </c>
      <c r="D573" s="29">
        <f t="shared" ref="D573" si="357">VALUE(LEFT(C573,LEN(C573)-2))</f>
        <v>19.600000000000001</v>
      </c>
    </row>
    <row r="574" spans="1:4">
      <c r="A574" s="23" t="s">
        <v>547</v>
      </c>
      <c r="B574" t="s">
        <v>545</v>
      </c>
      <c r="C574" s="24">
        <v>0.75</v>
      </c>
      <c r="D574" s="27">
        <f t="shared" ref="D574" si="358">VALUE(C574*100)</f>
        <v>75</v>
      </c>
    </row>
    <row r="575" spans="1:4">
      <c r="A575" s="23" t="s">
        <v>548</v>
      </c>
      <c r="B575" t="s">
        <v>545</v>
      </c>
      <c r="C575" t="s">
        <v>1176</v>
      </c>
      <c r="D575" s="29">
        <f t="shared" ref="D575" si="359">VALUE(LEFT(C575,LEN(C575)-2))</f>
        <v>14.6</v>
      </c>
    </row>
    <row r="576" spans="1:4">
      <c r="A576" s="23" t="s">
        <v>550</v>
      </c>
      <c r="B576" t="s">
        <v>545</v>
      </c>
      <c r="C576" t="s">
        <v>1430</v>
      </c>
      <c r="D576" s="28">
        <f t="shared" ref="D576" si="360">VALUE(LEFT(C576,LEN(C576)-4))</f>
        <v>1012.7</v>
      </c>
    </row>
    <row r="577" spans="1:4">
      <c r="A577" s="23" t="s">
        <v>552</v>
      </c>
      <c r="B577" t="s">
        <v>545</v>
      </c>
      <c r="C577" t="s">
        <v>1167</v>
      </c>
      <c r="D577" s="29">
        <f t="shared" ref="D577:D578" si="361">VALUE(LEFT(C577,LEN(C577)-FIND("km/h",C577)+1)/3.6)</f>
        <v>1.25</v>
      </c>
    </row>
    <row r="578" spans="1:4">
      <c r="A578" s="23" t="s">
        <v>554</v>
      </c>
      <c r="B578" t="s">
        <v>545</v>
      </c>
      <c r="C578" t="s">
        <v>848</v>
      </c>
      <c r="D578" s="29">
        <f t="shared" si="361"/>
        <v>1.8888888888888888</v>
      </c>
    </row>
    <row r="579" spans="1:4">
      <c r="A579" s="23" t="s">
        <v>556</v>
      </c>
      <c r="B579" t="s">
        <v>545</v>
      </c>
      <c r="C579" t="s">
        <v>1372</v>
      </c>
      <c r="D579" s="26">
        <f t="shared" ref="D579" si="362">VALUE(LEFT(C579,LEN(C579)-7))</f>
        <v>306</v>
      </c>
    </row>
    <row r="580" spans="1:4">
      <c r="A580" s="23" t="s">
        <v>558</v>
      </c>
      <c r="B580" t="s">
        <v>545</v>
      </c>
      <c r="C580" t="s">
        <v>685</v>
      </c>
      <c r="D580" s="29">
        <f t="shared" ref="D580:D582" si="363">VALUE(LEFT(C580,LEN(C580)-3))</f>
        <v>2</v>
      </c>
    </row>
    <row r="581" spans="1:4">
      <c r="A581" s="23" t="s">
        <v>560</v>
      </c>
      <c r="B581" t="s">
        <v>545</v>
      </c>
      <c r="C581" t="s">
        <v>1429</v>
      </c>
      <c r="D581" s="29">
        <f t="shared" si="363"/>
        <v>387.3</v>
      </c>
    </row>
    <row r="582" spans="1:4">
      <c r="A582" s="23" t="s">
        <v>562</v>
      </c>
      <c r="B582" t="s">
        <v>545</v>
      </c>
      <c r="C582" t="s">
        <v>604</v>
      </c>
      <c r="D582" s="29">
        <f t="shared" si="363"/>
        <v>0</v>
      </c>
    </row>
    <row r="584" spans="1:4">
      <c r="A584" s="23" t="s">
        <v>544</v>
      </c>
      <c r="B584" t="s">
        <v>545</v>
      </c>
      <c r="C584" t="s">
        <v>1412</v>
      </c>
      <c r="D584" s="29">
        <f t="shared" ref="D584" si="364">VALUE(LEFT(C584,LEN(C584)-2))</f>
        <v>17.5</v>
      </c>
    </row>
    <row r="585" spans="1:4">
      <c r="A585" s="23" t="s">
        <v>547</v>
      </c>
      <c r="B585" t="s">
        <v>545</v>
      </c>
      <c r="C585" s="24">
        <v>0.75</v>
      </c>
      <c r="D585" s="27">
        <f t="shared" ref="D585" si="365">VALUE(C585*100)</f>
        <v>75</v>
      </c>
    </row>
    <row r="586" spans="1:4">
      <c r="A586" s="23" t="s">
        <v>548</v>
      </c>
      <c r="B586" t="s">
        <v>545</v>
      </c>
      <c r="C586" t="s">
        <v>783</v>
      </c>
      <c r="D586" s="29">
        <f t="shared" ref="D586" si="366">VALUE(LEFT(C586,LEN(C586)-2))</f>
        <v>12.6</v>
      </c>
    </row>
    <row r="587" spans="1:4">
      <c r="A587" s="23" t="s">
        <v>550</v>
      </c>
      <c r="B587" t="s">
        <v>545</v>
      </c>
      <c r="C587" t="s">
        <v>1186</v>
      </c>
      <c r="D587" s="28">
        <f t="shared" ref="D587" si="367">VALUE(LEFT(C587,LEN(C587)-4))</f>
        <v>1013.8</v>
      </c>
    </row>
    <row r="588" spans="1:4">
      <c r="A588" s="23" t="s">
        <v>552</v>
      </c>
      <c r="B588" t="s">
        <v>545</v>
      </c>
      <c r="C588" t="s">
        <v>602</v>
      </c>
      <c r="D588" s="29">
        <f t="shared" ref="D588:D589" si="368">VALUE(LEFT(C588,LEN(C588)-FIND("km/h",C588)+1)/3.6)</f>
        <v>1.4444444444444444</v>
      </c>
    </row>
    <row r="589" spans="1:4">
      <c r="A589" s="23" t="s">
        <v>554</v>
      </c>
      <c r="B589" t="s">
        <v>545</v>
      </c>
      <c r="C589" t="s">
        <v>839</v>
      </c>
      <c r="D589" s="29">
        <f t="shared" si="368"/>
        <v>2.2222222222222223</v>
      </c>
    </row>
    <row r="590" spans="1:4">
      <c r="A590" s="23" t="s">
        <v>556</v>
      </c>
      <c r="B590" t="s">
        <v>545</v>
      </c>
      <c r="C590" t="s">
        <v>1399</v>
      </c>
      <c r="D590" s="26">
        <f t="shared" ref="D590" si="369">VALUE(LEFT(C590,LEN(C590)-7))</f>
        <v>286</v>
      </c>
    </row>
    <row r="591" spans="1:4">
      <c r="A591" s="23" t="s">
        <v>558</v>
      </c>
      <c r="B591" t="s">
        <v>545</v>
      </c>
      <c r="C591" t="s">
        <v>685</v>
      </c>
      <c r="D591" s="29">
        <f t="shared" ref="D591:D593" si="370">VALUE(LEFT(C591,LEN(C591)-3))</f>
        <v>2</v>
      </c>
    </row>
    <row r="592" spans="1:4">
      <c r="A592" s="23" t="s">
        <v>560</v>
      </c>
      <c r="B592" t="s">
        <v>545</v>
      </c>
      <c r="C592" t="s">
        <v>1429</v>
      </c>
      <c r="D592" s="29">
        <f t="shared" si="370"/>
        <v>387.3</v>
      </c>
    </row>
    <row r="593" spans="1:4">
      <c r="A593" s="23" t="s">
        <v>562</v>
      </c>
      <c r="B593" t="s">
        <v>545</v>
      </c>
      <c r="C593" t="s">
        <v>604</v>
      </c>
      <c r="D593" s="29">
        <f t="shared" si="370"/>
        <v>0</v>
      </c>
    </row>
    <row r="595" spans="1:4">
      <c r="A595" s="23" t="s">
        <v>544</v>
      </c>
      <c r="B595" t="s">
        <v>545</v>
      </c>
      <c r="C595" t="s">
        <v>1431</v>
      </c>
      <c r="D595" s="29">
        <f t="shared" ref="D595" si="371">VALUE(LEFT(C595,LEN(C595)-2))</f>
        <v>18.399999999999999</v>
      </c>
    </row>
    <row r="596" spans="1:4">
      <c r="A596" s="23" t="s">
        <v>547</v>
      </c>
      <c r="B596" t="s">
        <v>545</v>
      </c>
      <c r="C596" s="24">
        <v>0.64</v>
      </c>
      <c r="D596" s="27">
        <f t="shared" ref="D596" si="372">VALUE(C596*100)</f>
        <v>64</v>
      </c>
    </row>
    <row r="597" spans="1:4">
      <c r="A597" s="23" t="s">
        <v>548</v>
      </c>
      <c r="B597" t="s">
        <v>545</v>
      </c>
      <c r="C597" t="s">
        <v>714</v>
      </c>
      <c r="D597" s="29">
        <f t="shared" ref="D597" si="373">VALUE(LEFT(C597,LEN(C597)-2))</f>
        <v>10.4</v>
      </c>
    </row>
    <row r="598" spans="1:4">
      <c r="A598" s="23" t="s">
        <v>550</v>
      </c>
      <c r="B598" t="s">
        <v>545</v>
      </c>
      <c r="C598" t="s">
        <v>972</v>
      </c>
      <c r="D598" s="28">
        <f t="shared" ref="D598" si="374">VALUE(LEFT(C598,LEN(C598)-4))</f>
        <v>1019.1</v>
      </c>
    </row>
    <row r="599" spans="1:4">
      <c r="A599" s="23" t="s">
        <v>552</v>
      </c>
      <c r="B599" t="s">
        <v>545</v>
      </c>
      <c r="C599" t="s">
        <v>854</v>
      </c>
      <c r="D599" s="29">
        <f t="shared" ref="D599:D600" si="375">VALUE(LEFT(C599,LEN(C599)-FIND("km/h",C599)+1)/3.6)</f>
        <v>1.9722222222222221</v>
      </c>
    </row>
    <row r="600" spans="1:4">
      <c r="A600" s="23" t="s">
        <v>554</v>
      </c>
      <c r="B600" t="s">
        <v>545</v>
      </c>
      <c r="C600" t="s">
        <v>893</v>
      </c>
      <c r="D600" s="29">
        <f t="shared" si="375"/>
        <v>2.5277777777777777</v>
      </c>
    </row>
    <row r="601" spans="1:4">
      <c r="A601" s="23" t="s">
        <v>556</v>
      </c>
      <c r="B601" t="s">
        <v>545</v>
      </c>
      <c r="C601" t="s">
        <v>578</v>
      </c>
      <c r="D601" s="26">
        <f t="shared" ref="D601" si="376">VALUE(LEFT(C601,LEN(C601)-7))</f>
        <v>290</v>
      </c>
    </row>
    <row r="602" spans="1:4">
      <c r="A602" s="23" t="s">
        <v>558</v>
      </c>
      <c r="B602" t="s">
        <v>545</v>
      </c>
      <c r="C602" t="s">
        <v>685</v>
      </c>
      <c r="D602" s="29">
        <f t="shared" ref="D602:D604" si="377">VALUE(LEFT(C602,LEN(C602)-3))</f>
        <v>2</v>
      </c>
    </row>
    <row r="603" spans="1:4">
      <c r="A603" s="23" t="s">
        <v>560</v>
      </c>
      <c r="B603" t="s">
        <v>545</v>
      </c>
      <c r="C603" t="s">
        <v>1429</v>
      </c>
      <c r="D603" s="29">
        <f t="shared" si="377"/>
        <v>387.3</v>
      </c>
    </row>
    <row r="604" spans="1:4">
      <c r="A604" s="23" t="s">
        <v>562</v>
      </c>
      <c r="B604" t="s">
        <v>545</v>
      </c>
      <c r="C604" t="s">
        <v>604</v>
      </c>
      <c r="D604" s="29">
        <f t="shared" si="377"/>
        <v>0</v>
      </c>
    </row>
    <row r="606" spans="1:4">
      <c r="A606" s="23" t="s">
        <v>544</v>
      </c>
      <c r="B606" t="s">
        <v>545</v>
      </c>
      <c r="C606" t="s">
        <v>1432</v>
      </c>
      <c r="D606" s="29">
        <f t="shared" ref="D606" si="378">VALUE(LEFT(C606,LEN(C606)-2))</f>
        <v>23</v>
      </c>
    </row>
    <row r="607" spans="1:4">
      <c r="A607" s="23" t="s">
        <v>547</v>
      </c>
      <c r="B607" t="s">
        <v>545</v>
      </c>
      <c r="C607" s="24">
        <v>0.43</v>
      </c>
      <c r="D607" s="27">
        <f t="shared" ref="D607" si="379">VALUE(C607*100)</f>
        <v>43</v>
      </c>
    </row>
    <row r="608" spans="1:4">
      <c r="A608" s="23" t="s">
        <v>548</v>
      </c>
      <c r="B608" t="s">
        <v>545</v>
      </c>
      <c r="C608" t="s">
        <v>590</v>
      </c>
      <c r="D608" s="29">
        <f t="shared" ref="D608" si="380">VALUE(LEFT(C608,LEN(C608)-2))</f>
        <v>9.6999999999999993</v>
      </c>
    </row>
    <row r="609" spans="1:4">
      <c r="A609" s="23" t="s">
        <v>550</v>
      </c>
      <c r="B609" t="s">
        <v>545</v>
      </c>
      <c r="C609" t="s">
        <v>659</v>
      </c>
      <c r="D609" s="28">
        <f t="shared" ref="D609" si="381">VALUE(LEFT(C609,LEN(C609)-4))</f>
        <v>1020</v>
      </c>
    </row>
    <row r="610" spans="1:4">
      <c r="A610" s="23" t="s">
        <v>552</v>
      </c>
      <c r="B610" t="s">
        <v>545</v>
      </c>
      <c r="C610" t="s">
        <v>954</v>
      </c>
      <c r="D610" s="29">
        <f t="shared" ref="D610:D611" si="382">VALUE(LEFT(C610,LEN(C610)-FIND("km/h",C610)+1)/3.6)</f>
        <v>3.083333333333333</v>
      </c>
    </row>
    <row r="611" spans="1:4">
      <c r="A611" s="23" t="s">
        <v>554</v>
      </c>
      <c r="B611" t="s">
        <v>545</v>
      </c>
      <c r="C611" t="s">
        <v>661</v>
      </c>
      <c r="D611" s="29">
        <f t="shared" si="382"/>
        <v>3.6111111111111112</v>
      </c>
    </row>
    <row r="612" spans="1:4">
      <c r="A612" s="23" t="s">
        <v>556</v>
      </c>
      <c r="B612" t="s">
        <v>545</v>
      </c>
      <c r="C612" t="s">
        <v>835</v>
      </c>
      <c r="D612" s="26">
        <f t="shared" ref="D612" si="383">VALUE(LEFT(C612,LEN(C612)-7))</f>
        <v>292</v>
      </c>
    </row>
    <row r="613" spans="1:4">
      <c r="A613" s="23" t="s">
        <v>558</v>
      </c>
      <c r="B613" t="s">
        <v>545</v>
      </c>
      <c r="C613" t="s">
        <v>685</v>
      </c>
      <c r="D613" s="29">
        <f t="shared" ref="D613:D615" si="384">VALUE(LEFT(C613,LEN(C613)-3))</f>
        <v>2</v>
      </c>
    </row>
    <row r="614" spans="1:4">
      <c r="A614" s="23" t="s">
        <v>560</v>
      </c>
      <c r="B614" t="s">
        <v>545</v>
      </c>
      <c r="C614" t="s">
        <v>1429</v>
      </c>
      <c r="D614" s="29">
        <f t="shared" si="384"/>
        <v>387.3</v>
      </c>
    </row>
    <row r="615" spans="1:4">
      <c r="A615" s="23" t="s">
        <v>562</v>
      </c>
      <c r="B615" t="s">
        <v>545</v>
      </c>
      <c r="C615" t="s">
        <v>604</v>
      </c>
      <c r="D615" s="29">
        <f t="shared" si="384"/>
        <v>0</v>
      </c>
    </row>
    <row r="617" spans="1:4">
      <c r="A617" s="23" t="s">
        <v>544</v>
      </c>
      <c r="B617" t="s">
        <v>545</v>
      </c>
      <c r="C617" t="s">
        <v>1432</v>
      </c>
      <c r="D617" s="29">
        <f t="shared" ref="D617" si="385">VALUE(LEFT(C617,LEN(C617)-2))</f>
        <v>23</v>
      </c>
    </row>
    <row r="618" spans="1:4">
      <c r="A618" s="23" t="s">
        <v>547</v>
      </c>
      <c r="B618" t="s">
        <v>545</v>
      </c>
      <c r="C618" s="24">
        <v>0.43</v>
      </c>
      <c r="D618" s="27">
        <f t="shared" ref="D618" si="386">VALUE(C618*100)</f>
        <v>43</v>
      </c>
    </row>
    <row r="619" spans="1:4">
      <c r="A619" s="23" t="s">
        <v>548</v>
      </c>
      <c r="B619" t="s">
        <v>545</v>
      </c>
      <c r="C619" t="s">
        <v>590</v>
      </c>
      <c r="D619" s="29">
        <f t="shared" ref="D619" si="387">VALUE(LEFT(C619,LEN(C619)-2))</f>
        <v>9.6999999999999993</v>
      </c>
    </row>
    <row r="620" spans="1:4">
      <c r="A620" s="23" t="s">
        <v>550</v>
      </c>
      <c r="B620" t="s">
        <v>545</v>
      </c>
      <c r="C620" t="s">
        <v>659</v>
      </c>
      <c r="D620" s="28">
        <f t="shared" ref="D620" si="388">VALUE(LEFT(C620,LEN(C620)-4))</f>
        <v>1020</v>
      </c>
    </row>
    <row r="621" spans="1:4">
      <c r="A621" s="23" t="s">
        <v>552</v>
      </c>
      <c r="B621" t="s">
        <v>545</v>
      </c>
      <c r="C621" t="s">
        <v>954</v>
      </c>
      <c r="D621" s="29">
        <f t="shared" ref="D621:D622" si="389">VALUE(LEFT(C621,LEN(C621)-FIND("km/h",C621)+1)/3.6)</f>
        <v>3.083333333333333</v>
      </c>
    </row>
    <row r="622" spans="1:4">
      <c r="A622" s="23" t="s">
        <v>554</v>
      </c>
      <c r="B622" t="s">
        <v>545</v>
      </c>
      <c r="C622" t="s">
        <v>661</v>
      </c>
      <c r="D622" s="29">
        <f t="shared" si="389"/>
        <v>3.6111111111111112</v>
      </c>
    </row>
    <row r="623" spans="1:4">
      <c r="A623" s="23" t="s">
        <v>556</v>
      </c>
      <c r="B623" t="s">
        <v>545</v>
      </c>
      <c r="C623" t="s">
        <v>835</v>
      </c>
      <c r="D623" s="26">
        <f t="shared" ref="D623" si="390">VALUE(LEFT(C623,LEN(C623)-7))</f>
        <v>292</v>
      </c>
    </row>
    <row r="624" spans="1:4">
      <c r="A624" s="23" t="s">
        <v>558</v>
      </c>
      <c r="B624" t="s">
        <v>545</v>
      </c>
      <c r="C624" t="s">
        <v>685</v>
      </c>
      <c r="D624" s="29">
        <f t="shared" ref="D624:D626" si="391">VALUE(LEFT(C624,LEN(C624)-3))</f>
        <v>2</v>
      </c>
    </row>
    <row r="625" spans="1:4">
      <c r="A625" s="23" t="s">
        <v>560</v>
      </c>
      <c r="B625" t="s">
        <v>545</v>
      </c>
      <c r="C625" t="s">
        <v>1429</v>
      </c>
      <c r="D625" s="29">
        <f t="shared" si="391"/>
        <v>387.3</v>
      </c>
    </row>
    <row r="626" spans="1:4">
      <c r="A626" s="23" t="s">
        <v>562</v>
      </c>
      <c r="B626" t="s">
        <v>545</v>
      </c>
      <c r="C626" t="s">
        <v>604</v>
      </c>
      <c r="D626" s="29">
        <f t="shared" si="391"/>
        <v>0</v>
      </c>
    </row>
    <row r="628" spans="1:4">
      <c r="A628" s="23" t="s">
        <v>544</v>
      </c>
      <c r="B628" t="s">
        <v>545</v>
      </c>
      <c r="C628" t="s">
        <v>1433</v>
      </c>
      <c r="D628" s="29">
        <f t="shared" ref="D628" si="392">VALUE(LEFT(C628,LEN(C628)-2))</f>
        <v>22.7</v>
      </c>
    </row>
    <row r="629" spans="1:4">
      <c r="A629" s="23" t="s">
        <v>547</v>
      </c>
      <c r="B629" t="s">
        <v>545</v>
      </c>
      <c r="C629" s="24">
        <v>0.44</v>
      </c>
      <c r="D629" s="27">
        <f t="shared" ref="D629" si="393">VALUE(C629*100)</f>
        <v>44</v>
      </c>
    </row>
    <row r="630" spans="1:4">
      <c r="A630" s="23" t="s">
        <v>548</v>
      </c>
      <c r="B630" t="s">
        <v>545</v>
      </c>
      <c r="C630" t="s">
        <v>590</v>
      </c>
      <c r="D630" s="29">
        <f t="shared" ref="D630" si="394">VALUE(LEFT(C630,LEN(C630)-2))</f>
        <v>9.6999999999999993</v>
      </c>
    </row>
    <row r="631" spans="1:4">
      <c r="A631" s="23" t="s">
        <v>550</v>
      </c>
      <c r="B631" t="s">
        <v>545</v>
      </c>
      <c r="C631" t="s">
        <v>972</v>
      </c>
      <c r="D631" s="28">
        <f t="shared" ref="D631" si="395">VALUE(LEFT(C631,LEN(C631)-4))</f>
        <v>1019.1</v>
      </c>
    </row>
    <row r="632" spans="1:4">
      <c r="A632" s="23" t="s">
        <v>552</v>
      </c>
      <c r="B632" t="s">
        <v>545</v>
      </c>
      <c r="C632" t="s">
        <v>1263</v>
      </c>
      <c r="D632" s="29">
        <f t="shared" ref="D632:D633" si="396">VALUE(LEFT(C632,LEN(C632)-FIND("km/h",C632)+1)/3.6)</f>
        <v>2.6388888888888888</v>
      </c>
    </row>
    <row r="633" spans="1:4">
      <c r="A633" s="23" t="s">
        <v>554</v>
      </c>
      <c r="B633" t="s">
        <v>545</v>
      </c>
      <c r="C633" t="s">
        <v>567</v>
      </c>
      <c r="D633" s="29">
        <f t="shared" si="396"/>
        <v>3.1111111111111107</v>
      </c>
    </row>
    <row r="634" spans="1:4">
      <c r="A634" s="23" t="s">
        <v>556</v>
      </c>
      <c r="B634" t="s">
        <v>545</v>
      </c>
      <c r="C634" t="s">
        <v>835</v>
      </c>
      <c r="D634" s="26">
        <f t="shared" ref="D634" si="397">VALUE(LEFT(C634,LEN(C634)-7))</f>
        <v>292</v>
      </c>
    </row>
    <row r="635" spans="1:4">
      <c r="A635" s="23" t="s">
        <v>558</v>
      </c>
      <c r="B635" t="s">
        <v>545</v>
      </c>
      <c r="C635" t="s">
        <v>685</v>
      </c>
      <c r="D635" s="29">
        <f t="shared" ref="D635:D637" si="398">VALUE(LEFT(C635,LEN(C635)-3))</f>
        <v>2</v>
      </c>
    </row>
    <row r="636" spans="1:4">
      <c r="A636" s="23" t="s">
        <v>560</v>
      </c>
      <c r="B636" t="s">
        <v>545</v>
      </c>
      <c r="C636" t="s">
        <v>1429</v>
      </c>
      <c r="D636" s="29">
        <f t="shared" si="398"/>
        <v>387.3</v>
      </c>
    </row>
    <row r="637" spans="1:4">
      <c r="A637" s="23" t="s">
        <v>562</v>
      </c>
      <c r="B637" t="s">
        <v>545</v>
      </c>
      <c r="C637" t="s">
        <v>604</v>
      </c>
      <c r="D637" s="29">
        <f t="shared" si="398"/>
        <v>0</v>
      </c>
    </row>
    <row r="639" spans="1:4">
      <c r="A639" s="23" t="s">
        <v>544</v>
      </c>
      <c r="B639" t="s">
        <v>545</v>
      </c>
      <c r="C639" t="s">
        <v>1434</v>
      </c>
      <c r="D639" s="29">
        <f t="shared" ref="D639" si="399">VALUE(LEFT(C639,LEN(C639)-2))</f>
        <v>23.5</v>
      </c>
    </row>
    <row r="640" spans="1:4">
      <c r="A640" s="23" t="s">
        <v>547</v>
      </c>
      <c r="B640" t="s">
        <v>545</v>
      </c>
      <c r="C640" s="24">
        <v>0.42</v>
      </c>
      <c r="D640" s="27">
        <f t="shared" ref="D640" si="400">VALUE(C640*100)</f>
        <v>42</v>
      </c>
    </row>
    <row r="641" spans="1:4">
      <c r="A641" s="23" t="s">
        <v>548</v>
      </c>
      <c r="B641" t="s">
        <v>545</v>
      </c>
      <c r="C641" t="s">
        <v>1012</v>
      </c>
      <c r="D641" s="29">
        <f t="shared" ref="D641" si="401">VALUE(LEFT(C641,LEN(C641)-2))</f>
        <v>8.3000000000000007</v>
      </c>
    </row>
    <row r="642" spans="1:4">
      <c r="A642" s="23" t="s">
        <v>550</v>
      </c>
      <c r="B642" t="s">
        <v>545</v>
      </c>
      <c r="C642" t="s">
        <v>814</v>
      </c>
      <c r="D642" s="28">
        <f t="shared" ref="D642" si="402">VALUE(LEFT(C642,LEN(C642)-4))</f>
        <v>1016.1</v>
      </c>
    </row>
    <row r="643" spans="1:4">
      <c r="A643" s="23" t="s">
        <v>552</v>
      </c>
      <c r="B643" t="s">
        <v>545</v>
      </c>
      <c r="C643" t="s">
        <v>654</v>
      </c>
      <c r="D643" s="29">
        <f t="shared" ref="D643:D644" si="403">VALUE(LEFT(C643,LEN(C643)-FIND("km/h",C643)+1)/3.6)</f>
        <v>1.1944444444444444</v>
      </c>
    </row>
    <row r="644" spans="1:4">
      <c r="A644" s="23" t="s">
        <v>554</v>
      </c>
      <c r="B644" t="s">
        <v>545</v>
      </c>
      <c r="C644" t="s">
        <v>781</v>
      </c>
      <c r="D644" s="29">
        <f t="shared" si="403"/>
        <v>1.8333333333333333</v>
      </c>
    </row>
    <row r="645" spans="1:4">
      <c r="A645" s="23" t="s">
        <v>556</v>
      </c>
      <c r="B645" t="s">
        <v>545</v>
      </c>
      <c r="C645" t="s">
        <v>1435</v>
      </c>
      <c r="D645" s="26">
        <f t="shared" ref="D645" si="404">VALUE(LEFT(C645,LEN(C645)-7))</f>
        <v>349</v>
      </c>
    </row>
    <row r="646" spans="1:4">
      <c r="A646" s="23" t="s">
        <v>558</v>
      </c>
      <c r="B646" t="s">
        <v>545</v>
      </c>
      <c r="C646" t="s">
        <v>685</v>
      </c>
      <c r="D646" s="29">
        <f t="shared" ref="D646:D648" si="405">VALUE(LEFT(C646,LEN(C646)-3))</f>
        <v>2</v>
      </c>
    </row>
    <row r="647" spans="1:4">
      <c r="A647" s="23" t="s">
        <v>560</v>
      </c>
      <c r="B647" t="s">
        <v>545</v>
      </c>
      <c r="C647" t="s">
        <v>1429</v>
      </c>
      <c r="D647" s="29">
        <f t="shared" si="405"/>
        <v>387.3</v>
      </c>
    </row>
    <row r="648" spans="1:4">
      <c r="A648" s="23" t="s">
        <v>562</v>
      </c>
      <c r="B648" t="s">
        <v>545</v>
      </c>
      <c r="C648" t="s">
        <v>604</v>
      </c>
      <c r="D648" s="29">
        <f t="shared" si="405"/>
        <v>0</v>
      </c>
    </row>
    <row r="650" spans="1:4">
      <c r="A650" s="23" t="s">
        <v>544</v>
      </c>
      <c r="B650" t="s">
        <v>545</v>
      </c>
      <c r="C650" t="s">
        <v>1411</v>
      </c>
      <c r="D650" s="29">
        <f t="shared" ref="D650" si="406">VALUE(LEFT(C650,LEN(C650)-2))</f>
        <v>22.2</v>
      </c>
    </row>
    <row r="651" spans="1:4">
      <c r="A651" s="23" t="s">
        <v>547</v>
      </c>
      <c r="B651" t="s">
        <v>545</v>
      </c>
      <c r="C651" s="24">
        <v>0.41</v>
      </c>
      <c r="D651" s="27">
        <f t="shared" ref="D651" si="407">VALUE(C651*100)</f>
        <v>41</v>
      </c>
    </row>
    <row r="652" spans="1:4">
      <c r="A652" s="23" t="s">
        <v>548</v>
      </c>
      <c r="B652" t="s">
        <v>545</v>
      </c>
      <c r="C652" t="s">
        <v>1047</v>
      </c>
      <c r="D652" s="29">
        <f t="shared" ref="D652" si="408">VALUE(LEFT(C652,LEN(C652)-2))</f>
        <v>6.8</v>
      </c>
    </row>
    <row r="653" spans="1:4">
      <c r="A653" s="23" t="s">
        <v>550</v>
      </c>
      <c r="B653" t="s">
        <v>545</v>
      </c>
      <c r="C653" t="s">
        <v>600</v>
      </c>
      <c r="D653" s="28">
        <f t="shared" ref="D653" si="409">VALUE(LEFT(C653,LEN(C653)-4))</f>
        <v>1018.1</v>
      </c>
    </row>
    <row r="654" spans="1:4">
      <c r="A654" s="23" t="s">
        <v>552</v>
      </c>
      <c r="B654" t="s">
        <v>545</v>
      </c>
      <c r="C654" t="s">
        <v>665</v>
      </c>
      <c r="D654" s="29">
        <f t="shared" ref="D654:D655" si="410">VALUE(LEFT(C654,LEN(C654)-FIND("km/h",C654)+1)/3.6)</f>
        <v>0.86111111111111116</v>
      </c>
    </row>
    <row r="655" spans="1:4">
      <c r="A655" s="23" t="s">
        <v>554</v>
      </c>
      <c r="B655" t="s">
        <v>545</v>
      </c>
      <c r="C655" t="s">
        <v>624</v>
      </c>
      <c r="D655" s="29">
        <f t="shared" si="410"/>
        <v>1.3888888888888888</v>
      </c>
    </row>
    <row r="656" spans="1:4">
      <c r="A656" s="23" t="s">
        <v>556</v>
      </c>
      <c r="B656" t="s">
        <v>545</v>
      </c>
      <c r="C656" t="s">
        <v>1424</v>
      </c>
      <c r="D656" s="26">
        <f t="shared" ref="D656" si="411">VALUE(LEFT(C656,LEN(C656)-7))</f>
        <v>291</v>
      </c>
    </row>
    <row r="657" spans="1:4">
      <c r="A657" s="23" t="s">
        <v>558</v>
      </c>
      <c r="B657" t="s">
        <v>545</v>
      </c>
      <c r="C657" t="s">
        <v>685</v>
      </c>
      <c r="D657" s="29">
        <f t="shared" ref="D657:D659" si="412">VALUE(LEFT(C657,LEN(C657)-3))</f>
        <v>2</v>
      </c>
    </row>
    <row r="658" spans="1:4">
      <c r="A658" s="23" t="s">
        <v>560</v>
      </c>
      <c r="B658" t="s">
        <v>545</v>
      </c>
      <c r="C658" t="s">
        <v>1429</v>
      </c>
      <c r="D658" s="29">
        <f t="shared" si="412"/>
        <v>387.3</v>
      </c>
    </row>
    <row r="659" spans="1:4">
      <c r="A659" s="23" t="s">
        <v>562</v>
      </c>
      <c r="B659" t="s">
        <v>545</v>
      </c>
      <c r="C659" t="s">
        <v>604</v>
      </c>
      <c r="D659" s="29">
        <f t="shared" si="412"/>
        <v>0</v>
      </c>
    </row>
    <row r="661" spans="1:4">
      <c r="A661" s="23" t="s">
        <v>544</v>
      </c>
      <c r="B661" t="s">
        <v>545</v>
      </c>
      <c r="C661" t="s">
        <v>809</v>
      </c>
      <c r="D661" s="29">
        <f t="shared" ref="D661" si="413">VALUE(LEFT(C661,LEN(C661)-2))</f>
        <v>18.600000000000001</v>
      </c>
    </row>
    <row r="662" spans="1:4">
      <c r="A662" s="23" t="s">
        <v>547</v>
      </c>
      <c r="B662" t="s">
        <v>545</v>
      </c>
      <c r="C662" s="24">
        <v>0.67</v>
      </c>
      <c r="D662" s="27">
        <f t="shared" ref="D662" si="414">VALUE(C662*100)</f>
        <v>67</v>
      </c>
    </row>
    <row r="663" spans="1:4">
      <c r="A663" s="23" t="s">
        <v>548</v>
      </c>
      <c r="B663" t="s">
        <v>545</v>
      </c>
      <c r="C663" t="s">
        <v>1168</v>
      </c>
      <c r="D663" s="29">
        <f t="shared" ref="D663" si="415">VALUE(LEFT(C663,LEN(C663)-2))</f>
        <v>11.9</v>
      </c>
    </row>
    <row r="664" spans="1:4">
      <c r="A664" s="23" t="s">
        <v>550</v>
      </c>
      <c r="B664" t="s">
        <v>545</v>
      </c>
      <c r="C664" t="s">
        <v>680</v>
      </c>
      <c r="D664" s="28">
        <f t="shared" ref="D664" si="416">VALUE(LEFT(C664,LEN(C664)-4))</f>
        <v>1017.9</v>
      </c>
    </row>
    <row r="665" spans="1:4">
      <c r="A665" s="23" t="s">
        <v>552</v>
      </c>
      <c r="B665" t="s">
        <v>545</v>
      </c>
      <c r="C665" t="s">
        <v>669</v>
      </c>
      <c r="D665" s="29">
        <f t="shared" ref="D665:D666" si="417">VALUE(LEFT(C665,LEN(C665)-FIND("km/h",C665)+1)/3.6)</f>
        <v>1.4722222222222221</v>
      </c>
    </row>
    <row r="666" spans="1:4">
      <c r="A666" s="23" t="s">
        <v>554</v>
      </c>
      <c r="B666" t="s">
        <v>545</v>
      </c>
      <c r="C666" t="s">
        <v>839</v>
      </c>
      <c r="D666" s="29">
        <f t="shared" si="417"/>
        <v>2.2222222222222223</v>
      </c>
    </row>
    <row r="667" spans="1:4">
      <c r="A667" s="23" t="s">
        <v>556</v>
      </c>
      <c r="B667" t="s">
        <v>545</v>
      </c>
      <c r="C667" t="s">
        <v>890</v>
      </c>
      <c r="D667" s="26">
        <f t="shared" ref="D667" si="418">VALUE(LEFT(C667,LEN(C667)-7))</f>
        <v>312</v>
      </c>
    </row>
    <row r="668" spans="1:4">
      <c r="A668" s="23" t="s">
        <v>558</v>
      </c>
      <c r="B668" t="s">
        <v>545</v>
      </c>
      <c r="C668" t="s">
        <v>685</v>
      </c>
      <c r="D668" s="29">
        <f t="shared" ref="D668:D670" si="419">VALUE(LEFT(C668,LEN(C668)-3))</f>
        <v>2</v>
      </c>
    </row>
    <row r="669" spans="1:4">
      <c r="A669" s="23" t="s">
        <v>560</v>
      </c>
      <c r="B669" t="s">
        <v>545</v>
      </c>
      <c r="C669" t="s">
        <v>1429</v>
      </c>
      <c r="D669" s="29">
        <f t="shared" si="419"/>
        <v>387.3</v>
      </c>
    </row>
    <row r="670" spans="1:4">
      <c r="A670" s="23" t="s">
        <v>562</v>
      </c>
      <c r="B670" t="s">
        <v>545</v>
      </c>
      <c r="C670" t="s">
        <v>604</v>
      </c>
      <c r="D670" s="29">
        <f t="shared" si="419"/>
        <v>0</v>
      </c>
    </row>
    <row r="672" spans="1:4">
      <c r="A672" s="23" t="s">
        <v>544</v>
      </c>
      <c r="B672" t="s">
        <v>545</v>
      </c>
      <c r="C672" t="s">
        <v>1020</v>
      </c>
      <c r="D672" s="29">
        <f t="shared" ref="D672" si="420">VALUE(LEFT(C672,LEN(C672)-2))</f>
        <v>19.7</v>
      </c>
    </row>
    <row r="673" spans="1:4">
      <c r="A673" s="23" t="s">
        <v>547</v>
      </c>
      <c r="B673" t="s">
        <v>545</v>
      </c>
      <c r="C673" s="24">
        <v>0.75</v>
      </c>
      <c r="D673" s="27">
        <f t="shared" ref="D673" si="421">VALUE(C673*100)</f>
        <v>75</v>
      </c>
    </row>
    <row r="674" spans="1:4">
      <c r="A674" s="23" t="s">
        <v>548</v>
      </c>
      <c r="B674" t="s">
        <v>545</v>
      </c>
      <c r="C674" t="s">
        <v>1176</v>
      </c>
      <c r="D674" s="29">
        <f t="shared" ref="D674" si="422">VALUE(LEFT(C674,LEN(C674)-2))</f>
        <v>14.6</v>
      </c>
    </row>
    <row r="675" spans="1:4">
      <c r="A675" s="23" t="s">
        <v>550</v>
      </c>
      <c r="B675" t="s">
        <v>545</v>
      </c>
      <c r="C675" t="s">
        <v>1029</v>
      </c>
      <c r="D675" s="28">
        <f t="shared" ref="D675" si="423">VALUE(LEFT(C675,LEN(C675)-4))</f>
        <v>1015.5</v>
      </c>
    </row>
    <row r="676" spans="1:4">
      <c r="A676" s="23" t="s">
        <v>552</v>
      </c>
      <c r="B676" t="s">
        <v>545</v>
      </c>
      <c r="C676" t="s">
        <v>624</v>
      </c>
      <c r="D676" s="29">
        <f t="shared" ref="D676:D677" si="424">VALUE(LEFT(C676,LEN(C676)-FIND("km/h",C676)+1)/3.6)</f>
        <v>1.3888888888888888</v>
      </c>
    </row>
    <row r="677" spans="1:4">
      <c r="A677" s="23" t="s">
        <v>554</v>
      </c>
      <c r="B677" t="s">
        <v>545</v>
      </c>
      <c r="C677" t="s">
        <v>953</v>
      </c>
      <c r="D677" s="29">
        <f t="shared" si="424"/>
        <v>2.1666666666666665</v>
      </c>
    </row>
    <row r="678" spans="1:4">
      <c r="A678" s="23" t="s">
        <v>556</v>
      </c>
      <c r="B678" t="s">
        <v>545</v>
      </c>
      <c r="C678" t="s">
        <v>1040</v>
      </c>
      <c r="D678" s="26">
        <f t="shared" ref="D678" si="425">VALUE(LEFT(C678,LEN(C678)-7))</f>
        <v>295</v>
      </c>
    </row>
    <row r="679" spans="1:4">
      <c r="A679" s="23" t="s">
        <v>558</v>
      </c>
      <c r="B679" t="s">
        <v>545</v>
      </c>
      <c r="C679" t="s">
        <v>685</v>
      </c>
      <c r="D679" s="29">
        <f t="shared" ref="D679:D681" si="426">VALUE(LEFT(C679,LEN(C679)-3))</f>
        <v>2</v>
      </c>
    </row>
    <row r="680" spans="1:4">
      <c r="A680" s="23" t="s">
        <v>560</v>
      </c>
      <c r="B680" t="s">
        <v>545</v>
      </c>
      <c r="C680" t="s">
        <v>1429</v>
      </c>
      <c r="D680" s="29">
        <f t="shared" si="426"/>
        <v>387.3</v>
      </c>
    </row>
    <row r="681" spans="1:4">
      <c r="A681" s="23" t="s">
        <v>562</v>
      </c>
      <c r="B681" t="s">
        <v>545</v>
      </c>
      <c r="C681" t="s">
        <v>604</v>
      </c>
      <c r="D681" s="29">
        <f t="shared" si="426"/>
        <v>0</v>
      </c>
    </row>
    <row r="683" spans="1:4">
      <c r="A683" s="23" t="s">
        <v>544</v>
      </c>
      <c r="B683" t="s">
        <v>545</v>
      </c>
      <c r="C683" t="s">
        <v>1043</v>
      </c>
      <c r="D683" s="29">
        <f t="shared" ref="D683" si="427">VALUE(LEFT(C683,LEN(C683)-2))</f>
        <v>18</v>
      </c>
    </row>
    <row r="684" spans="1:4">
      <c r="A684" s="23" t="s">
        <v>547</v>
      </c>
      <c r="B684" t="s">
        <v>545</v>
      </c>
      <c r="C684" s="24">
        <v>0.78</v>
      </c>
      <c r="D684" s="27">
        <f t="shared" ref="D684" si="428">VALUE(C684*100)</f>
        <v>78</v>
      </c>
    </row>
    <row r="685" spans="1:4">
      <c r="A685" s="23" t="s">
        <v>548</v>
      </c>
      <c r="B685" t="s">
        <v>545</v>
      </c>
      <c r="C685" t="s">
        <v>642</v>
      </c>
      <c r="D685" s="29">
        <f t="shared" ref="D685" si="429">VALUE(LEFT(C685,LEN(C685)-2))</f>
        <v>13.7</v>
      </c>
    </row>
    <row r="686" spans="1:4">
      <c r="A686" s="23" t="s">
        <v>550</v>
      </c>
      <c r="B686" t="s">
        <v>545</v>
      </c>
      <c r="C686" t="s">
        <v>1436</v>
      </c>
      <c r="D686" s="28">
        <f t="shared" ref="D686" si="430">VALUE(LEFT(C686,LEN(C686)-4))</f>
        <v>1014.2</v>
      </c>
    </row>
    <row r="687" spans="1:4">
      <c r="A687" s="23" t="s">
        <v>552</v>
      </c>
      <c r="B687" t="s">
        <v>545</v>
      </c>
      <c r="C687" t="s">
        <v>646</v>
      </c>
      <c r="D687" s="29">
        <f t="shared" ref="D687:D688" si="431">VALUE(LEFT(C687,LEN(C687)-FIND("km/h",C687)+1)/3.6)</f>
        <v>1.5833333333333333</v>
      </c>
    </row>
    <row r="688" spans="1:4">
      <c r="A688" s="23" t="s">
        <v>554</v>
      </c>
      <c r="B688" t="s">
        <v>545</v>
      </c>
      <c r="C688" t="s">
        <v>821</v>
      </c>
      <c r="D688" s="29">
        <f t="shared" si="431"/>
        <v>2.3611111111111112</v>
      </c>
    </row>
    <row r="689" spans="1:4">
      <c r="A689" s="23" t="s">
        <v>556</v>
      </c>
      <c r="B689" t="s">
        <v>545</v>
      </c>
      <c r="C689" t="s">
        <v>1040</v>
      </c>
      <c r="D689" s="26">
        <f t="shared" ref="D689" si="432">VALUE(LEFT(C689,LEN(C689)-7))</f>
        <v>295</v>
      </c>
    </row>
    <row r="690" spans="1:4">
      <c r="A690" s="23" t="s">
        <v>558</v>
      </c>
      <c r="B690" t="s">
        <v>545</v>
      </c>
      <c r="C690" t="s">
        <v>685</v>
      </c>
      <c r="D690" s="29">
        <f t="shared" ref="D690:D692" si="433">VALUE(LEFT(C690,LEN(C690)-3))</f>
        <v>2</v>
      </c>
    </row>
    <row r="691" spans="1:4">
      <c r="A691" s="23" t="s">
        <v>560</v>
      </c>
      <c r="B691" t="s">
        <v>545</v>
      </c>
      <c r="C691" t="s">
        <v>1429</v>
      </c>
      <c r="D691" s="29">
        <f t="shared" si="433"/>
        <v>387.3</v>
      </c>
    </row>
    <row r="692" spans="1:4">
      <c r="A692" s="23" t="s">
        <v>562</v>
      </c>
      <c r="B692" t="s">
        <v>545</v>
      </c>
      <c r="C692" t="s">
        <v>604</v>
      </c>
      <c r="D692" s="29">
        <f t="shared" si="433"/>
        <v>0</v>
      </c>
    </row>
    <row r="694" spans="1:4">
      <c r="A694" s="23" t="s">
        <v>544</v>
      </c>
      <c r="B694" t="s">
        <v>545</v>
      </c>
      <c r="C694" t="s">
        <v>878</v>
      </c>
      <c r="D694" s="29">
        <f t="shared" ref="D694" si="434">VALUE(LEFT(C694,LEN(C694)-2))</f>
        <v>18.7</v>
      </c>
    </row>
    <row r="695" spans="1:4">
      <c r="A695" s="23" t="s">
        <v>547</v>
      </c>
      <c r="B695" t="s">
        <v>545</v>
      </c>
      <c r="C695" s="24">
        <v>0.72</v>
      </c>
      <c r="D695" s="27">
        <f t="shared" ref="D695" si="435">VALUE(C695*100)</f>
        <v>72</v>
      </c>
    </row>
    <row r="696" spans="1:4">
      <c r="A696" s="23" t="s">
        <v>548</v>
      </c>
      <c r="B696" t="s">
        <v>545</v>
      </c>
      <c r="C696" t="s">
        <v>546</v>
      </c>
      <c r="D696" s="29">
        <f t="shared" ref="D696" si="436">VALUE(LEFT(C696,LEN(C696)-2))</f>
        <v>12.9</v>
      </c>
    </row>
    <row r="697" spans="1:4">
      <c r="A697" s="23" t="s">
        <v>550</v>
      </c>
      <c r="B697" t="s">
        <v>545</v>
      </c>
      <c r="C697" t="s">
        <v>1381</v>
      </c>
      <c r="D697" s="28">
        <f t="shared" ref="D697" si="437">VALUE(LEFT(C697,LEN(C697)-4))</f>
        <v>1013.9</v>
      </c>
    </row>
    <row r="698" spans="1:4">
      <c r="A698" s="23" t="s">
        <v>552</v>
      </c>
      <c r="B698" t="s">
        <v>545</v>
      </c>
      <c r="C698" t="s">
        <v>785</v>
      </c>
      <c r="D698" s="29">
        <f t="shared" ref="D698:D699" si="438">VALUE(LEFT(C698,LEN(C698)-FIND("km/h",C698)+1)/3.6)</f>
        <v>1.7222222222222223</v>
      </c>
    </row>
    <row r="699" spans="1:4">
      <c r="A699" s="23" t="s">
        <v>554</v>
      </c>
      <c r="B699" t="s">
        <v>545</v>
      </c>
      <c r="C699" t="s">
        <v>790</v>
      </c>
      <c r="D699" s="29">
        <f t="shared" si="438"/>
        <v>2.6111111111111112</v>
      </c>
    </row>
    <row r="700" spans="1:4">
      <c r="A700" s="23" t="s">
        <v>556</v>
      </c>
      <c r="B700" t="s">
        <v>545</v>
      </c>
      <c r="C700" t="s">
        <v>578</v>
      </c>
      <c r="D700" s="26">
        <f t="shared" ref="D700" si="439">VALUE(LEFT(C700,LEN(C700)-7))</f>
        <v>290</v>
      </c>
    </row>
    <row r="701" spans="1:4">
      <c r="A701" s="23" t="s">
        <v>558</v>
      </c>
      <c r="B701" t="s">
        <v>545</v>
      </c>
      <c r="C701" t="s">
        <v>685</v>
      </c>
      <c r="D701" s="29">
        <f t="shared" ref="D701:D703" si="440">VALUE(LEFT(C701,LEN(C701)-3))</f>
        <v>2</v>
      </c>
    </row>
    <row r="702" spans="1:4">
      <c r="A702" s="23" t="s">
        <v>560</v>
      </c>
      <c r="B702" t="s">
        <v>545</v>
      </c>
      <c r="C702" t="s">
        <v>1429</v>
      </c>
      <c r="D702" s="29">
        <f t="shared" si="440"/>
        <v>387.3</v>
      </c>
    </row>
    <row r="703" spans="1:4">
      <c r="A703" s="23" t="s">
        <v>562</v>
      </c>
      <c r="B703" t="s">
        <v>545</v>
      </c>
      <c r="C703" t="s">
        <v>604</v>
      </c>
      <c r="D703" s="29">
        <f t="shared" si="440"/>
        <v>0</v>
      </c>
    </row>
    <row r="705" spans="1:4">
      <c r="A705" s="23" t="s">
        <v>544</v>
      </c>
      <c r="B705" t="s">
        <v>545</v>
      </c>
      <c r="C705" t="s">
        <v>990</v>
      </c>
      <c r="D705" s="29">
        <f t="shared" ref="D705" si="441">VALUE(LEFT(C705,LEN(C705)-2))</f>
        <v>17.600000000000001</v>
      </c>
    </row>
    <row r="706" spans="1:4">
      <c r="A706" s="23" t="s">
        <v>547</v>
      </c>
      <c r="B706" t="s">
        <v>545</v>
      </c>
      <c r="C706" s="24">
        <v>0.79</v>
      </c>
      <c r="D706" s="27">
        <f t="shared" ref="D706" si="442">VALUE(C706*100)</f>
        <v>79</v>
      </c>
    </row>
    <row r="707" spans="1:4">
      <c r="A707" s="23" t="s">
        <v>548</v>
      </c>
      <c r="B707" t="s">
        <v>545</v>
      </c>
      <c r="C707" t="s">
        <v>598</v>
      </c>
      <c r="D707" s="29">
        <f t="shared" ref="D707" si="443">VALUE(LEFT(C707,LEN(C707)-2))</f>
        <v>13.4</v>
      </c>
    </row>
    <row r="708" spans="1:4">
      <c r="A708" s="23" t="s">
        <v>550</v>
      </c>
      <c r="B708" t="s">
        <v>545</v>
      </c>
      <c r="C708" t="s">
        <v>623</v>
      </c>
      <c r="D708" s="28">
        <f t="shared" ref="D708" si="444">VALUE(LEFT(C708,LEN(C708)-4))</f>
        <v>1015.2</v>
      </c>
    </row>
    <row r="709" spans="1:4">
      <c r="A709" s="23" t="s">
        <v>552</v>
      </c>
      <c r="B709" t="s">
        <v>545</v>
      </c>
      <c r="C709" t="s">
        <v>655</v>
      </c>
      <c r="D709" s="29">
        <f t="shared" ref="D709:D710" si="445">VALUE(LEFT(C709,LEN(C709)-FIND("km/h",C709)+1)/3.6)</f>
        <v>1.8611111111111112</v>
      </c>
    </row>
    <row r="710" spans="1:4">
      <c r="A710" s="23" t="s">
        <v>554</v>
      </c>
      <c r="B710" t="s">
        <v>545</v>
      </c>
      <c r="C710" t="s">
        <v>1156</v>
      </c>
      <c r="D710" s="29">
        <f t="shared" si="445"/>
        <v>3</v>
      </c>
    </row>
    <row r="711" spans="1:4">
      <c r="A711" s="23" t="s">
        <v>556</v>
      </c>
      <c r="B711" t="s">
        <v>545</v>
      </c>
      <c r="C711" t="s">
        <v>1437</v>
      </c>
      <c r="D711" s="26">
        <f t="shared" ref="D711" si="446">VALUE(LEFT(C711,LEN(C711)-7))</f>
        <v>307</v>
      </c>
    </row>
    <row r="712" spans="1:4">
      <c r="A712" s="23" t="s">
        <v>558</v>
      </c>
      <c r="B712" t="s">
        <v>545</v>
      </c>
      <c r="C712" t="s">
        <v>685</v>
      </c>
      <c r="D712" s="29">
        <f t="shared" ref="D712:D714" si="447">VALUE(LEFT(C712,LEN(C712)-3))</f>
        <v>2</v>
      </c>
    </row>
    <row r="713" spans="1:4">
      <c r="A713" s="23" t="s">
        <v>560</v>
      </c>
      <c r="B713" t="s">
        <v>545</v>
      </c>
      <c r="C713" t="s">
        <v>1429</v>
      </c>
      <c r="D713" s="29">
        <f t="shared" si="447"/>
        <v>387.3</v>
      </c>
    </row>
    <row r="714" spans="1:4">
      <c r="A714" s="23" t="s">
        <v>562</v>
      </c>
      <c r="B714" t="s">
        <v>545</v>
      </c>
      <c r="C714" t="s">
        <v>604</v>
      </c>
      <c r="D714" s="29">
        <f t="shared" si="447"/>
        <v>0</v>
      </c>
    </row>
    <row r="716" spans="1:4">
      <c r="A716" s="23" t="s">
        <v>544</v>
      </c>
      <c r="B716" t="s">
        <v>545</v>
      </c>
      <c r="C716" t="s">
        <v>1384</v>
      </c>
      <c r="D716" s="29">
        <f t="shared" ref="D716" si="448">VALUE(LEFT(C716,LEN(C716)-2))</f>
        <v>20.100000000000001</v>
      </c>
    </row>
    <row r="717" spans="1:4">
      <c r="A717" s="23" t="s">
        <v>547</v>
      </c>
      <c r="B717" t="s">
        <v>545</v>
      </c>
      <c r="C717" s="24">
        <v>0.72</v>
      </c>
      <c r="D717" s="27">
        <f t="shared" ref="D717" si="449">VALUE(C717*100)</f>
        <v>72</v>
      </c>
    </row>
    <row r="718" spans="1:4">
      <c r="A718" s="23" t="s">
        <v>548</v>
      </c>
      <c r="B718" t="s">
        <v>545</v>
      </c>
      <c r="C718" t="s">
        <v>797</v>
      </c>
      <c r="D718" s="29">
        <f t="shared" ref="D718" si="450">VALUE(LEFT(C718,LEN(C718)-2))</f>
        <v>14.1</v>
      </c>
    </row>
    <row r="719" spans="1:4">
      <c r="A719" s="23" t="s">
        <v>550</v>
      </c>
      <c r="B719" t="s">
        <v>545</v>
      </c>
      <c r="C719" t="s">
        <v>1397</v>
      </c>
      <c r="D719" s="28">
        <f t="shared" ref="D719" si="451">VALUE(LEFT(C719,LEN(C719)-4))</f>
        <v>1015.1</v>
      </c>
    </row>
    <row r="720" spans="1:4">
      <c r="A720" s="23" t="s">
        <v>552</v>
      </c>
      <c r="B720" t="s">
        <v>545</v>
      </c>
      <c r="C720" t="s">
        <v>673</v>
      </c>
      <c r="D720" s="29">
        <f t="shared" ref="D720:D721" si="452">VALUE(LEFT(C720,LEN(C720)-FIND("km/h",C720)+1)/3.6)</f>
        <v>1.3055555555555556</v>
      </c>
    </row>
    <row r="721" spans="1:4">
      <c r="A721" s="23" t="s">
        <v>554</v>
      </c>
      <c r="B721" t="s">
        <v>545</v>
      </c>
      <c r="C721" t="s">
        <v>692</v>
      </c>
      <c r="D721" s="29">
        <f t="shared" si="452"/>
        <v>2.1388888888888888</v>
      </c>
    </row>
    <row r="722" spans="1:4">
      <c r="A722" s="23" t="s">
        <v>556</v>
      </c>
      <c r="B722" t="s">
        <v>545</v>
      </c>
      <c r="C722" t="s">
        <v>1438</v>
      </c>
      <c r="D722" s="26">
        <f t="shared" ref="D722" si="453">VALUE(LEFT(C722,LEN(C722)-7))</f>
        <v>313</v>
      </c>
    </row>
    <row r="723" spans="1:4">
      <c r="A723" s="23" t="s">
        <v>558</v>
      </c>
      <c r="B723" t="s">
        <v>545</v>
      </c>
      <c r="C723" t="s">
        <v>685</v>
      </c>
      <c r="D723" s="29">
        <f t="shared" ref="D723:D725" si="454">VALUE(LEFT(C723,LEN(C723)-3))</f>
        <v>2</v>
      </c>
    </row>
    <row r="724" spans="1:4">
      <c r="A724" s="23" t="s">
        <v>560</v>
      </c>
      <c r="B724" t="s">
        <v>545</v>
      </c>
      <c r="C724" t="s">
        <v>1429</v>
      </c>
      <c r="D724" s="29">
        <f t="shared" si="454"/>
        <v>387.3</v>
      </c>
    </row>
    <row r="725" spans="1:4">
      <c r="A725" s="23" t="s">
        <v>562</v>
      </c>
      <c r="B725" t="s">
        <v>545</v>
      </c>
      <c r="C725" t="s">
        <v>604</v>
      </c>
      <c r="D725" s="29">
        <f t="shared" si="454"/>
        <v>0</v>
      </c>
    </row>
    <row r="727" spans="1:4">
      <c r="A727" s="23" t="s">
        <v>544</v>
      </c>
      <c r="B727" t="s">
        <v>545</v>
      </c>
      <c r="C727" t="s">
        <v>1380</v>
      </c>
      <c r="D727" s="29">
        <f t="shared" ref="D727" si="455">VALUE(LEFT(C727,LEN(C727)-2))</f>
        <v>21.2</v>
      </c>
    </row>
    <row r="728" spans="1:4">
      <c r="A728" s="23" t="s">
        <v>547</v>
      </c>
      <c r="B728" t="s">
        <v>545</v>
      </c>
      <c r="C728" s="24">
        <v>0.61</v>
      </c>
      <c r="D728" s="27">
        <f t="shared" ref="D728" si="456">VALUE(C728*100)</f>
        <v>61</v>
      </c>
    </row>
    <row r="729" spans="1:4">
      <c r="A729" s="23" t="s">
        <v>548</v>
      </c>
      <c r="B729" t="s">
        <v>545</v>
      </c>
      <c r="C729" t="s">
        <v>753</v>
      </c>
      <c r="D729" s="29">
        <f t="shared" ref="D729" si="457">VALUE(LEFT(C729,LEN(C729)-2))</f>
        <v>11.5</v>
      </c>
    </row>
    <row r="730" spans="1:4">
      <c r="A730" s="23" t="s">
        <v>550</v>
      </c>
      <c r="B730" t="s">
        <v>545</v>
      </c>
      <c r="C730" t="s">
        <v>872</v>
      </c>
      <c r="D730" s="28">
        <f t="shared" ref="D730" si="458">VALUE(LEFT(C730,LEN(C730)-4))</f>
        <v>1015.4</v>
      </c>
    </row>
    <row r="731" spans="1:4">
      <c r="A731" s="23" t="s">
        <v>552</v>
      </c>
      <c r="B731" t="s">
        <v>545</v>
      </c>
      <c r="C731" t="s">
        <v>1141</v>
      </c>
      <c r="D731" s="29">
        <f t="shared" ref="D731:D732" si="459">VALUE(LEFT(C731,LEN(C731)-FIND("km/h",C731)+1)/3.6)</f>
        <v>1.1111111111111112</v>
      </c>
    </row>
    <row r="732" spans="1:4">
      <c r="A732" s="23" t="s">
        <v>554</v>
      </c>
      <c r="B732" t="s">
        <v>545</v>
      </c>
      <c r="C732" t="s">
        <v>795</v>
      </c>
      <c r="D732" s="29">
        <f t="shared" si="459"/>
        <v>1.6111111111111109</v>
      </c>
    </row>
    <row r="733" spans="1:4">
      <c r="A733" s="23" t="s">
        <v>556</v>
      </c>
      <c r="B733" t="s">
        <v>545</v>
      </c>
      <c r="C733" t="s">
        <v>603</v>
      </c>
      <c r="D733" s="26">
        <f t="shared" ref="D733" si="460">VALUE(LEFT(C733,LEN(C733)-7))</f>
        <v>332</v>
      </c>
    </row>
    <row r="734" spans="1:4">
      <c r="A734" s="23" t="s">
        <v>558</v>
      </c>
      <c r="B734" t="s">
        <v>545</v>
      </c>
      <c r="C734" t="s">
        <v>685</v>
      </c>
      <c r="D734" s="29">
        <f t="shared" ref="D734:D736" si="461">VALUE(LEFT(C734,LEN(C734)-3))</f>
        <v>2</v>
      </c>
    </row>
    <row r="735" spans="1:4">
      <c r="A735" s="23" t="s">
        <v>560</v>
      </c>
      <c r="B735" t="s">
        <v>545</v>
      </c>
      <c r="C735" t="s">
        <v>1429</v>
      </c>
      <c r="D735" s="29">
        <f t="shared" si="461"/>
        <v>387.3</v>
      </c>
    </row>
    <row r="736" spans="1:4">
      <c r="A736" s="23" t="s">
        <v>562</v>
      </c>
      <c r="B736" t="s">
        <v>545</v>
      </c>
      <c r="C736" t="s">
        <v>604</v>
      </c>
      <c r="D736" s="29">
        <f t="shared" si="461"/>
        <v>0</v>
      </c>
    </row>
    <row r="738" spans="1:4">
      <c r="A738" s="23" t="s">
        <v>544</v>
      </c>
      <c r="B738" t="s">
        <v>545</v>
      </c>
      <c r="C738" t="s">
        <v>1005</v>
      </c>
      <c r="D738" s="29">
        <f t="shared" ref="D738" si="462">VALUE(LEFT(C738,LEN(C738)-2))</f>
        <v>23.2</v>
      </c>
    </row>
    <row r="739" spans="1:4">
      <c r="A739" s="23" t="s">
        <v>547</v>
      </c>
      <c r="B739" t="s">
        <v>545</v>
      </c>
      <c r="C739" s="24">
        <v>0.49</v>
      </c>
      <c r="D739" s="27">
        <f t="shared" ref="D739" si="463">VALUE(C739*100)</f>
        <v>49</v>
      </c>
    </row>
    <row r="740" spans="1:4">
      <c r="A740" s="23" t="s">
        <v>548</v>
      </c>
      <c r="B740" t="s">
        <v>545</v>
      </c>
      <c r="C740" t="s">
        <v>1148</v>
      </c>
      <c r="D740" s="29">
        <f t="shared" ref="D740" si="464">VALUE(LEFT(C740,LEN(C740)-2))</f>
        <v>9.9</v>
      </c>
    </row>
    <row r="741" spans="1:4">
      <c r="A741" s="23" t="s">
        <v>550</v>
      </c>
      <c r="B741" t="s">
        <v>545</v>
      </c>
      <c r="C741" t="s">
        <v>1041</v>
      </c>
      <c r="D741" s="28">
        <f t="shared" ref="D741" si="465">VALUE(LEFT(C741,LEN(C741)-4))</f>
        <v>1017.1</v>
      </c>
    </row>
    <row r="742" spans="1:4">
      <c r="A742" s="23" t="s">
        <v>552</v>
      </c>
      <c r="B742" t="s">
        <v>545</v>
      </c>
      <c r="C742" t="s">
        <v>645</v>
      </c>
      <c r="D742" s="29">
        <f t="shared" ref="D742:D743" si="466">VALUE(LEFT(C742,LEN(C742)-FIND("km/h",C742)+1)/3.6)</f>
        <v>1</v>
      </c>
    </row>
    <row r="743" spans="1:4">
      <c r="A743" s="23" t="s">
        <v>554</v>
      </c>
      <c r="B743" t="s">
        <v>545</v>
      </c>
      <c r="C743" t="s">
        <v>669</v>
      </c>
      <c r="D743" s="29">
        <f t="shared" si="466"/>
        <v>1.4722222222222221</v>
      </c>
    </row>
    <row r="744" spans="1:4">
      <c r="A744" s="23" t="s">
        <v>556</v>
      </c>
      <c r="B744" t="s">
        <v>545</v>
      </c>
      <c r="C744" t="s">
        <v>1439</v>
      </c>
      <c r="D744" s="26">
        <f t="shared" ref="D744" si="467">VALUE(LEFT(C744,LEN(C744)-7))</f>
        <v>184</v>
      </c>
    </row>
    <row r="745" spans="1:4">
      <c r="A745" s="23" t="s">
        <v>558</v>
      </c>
      <c r="B745" t="s">
        <v>545</v>
      </c>
      <c r="C745" t="s">
        <v>685</v>
      </c>
      <c r="D745" s="29">
        <f t="shared" ref="D745:D747" si="468">VALUE(LEFT(C745,LEN(C745)-3))</f>
        <v>2</v>
      </c>
    </row>
    <row r="746" spans="1:4">
      <c r="A746" s="23" t="s">
        <v>560</v>
      </c>
      <c r="B746" t="s">
        <v>545</v>
      </c>
      <c r="C746" t="s">
        <v>1429</v>
      </c>
      <c r="D746" s="29">
        <f t="shared" si="468"/>
        <v>387.3</v>
      </c>
    </row>
    <row r="747" spans="1:4">
      <c r="A747" s="23" t="s">
        <v>562</v>
      </c>
      <c r="B747" t="s">
        <v>545</v>
      </c>
      <c r="C747" t="s">
        <v>604</v>
      </c>
      <c r="D747" s="29">
        <f t="shared" si="468"/>
        <v>0</v>
      </c>
    </row>
    <row r="749" spans="1:4">
      <c r="A749" s="23" t="s">
        <v>544</v>
      </c>
      <c r="B749" t="s">
        <v>545</v>
      </c>
      <c r="C749" t="s">
        <v>1433</v>
      </c>
      <c r="D749" s="29">
        <f t="shared" ref="D749" si="469">VALUE(LEFT(C749,LEN(C749)-2))</f>
        <v>22.7</v>
      </c>
    </row>
    <row r="750" spans="1:4">
      <c r="A750" s="23" t="s">
        <v>547</v>
      </c>
      <c r="B750" t="s">
        <v>545</v>
      </c>
      <c r="C750" s="24">
        <v>0.48</v>
      </c>
      <c r="D750" s="27">
        <f t="shared" ref="D750" si="470">VALUE(C750*100)</f>
        <v>48</v>
      </c>
    </row>
    <row r="751" spans="1:4">
      <c r="A751" s="23" t="s">
        <v>548</v>
      </c>
      <c r="B751" t="s">
        <v>545</v>
      </c>
      <c r="C751" t="s">
        <v>667</v>
      </c>
      <c r="D751" s="29">
        <f t="shared" ref="D751" si="471">VALUE(LEFT(C751,LEN(C751)-2))</f>
        <v>9.6</v>
      </c>
    </row>
    <row r="752" spans="1:4">
      <c r="A752" s="23" t="s">
        <v>550</v>
      </c>
      <c r="B752" t="s">
        <v>545</v>
      </c>
      <c r="C752" t="s">
        <v>865</v>
      </c>
      <c r="D752" s="28">
        <f t="shared" ref="D752" si="472">VALUE(LEFT(C752,LEN(C752)-4))</f>
        <v>1017.6</v>
      </c>
    </row>
    <row r="753" spans="1:4">
      <c r="A753" s="23" t="s">
        <v>552</v>
      </c>
      <c r="B753" t="s">
        <v>545</v>
      </c>
      <c r="C753" t="s">
        <v>777</v>
      </c>
      <c r="D753" s="29">
        <f t="shared" ref="D753:D754" si="473">VALUE(LEFT(C753,LEN(C753)-FIND("km/h",C753)+1)/3.6)</f>
        <v>1.1388888888888888</v>
      </c>
    </row>
    <row r="754" spans="1:4">
      <c r="A754" s="23" t="s">
        <v>554</v>
      </c>
      <c r="B754" t="s">
        <v>545</v>
      </c>
      <c r="C754" t="s">
        <v>630</v>
      </c>
      <c r="D754" s="29">
        <f t="shared" si="473"/>
        <v>1.6666666666666665</v>
      </c>
    </row>
    <row r="755" spans="1:4">
      <c r="A755" s="23" t="s">
        <v>556</v>
      </c>
      <c r="B755" t="s">
        <v>545</v>
      </c>
      <c r="C755" t="s">
        <v>1440</v>
      </c>
      <c r="D755" s="26">
        <f t="shared" ref="D755" si="474">VALUE(LEFT(C755,LEN(C755)-7))</f>
        <v>118</v>
      </c>
    </row>
    <row r="756" spans="1:4">
      <c r="A756" s="23" t="s">
        <v>558</v>
      </c>
      <c r="B756" t="s">
        <v>545</v>
      </c>
      <c r="C756" t="s">
        <v>685</v>
      </c>
      <c r="D756" s="29">
        <f t="shared" ref="D756:D758" si="475">VALUE(LEFT(C756,LEN(C756)-3))</f>
        <v>2</v>
      </c>
    </row>
    <row r="757" spans="1:4">
      <c r="A757" s="23" t="s">
        <v>560</v>
      </c>
      <c r="B757" t="s">
        <v>545</v>
      </c>
      <c r="C757" t="s">
        <v>1429</v>
      </c>
      <c r="D757" s="29">
        <f t="shared" si="475"/>
        <v>387.3</v>
      </c>
    </row>
    <row r="758" spans="1:4">
      <c r="A758" s="23" t="s">
        <v>562</v>
      </c>
      <c r="B758" t="s">
        <v>545</v>
      </c>
      <c r="C758" t="s">
        <v>604</v>
      </c>
      <c r="D758" s="29">
        <f t="shared" si="475"/>
        <v>0</v>
      </c>
    </row>
    <row r="760" spans="1:4">
      <c r="A760" s="23" t="s">
        <v>544</v>
      </c>
      <c r="B760" t="s">
        <v>545</v>
      </c>
      <c r="C760" t="s">
        <v>1441</v>
      </c>
      <c r="D760" s="29">
        <f t="shared" ref="D760" si="476">VALUE(LEFT(C760,LEN(C760)-2))</f>
        <v>21.7</v>
      </c>
    </row>
    <row r="761" spans="1:4">
      <c r="A761" s="23" t="s">
        <v>547</v>
      </c>
      <c r="B761" t="s">
        <v>545</v>
      </c>
      <c r="C761" s="24">
        <v>0.57999999999999996</v>
      </c>
      <c r="D761" s="27">
        <f t="shared" ref="D761" si="477">VALUE(C761*100)</f>
        <v>57.999999999999993</v>
      </c>
    </row>
    <row r="762" spans="1:4">
      <c r="A762" s="23" t="s">
        <v>548</v>
      </c>
      <c r="B762" t="s">
        <v>545</v>
      </c>
      <c r="C762" t="s">
        <v>549</v>
      </c>
      <c r="D762" s="29">
        <f t="shared" ref="D762" si="478">VALUE(LEFT(C762,LEN(C762)-2))</f>
        <v>12.5</v>
      </c>
    </row>
    <row r="763" spans="1:4">
      <c r="A763" s="23" t="s">
        <v>550</v>
      </c>
      <c r="B763" t="s">
        <v>545</v>
      </c>
      <c r="C763" t="s">
        <v>872</v>
      </c>
      <c r="D763" s="28">
        <f t="shared" ref="D763" si="479">VALUE(LEFT(C763,LEN(C763)-4))</f>
        <v>1015.4</v>
      </c>
    </row>
    <row r="764" spans="1:4">
      <c r="A764" s="23" t="s">
        <v>552</v>
      </c>
      <c r="B764" t="s">
        <v>545</v>
      </c>
      <c r="C764" t="s">
        <v>651</v>
      </c>
      <c r="D764" s="29">
        <f t="shared" ref="D764:D765" si="480">VALUE(LEFT(C764,LEN(C764)-FIND("km/h",C764)+1)/3.6)</f>
        <v>1.2777777777777777</v>
      </c>
    </row>
    <row r="765" spans="1:4">
      <c r="A765" s="23" t="s">
        <v>554</v>
      </c>
      <c r="B765" t="s">
        <v>545</v>
      </c>
      <c r="C765" t="s">
        <v>995</v>
      </c>
      <c r="D765" s="29">
        <f t="shared" si="480"/>
        <v>1.9444444444444444</v>
      </c>
    </row>
    <row r="766" spans="1:4">
      <c r="A766" s="23" t="s">
        <v>556</v>
      </c>
      <c r="B766" t="s">
        <v>545</v>
      </c>
      <c r="C766" t="s">
        <v>1442</v>
      </c>
      <c r="D766" s="26">
        <f t="shared" ref="D766" si="481">VALUE(LEFT(C766,LEN(C766)-7))</f>
        <v>208</v>
      </c>
    </row>
    <row r="767" spans="1:4">
      <c r="A767" s="23" t="s">
        <v>558</v>
      </c>
      <c r="B767" t="s">
        <v>545</v>
      </c>
      <c r="C767" t="s">
        <v>685</v>
      </c>
      <c r="D767" s="29">
        <f t="shared" ref="D767:D769" si="482">VALUE(LEFT(C767,LEN(C767)-3))</f>
        <v>2</v>
      </c>
    </row>
    <row r="768" spans="1:4">
      <c r="A768" s="23" t="s">
        <v>560</v>
      </c>
      <c r="B768" t="s">
        <v>545</v>
      </c>
      <c r="C768" t="s">
        <v>1429</v>
      </c>
      <c r="D768" s="29">
        <f t="shared" si="482"/>
        <v>387.3</v>
      </c>
    </row>
    <row r="769" spans="1:4">
      <c r="A769" s="23" t="s">
        <v>562</v>
      </c>
      <c r="B769" t="s">
        <v>545</v>
      </c>
      <c r="C769" t="s">
        <v>604</v>
      </c>
      <c r="D769" s="29">
        <f t="shared" si="482"/>
        <v>0</v>
      </c>
    </row>
    <row r="771" spans="1:4">
      <c r="A771" s="23" t="s">
        <v>544</v>
      </c>
      <c r="B771" t="s">
        <v>545</v>
      </c>
      <c r="C771" t="s">
        <v>1422</v>
      </c>
      <c r="D771" s="29">
        <f t="shared" ref="D771" si="483">VALUE(LEFT(C771,LEN(C771)-2))</f>
        <v>21.5</v>
      </c>
    </row>
    <row r="772" spans="1:4">
      <c r="A772" s="23" t="s">
        <v>547</v>
      </c>
      <c r="B772" t="s">
        <v>545</v>
      </c>
      <c r="C772" s="24">
        <v>0.7</v>
      </c>
      <c r="D772" s="27">
        <f t="shared" ref="D772" si="484">VALUE(C772*100)</f>
        <v>70</v>
      </c>
    </row>
    <row r="773" spans="1:4">
      <c r="A773" s="23" t="s">
        <v>548</v>
      </c>
      <c r="B773" t="s">
        <v>545</v>
      </c>
      <c r="C773" t="s">
        <v>823</v>
      </c>
      <c r="D773" s="29">
        <f t="shared" ref="D773" si="485">VALUE(LEFT(C773,LEN(C773)-2))</f>
        <v>15</v>
      </c>
    </row>
    <row r="774" spans="1:4">
      <c r="A774" s="23" t="s">
        <v>550</v>
      </c>
      <c r="B774" t="s">
        <v>545</v>
      </c>
      <c r="C774" t="s">
        <v>788</v>
      </c>
      <c r="D774" s="28">
        <f t="shared" ref="D774" si="486">VALUE(LEFT(C774,LEN(C774)-4))</f>
        <v>1013.3</v>
      </c>
    </row>
    <row r="775" spans="1:4">
      <c r="A775" s="23" t="s">
        <v>552</v>
      </c>
      <c r="B775" t="s">
        <v>545</v>
      </c>
      <c r="C775" t="s">
        <v>673</v>
      </c>
      <c r="D775" s="29">
        <f t="shared" ref="D775:D776" si="487">VALUE(LEFT(C775,LEN(C775)-FIND("km/h",C775)+1)/3.6)</f>
        <v>1.3055555555555556</v>
      </c>
    </row>
    <row r="776" spans="1:4">
      <c r="A776" s="23" t="s">
        <v>554</v>
      </c>
      <c r="B776" t="s">
        <v>545</v>
      </c>
      <c r="C776" t="s">
        <v>848</v>
      </c>
      <c r="D776" s="29">
        <f t="shared" si="487"/>
        <v>1.8888888888888888</v>
      </c>
    </row>
    <row r="777" spans="1:4">
      <c r="A777" s="23" t="s">
        <v>556</v>
      </c>
      <c r="B777" t="s">
        <v>545</v>
      </c>
      <c r="C777" t="s">
        <v>1443</v>
      </c>
      <c r="D777" s="26">
        <f t="shared" ref="D777" si="488">VALUE(LEFT(C777,LEN(C777)-7))</f>
        <v>203</v>
      </c>
    </row>
    <row r="778" spans="1:4">
      <c r="A778" s="23" t="s">
        <v>558</v>
      </c>
      <c r="B778" t="s">
        <v>545</v>
      </c>
      <c r="C778" t="s">
        <v>685</v>
      </c>
      <c r="D778" s="29">
        <f t="shared" ref="D778:D780" si="489">VALUE(LEFT(C778,LEN(C778)-3))</f>
        <v>2</v>
      </c>
    </row>
    <row r="779" spans="1:4">
      <c r="A779" s="23" t="s">
        <v>560</v>
      </c>
      <c r="B779" t="s">
        <v>545</v>
      </c>
      <c r="C779" t="s">
        <v>1429</v>
      </c>
      <c r="D779" s="29">
        <f t="shared" si="489"/>
        <v>387.3</v>
      </c>
    </row>
    <row r="780" spans="1:4">
      <c r="A780" s="23" t="s">
        <v>562</v>
      </c>
      <c r="B780" t="s">
        <v>545</v>
      </c>
      <c r="C780" t="s">
        <v>604</v>
      </c>
      <c r="D780" s="29">
        <f t="shared" si="489"/>
        <v>0</v>
      </c>
    </row>
    <row r="782" spans="1:4">
      <c r="A782" s="23" t="s">
        <v>544</v>
      </c>
      <c r="B782" t="s">
        <v>545</v>
      </c>
      <c r="C782" t="s">
        <v>1444</v>
      </c>
      <c r="D782" s="29">
        <f t="shared" ref="D782" si="490">VALUE(LEFT(C782,LEN(C782)-2))</f>
        <v>18.899999999999999</v>
      </c>
    </row>
    <row r="783" spans="1:4">
      <c r="A783" s="23" t="s">
        <v>547</v>
      </c>
      <c r="B783" t="s">
        <v>545</v>
      </c>
      <c r="C783" s="24">
        <v>0.87</v>
      </c>
      <c r="D783" s="27">
        <f t="shared" ref="D783" si="491">VALUE(C783*100)</f>
        <v>87</v>
      </c>
    </row>
    <row r="784" spans="1:4">
      <c r="A784" s="23" t="s">
        <v>548</v>
      </c>
      <c r="B784" t="s">
        <v>545</v>
      </c>
      <c r="C784" t="s">
        <v>1328</v>
      </c>
      <c r="D784" s="29">
        <f t="shared" ref="D784" si="492">VALUE(LEFT(C784,LEN(C784)-2))</f>
        <v>16.600000000000001</v>
      </c>
    </row>
    <row r="785" spans="1:4">
      <c r="A785" s="23" t="s">
        <v>550</v>
      </c>
      <c r="B785" t="s">
        <v>545</v>
      </c>
      <c r="C785" t="s">
        <v>1418</v>
      </c>
      <c r="D785" s="28">
        <f t="shared" ref="D785" si="493">VALUE(LEFT(C785,LEN(C785)-4))</f>
        <v>1011</v>
      </c>
    </row>
    <row r="786" spans="1:4">
      <c r="A786" s="23" t="s">
        <v>552</v>
      </c>
      <c r="B786" t="s">
        <v>545</v>
      </c>
      <c r="C786" t="s">
        <v>654</v>
      </c>
      <c r="D786" s="29">
        <f t="shared" ref="D786:D787" si="494">VALUE(LEFT(C786,LEN(C786)-FIND("km/h",C786)+1)/3.6)</f>
        <v>1.1944444444444444</v>
      </c>
    </row>
    <row r="787" spans="1:4">
      <c r="A787" s="23" t="s">
        <v>554</v>
      </c>
      <c r="B787" t="s">
        <v>545</v>
      </c>
      <c r="C787" t="s">
        <v>785</v>
      </c>
      <c r="D787" s="29">
        <f t="shared" si="494"/>
        <v>1.7222222222222223</v>
      </c>
    </row>
    <row r="788" spans="1:4">
      <c r="A788" s="23" t="s">
        <v>556</v>
      </c>
      <c r="B788" t="s">
        <v>545</v>
      </c>
      <c r="C788" t="s">
        <v>1445</v>
      </c>
      <c r="D788" s="26">
        <f t="shared" ref="D788" si="495">VALUE(LEFT(C788,LEN(C788)-7))</f>
        <v>172</v>
      </c>
    </row>
    <row r="789" spans="1:4">
      <c r="A789" s="23" t="s">
        <v>558</v>
      </c>
      <c r="B789" t="s">
        <v>545</v>
      </c>
      <c r="C789" t="s">
        <v>847</v>
      </c>
      <c r="D789" s="29">
        <f t="shared" ref="D789:D791" si="496">VALUE(LEFT(C789,LEN(C789)-3))</f>
        <v>6</v>
      </c>
    </row>
    <row r="790" spans="1:4">
      <c r="A790" s="23" t="s">
        <v>560</v>
      </c>
      <c r="B790" t="s">
        <v>545</v>
      </c>
      <c r="C790" t="s">
        <v>1446</v>
      </c>
      <c r="D790" s="29">
        <f t="shared" si="496"/>
        <v>391.3</v>
      </c>
    </row>
    <row r="791" spans="1:4">
      <c r="A791" s="23" t="s">
        <v>562</v>
      </c>
      <c r="B791" t="s">
        <v>545</v>
      </c>
      <c r="C791" t="s">
        <v>589</v>
      </c>
      <c r="D791" s="29">
        <f t="shared" si="496"/>
        <v>4</v>
      </c>
    </row>
    <row r="793" spans="1:4">
      <c r="A793" s="23" t="s">
        <v>544</v>
      </c>
      <c r="B793" t="s">
        <v>545</v>
      </c>
      <c r="C793" t="s">
        <v>1402</v>
      </c>
      <c r="D793" s="29">
        <f t="shared" ref="D793" si="497">VALUE(LEFT(C793,LEN(C793)-2))</f>
        <v>19.899999999999999</v>
      </c>
    </row>
    <row r="794" spans="1:4">
      <c r="A794" s="23" t="s">
        <v>547</v>
      </c>
      <c r="B794" t="s">
        <v>545</v>
      </c>
      <c r="C794" s="24">
        <v>0.75</v>
      </c>
      <c r="D794" s="27">
        <f t="shared" ref="D794" si="498">VALUE(C794*100)</f>
        <v>75</v>
      </c>
    </row>
    <row r="795" spans="1:4">
      <c r="A795" s="23" t="s">
        <v>548</v>
      </c>
      <c r="B795" t="s">
        <v>545</v>
      </c>
      <c r="C795" t="s">
        <v>819</v>
      </c>
      <c r="D795" s="29">
        <f t="shared" ref="D795" si="499">VALUE(LEFT(C795,LEN(C795)-2))</f>
        <v>14.7</v>
      </c>
    </row>
    <row r="796" spans="1:4">
      <c r="A796" s="23" t="s">
        <v>550</v>
      </c>
      <c r="B796" t="s">
        <v>545</v>
      </c>
      <c r="C796" t="s">
        <v>1447</v>
      </c>
      <c r="D796" s="28">
        <f t="shared" ref="D796" si="500">VALUE(LEFT(C796,LEN(C796)-4))</f>
        <v>1009.1</v>
      </c>
    </row>
    <row r="797" spans="1:4">
      <c r="A797" s="23" t="s">
        <v>552</v>
      </c>
      <c r="B797" t="s">
        <v>545</v>
      </c>
      <c r="C797" t="s">
        <v>981</v>
      </c>
      <c r="D797" s="29">
        <f t="shared" ref="D797:D798" si="501">VALUE(LEFT(C797,LEN(C797)-FIND("km/h",C797)+1)/3.6)</f>
        <v>3.3055555555555554</v>
      </c>
    </row>
    <row r="798" spans="1:4">
      <c r="A798" s="23" t="s">
        <v>554</v>
      </c>
      <c r="B798" t="s">
        <v>545</v>
      </c>
      <c r="C798" t="s">
        <v>568</v>
      </c>
      <c r="D798" s="29">
        <f t="shared" si="501"/>
        <v>4.6111111111111116</v>
      </c>
    </row>
    <row r="799" spans="1:4">
      <c r="A799" s="23" t="s">
        <v>556</v>
      </c>
      <c r="B799" t="s">
        <v>545</v>
      </c>
      <c r="C799" t="s">
        <v>1448</v>
      </c>
      <c r="D799" s="26">
        <f t="shared" ref="D799" si="502">VALUE(LEFT(C799,LEN(C799)-7))</f>
        <v>166</v>
      </c>
    </row>
    <row r="800" spans="1:4">
      <c r="A800" s="23" t="s">
        <v>558</v>
      </c>
      <c r="B800" t="s">
        <v>545</v>
      </c>
      <c r="C800" t="s">
        <v>847</v>
      </c>
      <c r="D800" s="29">
        <f t="shared" ref="D800:D802" si="503">VALUE(LEFT(C800,LEN(C800)-3))</f>
        <v>6</v>
      </c>
    </row>
    <row r="801" spans="1:4">
      <c r="A801" s="23" t="s">
        <v>560</v>
      </c>
      <c r="B801" t="s">
        <v>545</v>
      </c>
      <c r="C801" t="s">
        <v>1446</v>
      </c>
      <c r="D801" s="29">
        <f t="shared" si="503"/>
        <v>391.3</v>
      </c>
    </row>
    <row r="802" spans="1:4">
      <c r="A802" s="23" t="s">
        <v>562</v>
      </c>
      <c r="B802" t="s">
        <v>545</v>
      </c>
      <c r="C802" t="s">
        <v>604</v>
      </c>
      <c r="D802" s="29">
        <f t="shared" si="503"/>
        <v>0</v>
      </c>
    </row>
    <row r="804" spans="1:4">
      <c r="A804" s="23" t="s">
        <v>544</v>
      </c>
      <c r="B804" t="s">
        <v>545</v>
      </c>
      <c r="C804" t="s">
        <v>1383</v>
      </c>
      <c r="D804" s="29">
        <f t="shared" ref="D804" si="504">VALUE(LEFT(C804,LEN(C804)-2))</f>
        <v>20.399999999999999</v>
      </c>
    </row>
    <row r="805" spans="1:4">
      <c r="A805" s="23" t="s">
        <v>547</v>
      </c>
      <c r="B805" t="s">
        <v>545</v>
      </c>
      <c r="C805" s="24">
        <v>0.8</v>
      </c>
      <c r="D805" s="27">
        <f t="shared" ref="D805" si="505">VALUE(C805*100)</f>
        <v>80</v>
      </c>
    </row>
    <row r="806" spans="1:4">
      <c r="A806" s="23" t="s">
        <v>548</v>
      </c>
      <c r="B806" t="s">
        <v>545</v>
      </c>
      <c r="C806" t="s">
        <v>792</v>
      </c>
      <c r="D806" s="29">
        <f t="shared" ref="D806" si="506">VALUE(LEFT(C806,LEN(C806)-2))</f>
        <v>16.7</v>
      </c>
    </row>
    <row r="807" spans="1:4">
      <c r="A807" s="23" t="s">
        <v>550</v>
      </c>
      <c r="B807" t="s">
        <v>545</v>
      </c>
      <c r="C807" t="s">
        <v>1449</v>
      </c>
      <c r="D807" s="28">
        <f t="shared" ref="D807" si="507">VALUE(LEFT(C807,LEN(C807)-4))</f>
        <v>1004.7</v>
      </c>
    </row>
    <row r="808" spans="1:4">
      <c r="A808" s="23" t="s">
        <v>552</v>
      </c>
      <c r="B808" t="s">
        <v>545</v>
      </c>
      <c r="C808" t="s">
        <v>1085</v>
      </c>
      <c r="D808" s="29">
        <f t="shared" ref="D808:D809" si="508">VALUE(LEFT(C808,LEN(C808)-FIND("km/h",C808)+1)/3.6)</f>
        <v>4.1944444444444446</v>
      </c>
    </row>
    <row r="809" spans="1:4">
      <c r="A809" s="23" t="s">
        <v>554</v>
      </c>
      <c r="B809" t="s">
        <v>545</v>
      </c>
      <c r="C809" t="s">
        <v>1450</v>
      </c>
      <c r="D809" s="29">
        <f t="shared" si="508"/>
        <v>5.6944444444444446</v>
      </c>
    </row>
    <row r="810" spans="1:4">
      <c r="A810" s="23" t="s">
        <v>556</v>
      </c>
      <c r="B810" t="s">
        <v>545</v>
      </c>
      <c r="C810" t="s">
        <v>1445</v>
      </c>
      <c r="D810" s="26">
        <f t="shared" ref="D810" si="509">VALUE(LEFT(C810,LEN(C810)-7))</f>
        <v>172</v>
      </c>
    </row>
    <row r="811" spans="1:4">
      <c r="A811" s="23" t="s">
        <v>558</v>
      </c>
      <c r="B811" t="s">
        <v>545</v>
      </c>
      <c r="C811" t="s">
        <v>1108</v>
      </c>
      <c r="D811" s="29">
        <f t="shared" ref="D811:D813" si="510">VALUE(LEFT(C811,LEN(C811)-3))</f>
        <v>9</v>
      </c>
    </row>
    <row r="812" spans="1:4">
      <c r="A812" s="23" t="s">
        <v>560</v>
      </c>
      <c r="B812" t="s">
        <v>545</v>
      </c>
      <c r="C812" t="s">
        <v>1451</v>
      </c>
      <c r="D812" s="29">
        <f t="shared" si="510"/>
        <v>394.3</v>
      </c>
    </row>
    <row r="813" spans="1:4">
      <c r="A813" s="23" t="s">
        <v>562</v>
      </c>
      <c r="B813" t="s">
        <v>545</v>
      </c>
      <c r="C813" t="s">
        <v>597</v>
      </c>
      <c r="D813" s="29">
        <f t="shared" si="510"/>
        <v>3</v>
      </c>
    </row>
    <row r="815" spans="1:4">
      <c r="A815" s="23" t="s">
        <v>544</v>
      </c>
      <c r="B815" t="s">
        <v>545</v>
      </c>
      <c r="C815" t="s">
        <v>1017</v>
      </c>
      <c r="D815" s="29">
        <f t="shared" ref="D815" si="511">VALUE(LEFT(C815,LEN(C815)-2))</f>
        <v>19.399999999999999</v>
      </c>
    </row>
    <row r="816" spans="1:4">
      <c r="A816" s="23" t="s">
        <v>547</v>
      </c>
      <c r="B816" t="s">
        <v>545</v>
      </c>
      <c r="C816" s="24">
        <v>0.85</v>
      </c>
      <c r="D816" s="27">
        <f t="shared" ref="D816" si="512">VALUE(C816*100)</f>
        <v>85</v>
      </c>
    </row>
    <row r="817" spans="1:4">
      <c r="A817" s="23" t="s">
        <v>548</v>
      </c>
      <c r="B817" t="s">
        <v>545</v>
      </c>
      <c r="C817" t="s">
        <v>792</v>
      </c>
      <c r="D817" s="29">
        <f t="shared" ref="D817" si="513">VALUE(LEFT(C817,LEN(C817)-2))</f>
        <v>16.7</v>
      </c>
    </row>
    <row r="818" spans="1:4">
      <c r="A818" s="23" t="s">
        <v>550</v>
      </c>
      <c r="B818" t="s">
        <v>545</v>
      </c>
      <c r="C818" t="s">
        <v>1452</v>
      </c>
      <c r="D818" s="28">
        <f t="shared" ref="D818" si="514">VALUE(LEFT(C818,LEN(C818)-4))</f>
        <v>1004.2</v>
      </c>
    </row>
    <row r="819" spans="1:4">
      <c r="A819" s="23" t="s">
        <v>552</v>
      </c>
      <c r="B819" t="s">
        <v>545</v>
      </c>
      <c r="C819" t="s">
        <v>593</v>
      </c>
      <c r="D819" s="29">
        <f t="shared" ref="D819:D820" si="515">VALUE(LEFT(C819,LEN(C819)-FIND("km/h",C819)+1)/3.6)</f>
        <v>3.8333333333333335</v>
      </c>
    </row>
    <row r="820" spans="1:4">
      <c r="A820" s="23" t="s">
        <v>554</v>
      </c>
      <c r="B820" t="s">
        <v>545</v>
      </c>
      <c r="C820" t="s">
        <v>1453</v>
      </c>
      <c r="D820" s="29">
        <f t="shared" si="515"/>
        <v>5.1944444444444438</v>
      </c>
    </row>
    <row r="821" spans="1:4">
      <c r="A821" s="23" t="s">
        <v>556</v>
      </c>
      <c r="B821" t="s">
        <v>545</v>
      </c>
      <c r="C821" t="s">
        <v>984</v>
      </c>
      <c r="D821" s="26">
        <f t="shared" ref="D821" si="516">VALUE(LEFT(C821,LEN(C821)-7))</f>
        <v>211</v>
      </c>
    </row>
    <row r="822" spans="1:4">
      <c r="A822" s="23" t="s">
        <v>558</v>
      </c>
      <c r="B822" t="s">
        <v>545</v>
      </c>
      <c r="C822" t="s">
        <v>1454</v>
      </c>
      <c r="D822" s="29">
        <f t="shared" ref="D822:D824" si="517">VALUE(LEFT(C822,LEN(C822)-3))</f>
        <v>24.4</v>
      </c>
    </row>
    <row r="823" spans="1:4">
      <c r="A823" s="23" t="s">
        <v>560</v>
      </c>
      <c r="B823" t="s">
        <v>545</v>
      </c>
      <c r="C823" t="s">
        <v>1455</v>
      </c>
      <c r="D823" s="29">
        <f t="shared" si="517"/>
        <v>409.7</v>
      </c>
    </row>
    <row r="824" spans="1:4">
      <c r="A824" s="23" t="s">
        <v>562</v>
      </c>
      <c r="B824" t="s">
        <v>545</v>
      </c>
      <c r="C824" t="s">
        <v>1456</v>
      </c>
      <c r="D824" s="29">
        <f t="shared" si="517"/>
        <v>15.4</v>
      </c>
    </row>
    <row r="826" spans="1:4">
      <c r="A826" s="23" t="s">
        <v>544</v>
      </c>
      <c r="B826" t="s">
        <v>545</v>
      </c>
      <c r="C826" t="s">
        <v>916</v>
      </c>
      <c r="D826" s="29">
        <f t="shared" ref="D826" si="518">VALUE(LEFT(C826,LEN(C826)-2))</f>
        <v>19</v>
      </c>
    </row>
    <row r="827" spans="1:4">
      <c r="A827" s="23" t="s">
        <v>547</v>
      </c>
      <c r="B827" t="s">
        <v>545</v>
      </c>
      <c r="C827" s="24">
        <v>0.92</v>
      </c>
      <c r="D827" s="27">
        <f t="shared" ref="D827" si="519">VALUE(C827*100)</f>
        <v>92</v>
      </c>
    </row>
    <row r="828" spans="1:4">
      <c r="A828" s="23" t="s">
        <v>548</v>
      </c>
      <c r="B828" t="s">
        <v>545</v>
      </c>
      <c r="C828" t="s">
        <v>990</v>
      </c>
      <c r="D828" s="29">
        <f t="shared" ref="D828" si="520">VALUE(LEFT(C828,LEN(C828)-2))</f>
        <v>17.600000000000001</v>
      </c>
    </row>
    <row r="829" spans="1:4">
      <c r="A829" s="23" t="s">
        <v>550</v>
      </c>
      <c r="B829" t="s">
        <v>545</v>
      </c>
      <c r="C829" t="s">
        <v>1199</v>
      </c>
      <c r="D829" s="28">
        <f t="shared" ref="D829" si="521">VALUE(LEFT(C829,LEN(C829)-4))</f>
        <v>1008.3</v>
      </c>
    </row>
    <row r="830" spans="1:4">
      <c r="A830" s="23" t="s">
        <v>552</v>
      </c>
      <c r="B830" t="s">
        <v>545</v>
      </c>
      <c r="C830" t="s">
        <v>1353</v>
      </c>
      <c r="D830" s="29">
        <f t="shared" ref="D830:D831" si="522">VALUE(LEFT(C830,LEN(C830)-FIND("km/h",C830)+1)/3.6)</f>
        <v>2.3333333333333335</v>
      </c>
    </row>
    <row r="831" spans="1:4">
      <c r="A831" s="23" t="s">
        <v>554</v>
      </c>
      <c r="B831" t="s">
        <v>545</v>
      </c>
      <c r="C831" t="s">
        <v>1391</v>
      </c>
      <c r="D831" s="29">
        <f t="shared" si="522"/>
        <v>3.2777777777777777</v>
      </c>
    </row>
    <row r="832" spans="1:4">
      <c r="A832" s="23" t="s">
        <v>556</v>
      </c>
      <c r="B832" t="s">
        <v>545</v>
      </c>
      <c r="C832" t="s">
        <v>1457</v>
      </c>
      <c r="D832" s="26">
        <f t="shared" ref="D832" si="523">VALUE(LEFT(C832,LEN(C832)-7))</f>
        <v>195</v>
      </c>
    </row>
    <row r="833" spans="1:4">
      <c r="A833" s="23" t="s">
        <v>558</v>
      </c>
      <c r="B833" t="s">
        <v>545</v>
      </c>
      <c r="C833" t="s">
        <v>1458</v>
      </c>
      <c r="D833" s="29">
        <f t="shared" ref="D833:D835" si="524">VALUE(LEFT(C833,LEN(C833)-3))</f>
        <v>28.4</v>
      </c>
    </row>
    <row r="834" spans="1:4">
      <c r="A834" s="23" t="s">
        <v>560</v>
      </c>
      <c r="B834" t="s">
        <v>545</v>
      </c>
      <c r="C834" t="s">
        <v>1459</v>
      </c>
      <c r="D834" s="29">
        <f t="shared" si="524"/>
        <v>413.7</v>
      </c>
    </row>
    <row r="835" spans="1:4">
      <c r="A835" s="23" t="s">
        <v>562</v>
      </c>
      <c r="B835" t="s">
        <v>545</v>
      </c>
      <c r="C835" t="s">
        <v>589</v>
      </c>
      <c r="D835" s="29">
        <f t="shared" si="524"/>
        <v>4</v>
      </c>
    </row>
    <row r="837" spans="1:4">
      <c r="A837" s="23" t="s">
        <v>544</v>
      </c>
      <c r="B837" t="s">
        <v>545</v>
      </c>
      <c r="C837" t="s">
        <v>920</v>
      </c>
      <c r="D837" s="29">
        <f t="shared" ref="D837" si="525">VALUE(LEFT(C837,LEN(C837)-2))</f>
        <v>19.600000000000001</v>
      </c>
    </row>
    <row r="838" spans="1:4">
      <c r="A838" s="23" t="s">
        <v>547</v>
      </c>
      <c r="B838" t="s">
        <v>545</v>
      </c>
      <c r="C838" s="24">
        <v>0.97</v>
      </c>
      <c r="D838" s="27">
        <f t="shared" ref="D838" si="526">VALUE(C838*100)</f>
        <v>97</v>
      </c>
    </row>
    <row r="839" spans="1:4">
      <c r="A839" s="23" t="s">
        <v>548</v>
      </c>
      <c r="B839" t="s">
        <v>545</v>
      </c>
      <c r="C839" t="s">
        <v>1460</v>
      </c>
      <c r="D839" s="29">
        <f t="shared" ref="D839" si="527">VALUE(LEFT(C839,LEN(C839)-2))</f>
        <v>19.100000000000001</v>
      </c>
    </row>
    <row r="840" spans="1:4">
      <c r="A840" s="23" t="s">
        <v>550</v>
      </c>
      <c r="B840" t="s">
        <v>545</v>
      </c>
      <c r="C840" t="s">
        <v>824</v>
      </c>
      <c r="D840" s="28">
        <f t="shared" ref="D840" si="528">VALUE(LEFT(C840,LEN(C840)-4))</f>
        <v>1008</v>
      </c>
    </row>
    <row r="841" spans="1:4">
      <c r="A841" s="23" t="s">
        <v>552</v>
      </c>
      <c r="B841" t="s">
        <v>545</v>
      </c>
      <c r="C841" t="s">
        <v>858</v>
      </c>
      <c r="D841" s="29">
        <f t="shared" ref="D841:D842" si="529">VALUE(LEFT(C841,LEN(C841)-FIND("km/h",C841)+1)/3.6)</f>
        <v>2.5833333333333335</v>
      </c>
    </row>
    <row r="842" spans="1:4">
      <c r="A842" s="23" t="s">
        <v>554</v>
      </c>
      <c r="B842" t="s">
        <v>545</v>
      </c>
      <c r="C842" t="s">
        <v>945</v>
      </c>
      <c r="D842" s="29">
        <f t="shared" si="529"/>
        <v>3.4722222222222223</v>
      </c>
    </row>
    <row r="843" spans="1:4">
      <c r="A843" s="23" t="s">
        <v>556</v>
      </c>
      <c r="B843" t="s">
        <v>545</v>
      </c>
      <c r="C843" t="s">
        <v>1379</v>
      </c>
      <c r="D843" s="26">
        <f t="shared" ref="D843" si="530">VALUE(LEFT(C843,LEN(C843)-7))</f>
        <v>225</v>
      </c>
    </row>
    <row r="844" spans="1:4">
      <c r="A844" s="23" t="s">
        <v>558</v>
      </c>
      <c r="B844" t="s">
        <v>545</v>
      </c>
      <c r="C844" t="s">
        <v>1458</v>
      </c>
      <c r="D844" s="29">
        <f t="shared" ref="D844:D846" si="531">VALUE(LEFT(C844,LEN(C844)-3))</f>
        <v>28.4</v>
      </c>
    </row>
    <row r="845" spans="1:4">
      <c r="A845" s="23" t="s">
        <v>560</v>
      </c>
      <c r="B845" t="s">
        <v>545</v>
      </c>
      <c r="C845" t="s">
        <v>1459</v>
      </c>
      <c r="D845" s="29">
        <f t="shared" si="531"/>
        <v>413.7</v>
      </c>
    </row>
    <row r="846" spans="1:4">
      <c r="A846" s="23" t="s">
        <v>562</v>
      </c>
      <c r="B846" t="s">
        <v>545</v>
      </c>
      <c r="C846" t="s">
        <v>604</v>
      </c>
      <c r="D846" s="29">
        <f t="shared" si="531"/>
        <v>0</v>
      </c>
    </row>
    <row r="847" spans="1:4" s="30" customFormat="1"/>
    <row r="848" spans="1:4">
      <c r="A848" s="23" t="s">
        <v>544</v>
      </c>
      <c r="B848" t="s">
        <v>545</v>
      </c>
      <c r="C848" t="s">
        <v>1417</v>
      </c>
      <c r="D848" s="29">
        <f t="shared" ref="D848" si="532">VALUE(LEFT(C848,LEN(C848)-2))</f>
        <v>20</v>
      </c>
    </row>
    <row r="849" spans="1:4">
      <c r="A849" s="23" t="s">
        <v>547</v>
      </c>
      <c r="B849" t="s">
        <v>545</v>
      </c>
      <c r="C849" s="24">
        <v>0.94</v>
      </c>
      <c r="D849" s="27">
        <f t="shared" ref="D849" si="533">VALUE(C849*100)</f>
        <v>94</v>
      </c>
    </row>
    <row r="850" spans="1:4">
      <c r="A850" s="23" t="s">
        <v>548</v>
      </c>
      <c r="B850" t="s">
        <v>545</v>
      </c>
      <c r="C850" t="s">
        <v>1460</v>
      </c>
      <c r="D850" s="29">
        <f t="shared" ref="D850" si="534">VALUE(LEFT(C850,LEN(C850)-2))</f>
        <v>19.100000000000001</v>
      </c>
    </row>
    <row r="851" spans="1:4">
      <c r="A851" s="23" t="s">
        <v>550</v>
      </c>
      <c r="B851" t="s">
        <v>545</v>
      </c>
      <c r="C851" t="s">
        <v>1420</v>
      </c>
      <c r="D851" s="28">
        <f t="shared" ref="D851" si="535">VALUE(LEFT(C851,LEN(C851)-4))</f>
        <v>1007.8</v>
      </c>
    </row>
    <row r="852" spans="1:4">
      <c r="A852" s="23" t="s">
        <v>552</v>
      </c>
      <c r="B852" t="s">
        <v>545</v>
      </c>
      <c r="C852" t="s">
        <v>1338</v>
      </c>
      <c r="D852" s="29">
        <f t="shared" ref="D852:D853" si="536">VALUE(LEFT(C852,LEN(C852)-FIND("km/h",C852)+1)/3.6)</f>
        <v>2.4444444444444446</v>
      </c>
    </row>
    <row r="853" spans="1:4">
      <c r="A853" s="23" t="s">
        <v>554</v>
      </c>
      <c r="B853" t="s">
        <v>545</v>
      </c>
      <c r="C853" t="s">
        <v>1461</v>
      </c>
      <c r="D853" s="29">
        <f t="shared" si="536"/>
        <v>3.5</v>
      </c>
    </row>
    <row r="854" spans="1:4">
      <c r="A854" s="23" t="s">
        <v>556</v>
      </c>
      <c r="B854" t="s">
        <v>545</v>
      </c>
      <c r="C854" t="s">
        <v>1462</v>
      </c>
      <c r="D854" s="26">
        <f t="shared" ref="D854" si="537">VALUE(LEFT(C854,LEN(C854)-7))</f>
        <v>194</v>
      </c>
    </row>
    <row r="855" spans="1:4">
      <c r="A855" s="23" t="s">
        <v>558</v>
      </c>
      <c r="B855" t="s">
        <v>545</v>
      </c>
      <c r="C855" t="s">
        <v>1162</v>
      </c>
      <c r="D855" s="29">
        <f t="shared" ref="D855:D857" si="538">VALUE(LEFT(C855,LEN(C855)-3))</f>
        <v>12.3</v>
      </c>
    </row>
    <row r="856" spans="1:4">
      <c r="A856" s="23" t="s">
        <v>560</v>
      </c>
      <c r="B856" t="s">
        <v>545</v>
      </c>
      <c r="C856" t="s">
        <v>1463</v>
      </c>
      <c r="D856" s="29">
        <f t="shared" si="538"/>
        <v>469.2</v>
      </c>
    </row>
    <row r="857" spans="1:4">
      <c r="A857" s="23" t="s">
        <v>562</v>
      </c>
      <c r="B857" t="s">
        <v>545</v>
      </c>
      <c r="C857" t="s">
        <v>1162</v>
      </c>
      <c r="D857" s="29">
        <f t="shared" si="538"/>
        <v>12.3</v>
      </c>
    </row>
    <row r="859" spans="1:4">
      <c r="A859" s="23" t="s">
        <v>544</v>
      </c>
      <c r="B859" t="s">
        <v>545</v>
      </c>
      <c r="C859" t="s">
        <v>787</v>
      </c>
      <c r="D859" s="29">
        <f t="shared" ref="D859" si="539">VALUE(LEFT(C859,LEN(C859)-2))</f>
        <v>19.2</v>
      </c>
    </row>
    <row r="860" spans="1:4">
      <c r="A860" s="23" t="s">
        <v>547</v>
      </c>
      <c r="B860" t="s">
        <v>545</v>
      </c>
      <c r="C860" s="24">
        <v>0.91</v>
      </c>
      <c r="D860" s="27">
        <f t="shared" ref="D860" si="540">VALUE(C860*100)</f>
        <v>91</v>
      </c>
    </row>
    <row r="861" spans="1:4">
      <c r="A861" s="23" t="s">
        <v>548</v>
      </c>
      <c r="B861" t="s">
        <v>545</v>
      </c>
      <c r="C861" t="s">
        <v>990</v>
      </c>
      <c r="D861" s="29">
        <f t="shared" ref="D861" si="541">VALUE(LEFT(C861,LEN(C861)-2))</f>
        <v>17.600000000000001</v>
      </c>
    </row>
    <row r="862" spans="1:4">
      <c r="A862" s="23" t="s">
        <v>550</v>
      </c>
      <c r="B862" t="s">
        <v>545</v>
      </c>
      <c r="C862" t="s">
        <v>1464</v>
      </c>
      <c r="D862" s="28">
        <f t="shared" ref="D862" si="542">VALUE(LEFT(C862,LEN(C862)-4))</f>
        <v>1006.2</v>
      </c>
    </row>
    <row r="863" spans="1:4">
      <c r="A863" s="23" t="s">
        <v>552</v>
      </c>
      <c r="B863" t="s">
        <v>545</v>
      </c>
      <c r="C863" t="s">
        <v>789</v>
      </c>
      <c r="D863" s="29">
        <f t="shared" ref="D863:D864" si="543">VALUE(LEFT(C863,LEN(C863)-FIND("km/h",C863)+1)/3.6)</f>
        <v>1.8055555555555556</v>
      </c>
    </row>
    <row r="864" spans="1:4">
      <c r="A864" s="23" t="s">
        <v>554</v>
      </c>
      <c r="B864" t="s">
        <v>545</v>
      </c>
      <c r="C864" t="s">
        <v>660</v>
      </c>
      <c r="D864" s="29">
        <f t="shared" si="543"/>
        <v>2.5555555555555554</v>
      </c>
    </row>
    <row r="865" spans="1:4">
      <c r="A865" s="23" t="s">
        <v>556</v>
      </c>
      <c r="B865" t="s">
        <v>545</v>
      </c>
      <c r="C865" t="s">
        <v>1465</v>
      </c>
      <c r="D865" s="26">
        <f t="shared" ref="D865" si="544">VALUE(LEFT(C865,LEN(C865)-7))</f>
        <v>169</v>
      </c>
    </row>
    <row r="866" spans="1:4">
      <c r="A866" s="23" t="s">
        <v>558</v>
      </c>
      <c r="B866" t="s">
        <v>545</v>
      </c>
      <c r="C866" t="s">
        <v>1313</v>
      </c>
      <c r="D866" s="29">
        <f t="shared" ref="D866:D868" si="545">VALUE(LEFT(C866,LEN(C866)-3))</f>
        <v>13.3</v>
      </c>
    </row>
    <row r="867" spans="1:4">
      <c r="A867" s="23" t="s">
        <v>560</v>
      </c>
      <c r="B867" t="s">
        <v>545</v>
      </c>
      <c r="C867" t="s">
        <v>1466</v>
      </c>
      <c r="D867" s="29">
        <f t="shared" si="545"/>
        <v>470.2</v>
      </c>
    </row>
    <row r="868" spans="1:4">
      <c r="A868" s="23" t="s">
        <v>562</v>
      </c>
      <c r="B868" t="s">
        <v>545</v>
      </c>
      <c r="C868" t="s">
        <v>581</v>
      </c>
      <c r="D868" s="29">
        <f t="shared" si="545"/>
        <v>1</v>
      </c>
    </row>
    <row r="870" spans="1:4">
      <c r="A870" s="23" t="s">
        <v>544</v>
      </c>
      <c r="B870" t="s">
        <v>545</v>
      </c>
      <c r="C870" t="s">
        <v>1402</v>
      </c>
      <c r="D870" s="29">
        <f t="shared" ref="D870" si="546">VALUE(LEFT(C870,LEN(C870)-2))</f>
        <v>19.899999999999999</v>
      </c>
    </row>
    <row r="871" spans="1:4">
      <c r="A871" s="23" t="s">
        <v>547</v>
      </c>
      <c r="B871" t="s">
        <v>545</v>
      </c>
      <c r="C871" s="24">
        <v>0.78</v>
      </c>
      <c r="D871" s="27">
        <f t="shared" ref="D871" si="547">VALUE(C871*100)</f>
        <v>78</v>
      </c>
    </row>
    <row r="872" spans="1:4">
      <c r="A872" s="23" t="s">
        <v>548</v>
      </c>
      <c r="B872" t="s">
        <v>545</v>
      </c>
      <c r="C872" t="s">
        <v>802</v>
      </c>
      <c r="D872" s="29">
        <f t="shared" ref="D872" si="548">VALUE(LEFT(C872,LEN(C872)-2))</f>
        <v>15.7</v>
      </c>
    </row>
    <row r="873" spans="1:4">
      <c r="A873" s="23" t="s">
        <v>550</v>
      </c>
      <c r="B873" t="s">
        <v>545</v>
      </c>
      <c r="C873" t="s">
        <v>824</v>
      </c>
      <c r="D873" s="28">
        <f t="shared" ref="D873" si="549">VALUE(LEFT(C873,LEN(C873)-4))</f>
        <v>1008</v>
      </c>
    </row>
    <row r="874" spans="1:4">
      <c r="A874" s="23" t="s">
        <v>552</v>
      </c>
      <c r="B874" t="s">
        <v>545</v>
      </c>
      <c r="C874" t="s">
        <v>660</v>
      </c>
      <c r="D874" s="29">
        <f t="shared" ref="D874:D875" si="550">VALUE(LEFT(C874,LEN(C874)-FIND("km/h",C874)+1)/3.6)</f>
        <v>2.5555555555555554</v>
      </c>
    </row>
    <row r="875" spans="1:4">
      <c r="A875" s="23" t="s">
        <v>554</v>
      </c>
      <c r="B875" t="s">
        <v>545</v>
      </c>
      <c r="C875" t="s">
        <v>945</v>
      </c>
      <c r="D875" s="29">
        <f t="shared" si="550"/>
        <v>3.4722222222222223</v>
      </c>
    </row>
    <row r="876" spans="1:4">
      <c r="A876" s="23" t="s">
        <v>556</v>
      </c>
      <c r="B876" t="s">
        <v>545</v>
      </c>
      <c r="C876" t="s">
        <v>764</v>
      </c>
      <c r="D876" s="26">
        <f t="shared" ref="D876" si="551">VALUE(LEFT(C876,LEN(C876)-7))</f>
        <v>202</v>
      </c>
    </row>
    <row r="877" spans="1:4">
      <c r="A877" s="23" t="s">
        <v>558</v>
      </c>
      <c r="B877" t="s">
        <v>545</v>
      </c>
      <c r="C877" t="s">
        <v>1467</v>
      </c>
      <c r="D877" s="29">
        <f t="shared" ref="D877:D879" si="552">VALUE(LEFT(C877,LEN(C877)-3))</f>
        <v>14.3</v>
      </c>
    </row>
    <row r="878" spans="1:4">
      <c r="A878" s="23" t="s">
        <v>560</v>
      </c>
      <c r="B878" t="s">
        <v>545</v>
      </c>
      <c r="C878" t="s">
        <v>1468</v>
      </c>
      <c r="D878" s="29">
        <f t="shared" si="552"/>
        <v>471.2</v>
      </c>
    </row>
    <row r="879" spans="1:4">
      <c r="A879" s="23" t="s">
        <v>562</v>
      </c>
      <c r="B879" t="s">
        <v>545</v>
      </c>
      <c r="C879" t="s">
        <v>581</v>
      </c>
      <c r="D879" s="29">
        <f t="shared" si="552"/>
        <v>1</v>
      </c>
    </row>
    <row r="881" spans="1:4">
      <c r="A881" s="23" t="s">
        <v>544</v>
      </c>
      <c r="B881" t="s">
        <v>545</v>
      </c>
      <c r="C881" t="s">
        <v>1469</v>
      </c>
      <c r="D881" s="29">
        <f t="shared" ref="D881" si="553">VALUE(LEFT(C881,LEN(C881)-2))</f>
        <v>18.100000000000001</v>
      </c>
    </row>
    <row r="882" spans="1:4">
      <c r="A882" s="23" t="s">
        <v>547</v>
      </c>
      <c r="B882" t="s">
        <v>545</v>
      </c>
      <c r="C882" s="24">
        <v>0.83</v>
      </c>
      <c r="D882" s="27">
        <f t="shared" ref="D882" si="554">VALUE(C882*100)</f>
        <v>83</v>
      </c>
    </row>
    <row r="883" spans="1:4">
      <c r="A883" s="23" t="s">
        <v>548</v>
      </c>
      <c r="B883" t="s">
        <v>545</v>
      </c>
      <c r="C883" t="s">
        <v>779</v>
      </c>
      <c r="D883" s="29">
        <f t="shared" ref="D883" si="555">VALUE(LEFT(C883,LEN(C883)-2))</f>
        <v>14.8</v>
      </c>
    </row>
    <row r="884" spans="1:4">
      <c r="A884" s="23" t="s">
        <v>550</v>
      </c>
      <c r="B884" t="s">
        <v>545</v>
      </c>
      <c r="C884" t="s">
        <v>1109</v>
      </c>
      <c r="D884" s="28">
        <f t="shared" ref="D884" si="556">VALUE(LEFT(C884,LEN(C884)-4))</f>
        <v>1015.9</v>
      </c>
    </row>
    <row r="885" spans="1:4">
      <c r="A885" s="23" t="s">
        <v>552</v>
      </c>
      <c r="B885" t="s">
        <v>545</v>
      </c>
      <c r="C885" t="s">
        <v>601</v>
      </c>
      <c r="D885" s="29">
        <f t="shared" ref="D885:D886" si="557">VALUE(LEFT(C885,LEN(C885)-FIND("km/h",C885)+1)/3.6)</f>
        <v>0.88888888888888895</v>
      </c>
    </row>
    <row r="886" spans="1:4">
      <c r="A886" s="23" t="s">
        <v>554</v>
      </c>
      <c r="B886" t="s">
        <v>545</v>
      </c>
      <c r="C886" t="s">
        <v>636</v>
      </c>
      <c r="D886" s="29">
        <f t="shared" si="557"/>
        <v>1.3333333333333333</v>
      </c>
    </row>
    <row r="887" spans="1:4">
      <c r="A887" s="23" t="s">
        <v>556</v>
      </c>
      <c r="B887" t="s">
        <v>545</v>
      </c>
      <c r="C887" t="s">
        <v>1470</v>
      </c>
      <c r="D887" s="26">
        <f t="shared" ref="D887" si="558">VALUE(LEFT(C887,LEN(C887)-7))</f>
        <v>235</v>
      </c>
    </row>
    <row r="888" spans="1:4">
      <c r="A888" s="23" t="s">
        <v>558</v>
      </c>
      <c r="B888" t="s">
        <v>545</v>
      </c>
      <c r="C888" t="s">
        <v>1467</v>
      </c>
      <c r="D888" s="29">
        <f t="shared" ref="D888:D890" si="559">VALUE(LEFT(C888,LEN(C888)-3))</f>
        <v>14.3</v>
      </c>
    </row>
    <row r="889" spans="1:4">
      <c r="A889" s="23" t="s">
        <v>560</v>
      </c>
      <c r="B889" t="s">
        <v>545</v>
      </c>
      <c r="C889" t="s">
        <v>1468</v>
      </c>
      <c r="D889" s="29">
        <f t="shared" si="559"/>
        <v>471.2</v>
      </c>
    </row>
    <row r="890" spans="1:4">
      <c r="A890" s="23" t="s">
        <v>562</v>
      </c>
      <c r="B890" t="s">
        <v>545</v>
      </c>
      <c r="C890" t="s">
        <v>604</v>
      </c>
      <c r="D890" s="29">
        <f t="shared" si="559"/>
        <v>0</v>
      </c>
    </row>
    <row r="892" spans="1:4">
      <c r="A892" s="23" t="s">
        <v>544</v>
      </c>
      <c r="B892" t="s">
        <v>545</v>
      </c>
      <c r="C892" t="s">
        <v>1412</v>
      </c>
      <c r="D892" s="29">
        <f t="shared" ref="D892" si="560">VALUE(LEFT(C892,LEN(C892)-2))</f>
        <v>17.5</v>
      </c>
    </row>
    <row r="893" spans="1:4">
      <c r="A893" s="23" t="s">
        <v>547</v>
      </c>
      <c r="B893" t="s">
        <v>545</v>
      </c>
      <c r="C893" s="24">
        <v>0.86</v>
      </c>
      <c r="D893" s="27">
        <f t="shared" ref="D893" si="561">VALUE(C893*100)</f>
        <v>86</v>
      </c>
    </row>
    <row r="894" spans="1:4">
      <c r="A894" s="23" t="s">
        <v>548</v>
      </c>
      <c r="B894" t="s">
        <v>545</v>
      </c>
      <c r="C894" t="s">
        <v>779</v>
      </c>
      <c r="D894" s="29">
        <f t="shared" ref="D894" si="562">VALUE(LEFT(C894,LEN(C894)-2))</f>
        <v>14.8</v>
      </c>
    </row>
    <row r="895" spans="1:4">
      <c r="A895" s="23" t="s">
        <v>550</v>
      </c>
      <c r="B895" t="s">
        <v>545</v>
      </c>
      <c r="C895" t="s">
        <v>1244</v>
      </c>
      <c r="D895" s="28">
        <f t="shared" ref="D895" si="563">VALUE(LEFT(C895,LEN(C895)-4))</f>
        <v>1021.3</v>
      </c>
    </row>
    <row r="896" spans="1:4">
      <c r="A896" s="23" t="s">
        <v>552</v>
      </c>
      <c r="B896" t="s">
        <v>545</v>
      </c>
      <c r="C896" t="s">
        <v>777</v>
      </c>
      <c r="D896" s="29">
        <f t="shared" ref="D896:D897" si="564">VALUE(LEFT(C896,LEN(C896)-FIND("km/h",C896)+1)/3.6)</f>
        <v>1.1388888888888888</v>
      </c>
    </row>
    <row r="897" spans="1:4">
      <c r="A897" s="23" t="s">
        <v>554</v>
      </c>
      <c r="B897" t="s">
        <v>545</v>
      </c>
      <c r="C897" t="s">
        <v>781</v>
      </c>
      <c r="D897" s="29">
        <f t="shared" si="564"/>
        <v>1.8333333333333333</v>
      </c>
    </row>
    <row r="898" spans="1:4">
      <c r="A898" s="23" t="s">
        <v>556</v>
      </c>
      <c r="B898" t="s">
        <v>545</v>
      </c>
      <c r="C898" t="s">
        <v>955</v>
      </c>
      <c r="D898" s="26">
        <f t="shared" ref="D898" si="565">VALUE(LEFT(C898,LEN(C898)-7))</f>
        <v>333</v>
      </c>
    </row>
    <row r="899" spans="1:4">
      <c r="A899" s="23" t="s">
        <v>558</v>
      </c>
      <c r="B899" t="s">
        <v>545</v>
      </c>
      <c r="C899" t="s">
        <v>1467</v>
      </c>
      <c r="D899" s="29">
        <f t="shared" ref="D899:D901" si="566">VALUE(LEFT(C899,LEN(C899)-3))</f>
        <v>14.3</v>
      </c>
    </row>
    <row r="900" spans="1:4">
      <c r="A900" s="23" t="s">
        <v>560</v>
      </c>
      <c r="B900" t="s">
        <v>545</v>
      </c>
      <c r="C900" t="s">
        <v>1468</v>
      </c>
      <c r="D900" s="29">
        <f t="shared" si="566"/>
        <v>471.2</v>
      </c>
    </row>
    <row r="901" spans="1:4">
      <c r="A901" s="23" t="s">
        <v>562</v>
      </c>
      <c r="B901" t="s">
        <v>545</v>
      </c>
      <c r="C901" t="s">
        <v>604</v>
      </c>
      <c r="D901" s="29">
        <f t="shared" si="566"/>
        <v>0</v>
      </c>
    </row>
    <row r="903" spans="1:4">
      <c r="A903" s="23" t="s">
        <v>544</v>
      </c>
      <c r="B903" t="s">
        <v>545</v>
      </c>
      <c r="C903" t="s">
        <v>1471</v>
      </c>
      <c r="D903" s="29">
        <f t="shared" ref="D903" si="567">VALUE(LEFT(C903,LEN(C903)-2))</f>
        <v>18.8</v>
      </c>
    </row>
    <row r="904" spans="1:4">
      <c r="A904" s="23" t="s">
        <v>547</v>
      </c>
      <c r="B904" t="s">
        <v>545</v>
      </c>
      <c r="C904" s="24">
        <v>0.78</v>
      </c>
      <c r="D904" s="27">
        <f t="shared" ref="D904" si="568">VALUE(C904*100)</f>
        <v>78</v>
      </c>
    </row>
    <row r="905" spans="1:4">
      <c r="A905" s="23" t="s">
        <v>548</v>
      </c>
      <c r="B905" t="s">
        <v>545</v>
      </c>
      <c r="C905" t="s">
        <v>1038</v>
      </c>
      <c r="D905" s="29">
        <f t="shared" ref="D905" si="569">VALUE(LEFT(C905,LEN(C905)-2))</f>
        <v>14.4</v>
      </c>
    </row>
    <row r="906" spans="1:4">
      <c r="A906" s="23" t="s">
        <v>550</v>
      </c>
      <c r="B906" t="s">
        <v>545</v>
      </c>
      <c r="C906" t="s">
        <v>901</v>
      </c>
      <c r="D906" s="28">
        <f t="shared" ref="D906" si="570">VALUE(LEFT(C906,LEN(C906)-4))</f>
        <v>1019.8</v>
      </c>
    </row>
    <row r="907" spans="1:4">
      <c r="A907" s="23" t="s">
        <v>552</v>
      </c>
      <c r="B907" t="s">
        <v>545</v>
      </c>
      <c r="C907" t="s">
        <v>1008</v>
      </c>
      <c r="D907" s="29">
        <f t="shared" ref="D907:D908" si="571">VALUE(LEFT(C907,LEN(C907)-FIND("km/h",C907)+1)/3.6)</f>
        <v>1.0277777777777779</v>
      </c>
    </row>
    <row r="908" spans="1:4">
      <c r="A908" s="23" t="s">
        <v>554</v>
      </c>
      <c r="B908" t="s">
        <v>545</v>
      </c>
      <c r="C908" t="s">
        <v>795</v>
      </c>
      <c r="D908" s="29">
        <f t="shared" si="571"/>
        <v>1.6111111111111109</v>
      </c>
    </row>
    <row r="909" spans="1:4">
      <c r="A909" s="23" t="s">
        <v>556</v>
      </c>
      <c r="B909" t="s">
        <v>545</v>
      </c>
      <c r="C909" t="s">
        <v>866</v>
      </c>
      <c r="D909" s="26">
        <f t="shared" ref="D909" si="572">VALUE(LEFT(C909,LEN(C909)-7))</f>
        <v>325</v>
      </c>
    </row>
    <row r="910" spans="1:4">
      <c r="A910" s="23" t="s">
        <v>558</v>
      </c>
      <c r="B910" t="s">
        <v>545</v>
      </c>
      <c r="C910" t="s">
        <v>1467</v>
      </c>
      <c r="D910" s="29">
        <f t="shared" ref="D910:D912" si="573">VALUE(LEFT(C910,LEN(C910)-3))</f>
        <v>14.3</v>
      </c>
    </row>
    <row r="911" spans="1:4">
      <c r="A911" s="23" t="s">
        <v>560</v>
      </c>
      <c r="B911" t="s">
        <v>545</v>
      </c>
      <c r="C911" t="s">
        <v>1468</v>
      </c>
      <c r="D911" s="29">
        <f t="shared" si="573"/>
        <v>471.2</v>
      </c>
    </row>
    <row r="912" spans="1:4">
      <c r="A912" s="23" t="s">
        <v>562</v>
      </c>
      <c r="B912" t="s">
        <v>545</v>
      </c>
      <c r="C912" t="s">
        <v>604</v>
      </c>
      <c r="D912" s="29">
        <f t="shared" si="573"/>
        <v>0</v>
      </c>
    </row>
    <row r="914" spans="1:4">
      <c r="A914" s="23" t="s">
        <v>544</v>
      </c>
      <c r="B914" t="s">
        <v>545</v>
      </c>
      <c r="C914" t="s">
        <v>1374</v>
      </c>
      <c r="D914" s="29">
        <f t="shared" ref="D914" si="574">VALUE(LEFT(C914,LEN(C914)-2))</f>
        <v>17.899999999999999</v>
      </c>
    </row>
    <row r="915" spans="1:4">
      <c r="A915" s="23" t="s">
        <v>547</v>
      </c>
      <c r="B915" t="s">
        <v>545</v>
      </c>
      <c r="C915" s="24">
        <v>0.73</v>
      </c>
      <c r="D915" s="27">
        <f t="shared" ref="D915" si="575">VALUE(C915*100)</f>
        <v>73</v>
      </c>
    </row>
    <row r="916" spans="1:4">
      <c r="A916" s="23" t="s">
        <v>548</v>
      </c>
      <c r="B916" t="s">
        <v>545</v>
      </c>
      <c r="C916" t="s">
        <v>744</v>
      </c>
      <c r="D916" s="29">
        <f t="shared" ref="D916" si="576">VALUE(LEFT(C916,LEN(C916)-2))</f>
        <v>12</v>
      </c>
    </row>
    <row r="917" spans="1:4">
      <c r="A917" s="23" t="s">
        <v>550</v>
      </c>
      <c r="B917" t="s">
        <v>545</v>
      </c>
      <c r="C917" t="s">
        <v>769</v>
      </c>
      <c r="D917" s="28">
        <f t="shared" ref="D917" si="577">VALUE(LEFT(C917,LEN(C917)-4))</f>
        <v>1018.2</v>
      </c>
    </row>
    <row r="918" spans="1:4">
      <c r="A918" s="23" t="s">
        <v>552</v>
      </c>
      <c r="B918" t="s">
        <v>545</v>
      </c>
      <c r="C918" t="s">
        <v>688</v>
      </c>
      <c r="D918" s="29">
        <f t="shared" ref="D918:D919" si="578">VALUE(LEFT(C918,LEN(C918)-FIND("km/h",C918)+1)/3.6)</f>
        <v>0.83333333333333326</v>
      </c>
    </row>
    <row r="919" spans="1:4">
      <c r="A919" s="23" t="s">
        <v>554</v>
      </c>
      <c r="B919" t="s">
        <v>545</v>
      </c>
      <c r="C919" t="s">
        <v>651</v>
      </c>
      <c r="D919" s="29">
        <f t="shared" si="578"/>
        <v>1.2777777777777777</v>
      </c>
    </row>
    <row r="920" spans="1:4">
      <c r="A920" s="23" t="s">
        <v>556</v>
      </c>
      <c r="B920" t="s">
        <v>545</v>
      </c>
      <c r="C920" t="s">
        <v>870</v>
      </c>
      <c r="D920" s="26">
        <f t="shared" ref="D920" si="579">VALUE(LEFT(C920,LEN(C920)-7))</f>
        <v>337</v>
      </c>
    </row>
    <row r="921" spans="1:4">
      <c r="A921" s="23" t="s">
        <v>558</v>
      </c>
      <c r="B921" t="s">
        <v>545</v>
      </c>
      <c r="C921" t="s">
        <v>1467</v>
      </c>
      <c r="D921" s="29">
        <f t="shared" ref="D921:D923" si="580">VALUE(LEFT(C921,LEN(C921)-3))</f>
        <v>14.3</v>
      </c>
    </row>
    <row r="922" spans="1:4">
      <c r="A922" s="23" t="s">
        <v>560</v>
      </c>
      <c r="B922" t="s">
        <v>545</v>
      </c>
      <c r="C922" t="s">
        <v>1468</v>
      </c>
      <c r="D922" s="29">
        <f t="shared" si="580"/>
        <v>471.2</v>
      </c>
    </row>
    <row r="923" spans="1:4">
      <c r="A923" s="23" t="s">
        <v>562</v>
      </c>
      <c r="B923" t="s">
        <v>545</v>
      </c>
      <c r="C923" t="s">
        <v>604</v>
      </c>
      <c r="D923" s="29">
        <f t="shared" si="580"/>
        <v>0</v>
      </c>
    </row>
    <row r="925" spans="1:4">
      <c r="A925" s="23" t="s">
        <v>544</v>
      </c>
      <c r="B925" t="s">
        <v>545</v>
      </c>
      <c r="C925" t="s">
        <v>1412</v>
      </c>
      <c r="D925" s="29">
        <f t="shared" ref="D925" si="581">VALUE(LEFT(C925,LEN(C925)-2))</f>
        <v>17.5</v>
      </c>
    </row>
    <row r="926" spans="1:4">
      <c r="A926" s="23" t="s">
        <v>547</v>
      </c>
      <c r="B926" t="s">
        <v>545</v>
      </c>
      <c r="C926" s="24">
        <v>0.72</v>
      </c>
      <c r="D926" s="27">
        <f t="shared" ref="D926" si="582">VALUE(C926*100)</f>
        <v>72</v>
      </c>
    </row>
    <row r="927" spans="1:4">
      <c r="A927" s="23" t="s">
        <v>548</v>
      </c>
      <c r="B927" t="s">
        <v>545</v>
      </c>
      <c r="C927" t="s">
        <v>573</v>
      </c>
      <c r="D927" s="29">
        <f t="shared" ref="D927" si="583">VALUE(LEFT(C927,LEN(C927)-2))</f>
        <v>11.4</v>
      </c>
    </row>
    <row r="928" spans="1:4">
      <c r="A928" s="23" t="s">
        <v>550</v>
      </c>
      <c r="B928" t="s">
        <v>545</v>
      </c>
      <c r="C928" t="s">
        <v>672</v>
      </c>
      <c r="D928" s="28">
        <f t="shared" ref="D928" si="584">VALUE(LEFT(C928,LEN(C928)-4))</f>
        <v>1018</v>
      </c>
    </row>
    <row r="929" spans="1:4">
      <c r="A929" s="23" t="s">
        <v>552</v>
      </c>
      <c r="B929" t="s">
        <v>545</v>
      </c>
      <c r="C929" t="s">
        <v>1030</v>
      </c>
      <c r="D929" s="29">
        <f t="shared" ref="D929:D930" si="585">VALUE(LEFT(C929,LEN(C929)-FIND("km/h",C929)+1)/3.6)</f>
        <v>0.66666666666666663</v>
      </c>
    </row>
    <row r="930" spans="1:4">
      <c r="A930" s="23" t="s">
        <v>554</v>
      </c>
      <c r="B930" t="s">
        <v>545</v>
      </c>
      <c r="C930" t="s">
        <v>1008</v>
      </c>
      <c r="D930" s="29">
        <f t="shared" si="585"/>
        <v>1.0277777777777779</v>
      </c>
    </row>
    <row r="931" spans="1:4">
      <c r="A931" s="23" t="s">
        <v>556</v>
      </c>
      <c r="B931" t="s">
        <v>545</v>
      </c>
      <c r="C931" t="s">
        <v>1285</v>
      </c>
      <c r="D931" s="26">
        <f t="shared" ref="D931" si="586">VALUE(LEFT(C931,LEN(C931)-7))</f>
        <v>342</v>
      </c>
    </row>
    <row r="932" spans="1:4">
      <c r="A932" s="23" t="s">
        <v>558</v>
      </c>
      <c r="B932" t="s">
        <v>545</v>
      </c>
      <c r="C932" t="s">
        <v>1467</v>
      </c>
      <c r="D932" s="29">
        <f t="shared" ref="D932:D934" si="587">VALUE(LEFT(C932,LEN(C932)-3))</f>
        <v>14.3</v>
      </c>
    </row>
    <row r="933" spans="1:4">
      <c r="A933" s="23" t="s">
        <v>560</v>
      </c>
      <c r="B933" t="s">
        <v>545</v>
      </c>
      <c r="C933" t="s">
        <v>1468</v>
      </c>
      <c r="D933" s="29">
        <f t="shared" si="587"/>
        <v>471.2</v>
      </c>
    </row>
    <row r="934" spans="1:4">
      <c r="A934" s="23" t="s">
        <v>562</v>
      </c>
      <c r="B934" t="s">
        <v>545</v>
      </c>
      <c r="C934" t="s">
        <v>604</v>
      </c>
      <c r="D934" s="29">
        <f t="shared" si="587"/>
        <v>0</v>
      </c>
    </row>
    <row r="936" spans="1:4">
      <c r="A936" s="23" t="s">
        <v>544</v>
      </c>
      <c r="B936" t="s">
        <v>545</v>
      </c>
      <c r="C936" t="s">
        <v>878</v>
      </c>
      <c r="D936" s="29">
        <f t="shared" ref="D936" si="588">VALUE(LEFT(C936,LEN(C936)-2))</f>
        <v>18.7</v>
      </c>
    </row>
    <row r="937" spans="1:4">
      <c r="A937" s="23" t="s">
        <v>547</v>
      </c>
      <c r="B937" t="s">
        <v>545</v>
      </c>
      <c r="C937" s="24">
        <v>0.67</v>
      </c>
      <c r="D937" s="27">
        <f t="shared" ref="D937" si="589">VALUE(C937*100)</f>
        <v>67</v>
      </c>
    </row>
    <row r="938" spans="1:4">
      <c r="A938" s="23" t="s">
        <v>548</v>
      </c>
      <c r="B938" t="s">
        <v>545</v>
      </c>
      <c r="C938" t="s">
        <v>798</v>
      </c>
      <c r="D938" s="29">
        <f t="shared" ref="D938" si="590">VALUE(LEFT(C938,LEN(C938)-2))</f>
        <v>11.1</v>
      </c>
    </row>
    <row r="939" spans="1:4">
      <c r="A939" s="23" t="s">
        <v>550</v>
      </c>
      <c r="B939" t="s">
        <v>545</v>
      </c>
      <c r="C939" t="s">
        <v>814</v>
      </c>
      <c r="D939" s="28">
        <f t="shared" ref="D939" si="591">VALUE(LEFT(C939,LEN(C939)-4))</f>
        <v>1016.1</v>
      </c>
    </row>
    <row r="940" spans="1:4">
      <c r="A940" s="23" t="s">
        <v>552</v>
      </c>
      <c r="B940" t="s">
        <v>545</v>
      </c>
      <c r="C940" t="s">
        <v>601</v>
      </c>
      <c r="D940" s="29">
        <f t="shared" ref="D940:D941" si="592">VALUE(LEFT(C940,LEN(C940)-FIND("km/h",C940)+1)/3.6)</f>
        <v>0.88888888888888895</v>
      </c>
    </row>
    <row r="941" spans="1:4">
      <c r="A941" s="23" t="s">
        <v>554</v>
      </c>
      <c r="B941" t="s">
        <v>545</v>
      </c>
      <c r="C941" t="s">
        <v>636</v>
      </c>
      <c r="D941" s="29">
        <f t="shared" si="592"/>
        <v>1.3333333333333333</v>
      </c>
    </row>
    <row r="942" spans="1:4">
      <c r="A942" s="23" t="s">
        <v>556</v>
      </c>
      <c r="B942" t="s">
        <v>545</v>
      </c>
      <c r="C942" t="s">
        <v>884</v>
      </c>
      <c r="D942" s="26">
        <f t="shared" ref="D942" si="593">VALUE(LEFT(C942,LEN(C942)-7))</f>
        <v>20</v>
      </c>
    </row>
    <row r="943" spans="1:4">
      <c r="A943" s="23" t="s">
        <v>558</v>
      </c>
      <c r="B943" t="s">
        <v>545</v>
      </c>
      <c r="C943" t="s">
        <v>1467</v>
      </c>
      <c r="D943" s="29">
        <f t="shared" ref="D943:D945" si="594">VALUE(LEFT(C943,LEN(C943)-3))</f>
        <v>14.3</v>
      </c>
    </row>
    <row r="944" spans="1:4">
      <c r="A944" s="23" t="s">
        <v>560</v>
      </c>
      <c r="B944" t="s">
        <v>545</v>
      </c>
      <c r="C944" t="s">
        <v>1468</v>
      </c>
      <c r="D944" s="29">
        <f t="shared" si="594"/>
        <v>471.2</v>
      </c>
    </row>
    <row r="945" spans="1:4">
      <c r="A945" s="23" t="s">
        <v>562</v>
      </c>
      <c r="B945" t="s">
        <v>545</v>
      </c>
      <c r="C945" t="s">
        <v>604</v>
      </c>
      <c r="D945" s="29">
        <f t="shared" si="594"/>
        <v>0</v>
      </c>
    </row>
    <row r="947" spans="1:4">
      <c r="A947" s="23" t="s">
        <v>544</v>
      </c>
      <c r="B947" t="s">
        <v>545</v>
      </c>
      <c r="C947" t="s">
        <v>925</v>
      </c>
      <c r="D947" s="29">
        <f t="shared" ref="D947" si="595">VALUE(LEFT(C947,LEN(C947)-2))</f>
        <v>18.3</v>
      </c>
    </row>
    <row r="948" spans="1:4">
      <c r="A948" s="23" t="s">
        <v>547</v>
      </c>
      <c r="B948" t="s">
        <v>545</v>
      </c>
      <c r="C948" s="24">
        <v>0.67</v>
      </c>
      <c r="D948" s="27">
        <f t="shared" ref="D948" si="596">VALUE(C948*100)</f>
        <v>67</v>
      </c>
    </row>
    <row r="949" spans="1:4">
      <c r="A949" s="23" t="s">
        <v>548</v>
      </c>
      <c r="B949" t="s">
        <v>545</v>
      </c>
      <c r="C949" t="s">
        <v>730</v>
      </c>
      <c r="D949" s="29">
        <f t="shared" ref="D949" si="597">VALUE(LEFT(C949,LEN(C949)-2))</f>
        <v>11</v>
      </c>
    </row>
    <row r="950" spans="1:4">
      <c r="A950" s="23" t="s">
        <v>550</v>
      </c>
      <c r="B950" t="s">
        <v>545</v>
      </c>
      <c r="C950" t="s">
        <v>883</v>
      </c>
      <c r="D950" s="28">
        <f t="shared" ref="D950" si="598">VALUE(LEFT(C950,LEN(C950)-4))</f>
        <v>1013.7</v>
      </c>
    </row>
    <row r="951" spans="1:4">
      <c r="A951" s="23" t="s">
        <v>552</v>
      </c>
      <c r="B951" t="s">
        <v>545</v>
      </c>
      <c r="C951" t="s">
        <v>1129</v>
      </c>
      <c r="D951" s="29">
        <f t="shared" ref="D951:D952" si="599">VALUE(LEFT(C951,LEN(C951)-FIND("km/h",C951)+1)/3.6)</f>
        <v>0.52777777777777779</v>
      </c>
    </row>
    <row r="952" spans="1:4">
      <c r="A952" s="23" t="s">
        <v>554</v>
      </c>
      <c r="B952" t="s">
        <v>545</v>
      </c>
      <c r="C952" t="s">
        <v>688</v>
      </c>
      <c r="D952" s="29">
        <f t="shared" si="599"/>
        <v>0.83333333333333326</v>
      </c>
    </row>
    <row r="953" spans="1:4">
      <c r="A953" s="23" t="s">
        <v>556</v>
      </c>
      <c r="B953" t="s">
        <v>545</v>
      </c>
      <c r="C953" t="s">
        <v>557</v>
      </c>
      <c r="D953" s="26">
        <f t="shared" ref="D953" si="600">VALUE(LEFT(C953,LEN(C953)-7))</f>
        <v>260</v>
      </c>
    </row>
    <row r="954" spans="1:4">
      <c r="A954" s="23" t="s">
        <v>558</v>
      </c>
      <c r="B954" t="s">
        <v>545</v>
      </c>
      <c r="C954" t="s">
        <v>1467</v>
      </c>
      <c r="D954" s="29">
        <f t="shared" ref="D954:D956" si="601">VALUE(LEFT(C954,LEN(C954)-3))</f>
        <v>14.3</v>
      </c>
    </row>
    <row r="955" spans="1:4">
      <c r="A955" s="23" t="s">
        <v>560</v>
      </c>
      <c r="B955" t="s">
        <v>545</v>
      </c>
      <c r="C955" t="s">
        <v>1468</v>
      </c>
      <c r="D955" s="29">
        <f t="shared" si="601"/>
        <v>471.2</v>
      </c>
    </row>
    <row r="956" spans="1:4">
      <c r="A956" s="23" t="s">
        <v>562</v>
      </c>
      <c r="B956" t="s">
        <v>545</v>
      </c>
      <c r="C956" t="s">
        <v>604</v>
      </c>
      <c r="D956" s="29">
        <f t="shared" si="601"/>
        <v>0</v>
      </c>
    </row>
    <row r="958" spans="1:4">
      <c r="A958" s="23" t="s">
        <v>544</v>
      </c>
      <c r="B958" t="s">
        <v>545</v>
      </c>
      <c r="C958" t="s">
        <v>1328</v>
      </c>
      <c r="D958" s="29">
        <f t="shared" ref="D958" si="602">VALUE(LEFT(C958,LEN(C958)-2))</f>
        <v>16.600000000000001</v>
      </c>
    </row>
    <row r="959" spans="1:4">
      <c r="A959" s="23" t="s">
        <v>547</v>
      </c>
      <c r="B959" t="s">
        <v>545</v>
      </c>
      <c r="C959" s="24">
        <v>0.78</v>
      </c>
      <c r="D959" s="27">
        <f t="shared" ref="D959" si="603">VALUE(C959*100)</f>
        <v>78</v>
      </c>
    </row>
    <row r="960" spans="1:4">
      <c r="A960" s="23" t="s">
        <v>548</v>
      </c>
      <c r="B960" t="s">
        <v>545</v>
      </c>
      <c r="C960" t="s">
        <v>565</v>
      </c>
      <c r="D960" s="29">
        <f t="shared" ref="D960" si="604">VALUE(LEFT(C960,LEN(C960)-2))</f>
        <v>12.4</v>
      </c>
    </row>
    <row r="961" spans="1:4">
      <c r="A961" s="23" t="s">
        <v>550</v>
      </c>
      <c r="B961" t="s">
        <v>545</v>
      </c>
      <c r="C961" t="s">
        <v>551</v>
      </c>
      <c r="D961" s="28">
        <f t="shared" ref="D961" si="605">VALUE(LEFT(C961,LEN(C961)-4))</f>
        <v>1012.4</v>
      </c>
    </row>
    <row r="962" spans="1:4">
      <c r="A962" s="23" t="s">
        <v>552</v>
      </c>
      <c r="B962" t="s">
        <v>545</v>
      </c>
      <c r="C962" t="s">
        <v>601</v>
      </c>
      <c r="D962" s="29">
        <f t="shared" ref="D962:D963" si="606">VALUE(LEFT(C962,LEN(C962)-FIND("km/h",C962)+1)/3.6)</f>
        <v>0.88888888888888895</v>
      </c>
    </row>
    <row r="963" spans="1:4">
      <c r="A963" s="23" t="s">
        <v>554</v>
      </c>
      <c r="B963" t="s">
        <v>545</v>
      </c>
      <c r="C963" t="s">
        <v>624</v>
      </c>
      <c r="D963" s="29">
        <f t="shared" si="606"/>
        <v>1.3888888888888888</v>
      </c>
    </row>
    <row r="964" spans="1:4">
      <c r="A964" s="23" t="s">
        <v>556</v>
      </c>
      <c r="B964" t="s">
        <v>545</v>
      </c>
      <c r="C964" t="s">
        <v>850</v>
      </c>
      <c r="D964" s="26">
        <f t="shared" ref="D964" si="607">VALUE(LEFT(C964,LEN(C964)-7))</f>
        <v>258</v>
      </c>
    </row>
    <row r="965" spans="1:4">
      <c r="A965" s="23" t="s">
        <v>558</v>
      </c>
      <c r="B965" t="s">
        <v>545</v>
      </c>
      <c r="C965" t="s">
        <v>1467</v>
      </c>
      <c r="D965" s="29">
        <f t="shared" ref="D965:D967" si="608">VALUE(LEFT(C965,LEN(C965)-3))</f>
        <v>14.3</v>
      </c>
    </row>
    <row r="966" spans="1:4">
      <c r="A966" s="23" t="s">
        <v>560</v>
      </c>
      <c r="B966" t="s">
        <v>545</v>
      </c>
      <c r="C966" t="s">
        <v>1468</v>
      </c>
      <c r="D966" s="29">
        <f t="shared" si="608"/>
        <v>471.2</v>
      </c>
    </row>
    <row r="967" spans="1:4">
      <c r="A967" s="23" t="s">
        <v>562</v>
      </c>
      <c r="B967" t="s">
        <v>545</v>
      </c>
      <c r="C967" t="s">
        <v>604</v>
      </c>
      <c r="D967" s="29">
        <f t="shared" si="608"/>
        <v>0</v>
      </c>
    </row>
    <row r="969" spans="1:4">
      <c r="A969" s="23" t="s">
        <v>544</v>
      </c>
      <c r="B969" t="s">
        <v>545</v>
      </c>
      <c r="C969" t="s">
        <v>867</v>
      </c>
      <c r="D969" s="29">
        <f t="shared" ref="D969" si="609">VALUE(LEFT(C969,LEN(C969)-2))</f>
        <v>16.899999999999999</v>
      </c>
    </row>
    <row r="970" spans="1:4">
      <c r="A970" s="23" t="s">
        <v>547</v>
      </c>
      <c r="B970" t="s">
        <v>545</v>
      </c>
      <c r="C970" s="24">
        <v>0.71</v>
      </c>
      <c r="D970" s="27">
        <f t="shared" ref="D970" si="610">VALUE(C970*100)</f>
        <v>71</v>
      </c>
    </row>
    <row r="971" spans="1:4">
      <c r="A971" s="23" t="s">
        <v>548</v>
      </c>
      <c r="B971" t="s">
        <v>545</v>
      </c>
      <c r="C971" t="s">
        <v>895</v>
      </c>
      <c r="D971" s="29">
        <f t="shared" ref="D971" si="611">VALUE(LEFT(C971,LEN(C971)-2))</f>
        <v>11.6</v>
      </c>
    </row>
    <row r="972" spans="1:4">
      <c r="A972" s="23" t="s">
        <v>550</v>
      </c>
      <c r="B972" t="s">
        <v>545</v>
      </c>
      <c r="C972" t="s">
        <v>1397</v>
      </c>
      <c r="D972" s="28">
        <f t="shared" ref="D972" si="612">VALUE(LEFT(C972,LEN(C972)-4))</f>
        <v>1015.1</v>
      </c>
    </row>
    <row r="973" spans="1:4">
      <c r="A973" s="23" t="s">
        <v>552</v>
      </c>
      <c r="B973" t="s">
        <v>545</v>
      </c>
      <c r="C973" t="s">
        <v>635</v>
      </c>
      <c r="D973" s="29">
        <f t="shared" ref="D973:D974" si="613">VALUE(LEFT(C973,LEN(C973)-FIND("km/h",C973)+1)/3.6)</f>
        <v>0.80555555555555547</v>
      </c>
    </row>
    <row r="974" spans="1:4">
      <c r="A974" s="23" t="s">
        <v>554</v>
      </c>
      <c r="B974" t="s">
        <v>545</v>
      </c>
      <c r="C974" t="s">
        <v>651</v>
      </c>
      <c r="D974" s="29">
        <f t="shared" si="613"/>
        <v>1.2777777777777777</v>
      </c>
    </row>
    <row r="975" spans="1:4">
      <c r="A975" s="23" t="s">
        <v>556</v>
      </c>
      <c r="B975" t="s">
        <v>545</v>
      </c>
      <c r="C975" t="s">
        <v>860</v>
      </c>
      <c r="D975" s="26">
        <f t="shared" ref="D975" si="614">VALUE(LEFT(C975,LEN(C975)-7))</f>
        <v>244</v>
      </c>
    </row>
    <row r="976" spans="1:4">
      <c r="A976" s="23" t="s">
        <v>558</v>
      </c>
      <c r="B976" t="s">
        <v>545</v>
      </c>
      <c r="C976" t="s">
        <v>1467</v>
      </c>
      <c r="D976" s="29">
        <f t="shared" ref="D976:D978" si="615">VALUE(LEFT(C976,LEN(C976)-3))</f>
        <v>14.3</v>
      </c>
    </row>
    <row r="977" spans="1:4">
      <c r="A977" s="23" t="s">
        <v>560</v>
      </c>
      <c r="B977" t="s">
        <v>545</v>
      </c>
      <c r="C977" t="s">
        <v>1468</v>
      </c>
      <c r="D977" s="29">
        <f t="shared" si="615"/>
        <v>471.2</v>
      </c>
    </row>
    <row r="978" spans="1:4">
      <c r="A978" s="23" t="s">
        <v>562</v>
      </c>
      <c r="B978" t="s">
        <v>545</v>
      </c>
      <c r="C978" t="s">
        <v>604</v>
      </c>
      <c r="D978" s="29">
        <f t="shared" si="615"/>
        <v>0</v>
      </c>
    </row>
    <row r="980" spans="1:4">
      <c r="A980" s="23" t="s">
        <v>544</v>
      </c>
      <c r="B980" t="s">
        <v>545</v>
      </c>
      <c r="C980" t="s">
        <v>1472</v>
      </c>
      <c r="D980" s="29">
        <f t="shared" ref="D980" si="616">VALUE(LEFT(C980,LEN(C980)-2))</f>
        <v>16.3</v>
      </c>
    </row>
    <row r="981" spans="1:4">
      <c r="A981" s="23" t="s">
        <v>547</v>
      </c>
      <c r="B981" t="s">
        <v>545</v>
      </c>
      <c r="C981" s="24">
        <v>0.79</v>
      </c>
      <c r="D981" s="27">
        <f t="shared" ref="D981" si="617">VALUE(C981*100)</f>
        <v>79</v>
      </c>
    </row>
    <row r="982" spans="1:4">
      <c r="A982" s="23" t="s">
        <v>548</v>
      </c>
      <c r="B982" t="s">
        <v>545</v>
      </c>
      <c r="C982" t="s">
        <v>565</v>
      </c>
      <c r="D982" s="29">
        <f t="shared" ref="D982" si="618">VALUE(LEFT(C982,LEN(C982)-2))</f>
        <v>12.4</v>
      </c>
    </row>
    <row r="983" spans="1:4">
      <c r="A983" s="23" t="s">
        <v>550</v>
      </c>
      <c r="B983" t="s">
        <v>545</v>
      </c>
      <c r="C983" t="s">
        <v>583</v>
      </c>
      <c r="D983" s="28">
        <f t="shared" ref="D983" si="619">VALUE(LEFT(C983,LEN(C983)-4))</f>
        <v>1018.9</v>
      </c>
    </row>
    <row r="984" spans="1:4">
      <c r="A984" s="23" t="s">
        <v>552</v>
      </c>
      <c r="B984" t="s">
        <v>545</v>
      </c>
      <c r="C984" t="s">
        <v>629</v>
      </c>
      <c r="D984" s="29">
        <f t="shared" ref="D984:D985" si="620">VALUE(LEFT(C984,LEN(C984)-FIND("km/h",C984)+1)/3.6)</f>
        <v>1.0833333333333333</v>
      </c>
    </row>
    <row r="985" spans="1:4">
      <c r="A985" s="23" t="s">
        <v>554</v>
      </c>
      <c r="B985" t="s">
        <v>545</v>
      </c>
      <c r="C985" t="s">
        <v>811</v>
      </c>
      <c r="D985" s="29">
        <f t="shared" si="620"/>
        <v>1.6388888888888888</v>
      </c>
    </row>
    <row r="986" spans="1:4">
      <c r="A986" s="23" t="s">
        <v>556</v>
      </c>
      <c r="B986" t="s">
        <v>545</v>
      </c>
      <c r="C986" t="s">
        <v>764</v>
      </c>
      <c r="D986" s="26">
        <f t="shared" ref="D986" si="621">VALUE(LEFT(C986,LEN(C986)-7))</f>
        <v>202</v>
      </c>
    </row>
    <row r="987" spans="1:4">
      <c r="A987" s="23" t="s">
        <v>558</v>
      </c>
      <c r="B987" t="s">
        <v>545</v>
      </c>
      <c r="C987" t="s">
        <v>1467</v>
      </c>
      <c r="D987" s="29">
        <f t="shared" ref="D987:D989" si="622">VALUE(LEFT(C987,LEN(C987)-3))</f>
        <v>14.3</v>
      </c>
    </row>
    <row r="988" spans="1:4">
      <c r="A988" s="23" t="s">
        <v>560</v>
      </c>
      <c r="B988" t="s">
        <v>545</v>
      </c>
      <c r="C988" t="s">
        <v>1468</v>
      </c>
      <c r="D988" s="29">
        <f t="shared" si="622"/>
        <v>471.2</v>
      </c>
    </row>
    <row r="989" spans="1:4">
      <c r="A989" s="23" t="s">
        <v>562</v>
      </c>
      <c r="B989" t="s">
        <v>545</v>
      </c>
      <c r="C989" t="s">
        <v>604</v>
      </c>
      <c r="D989" s="29">
        <f t="shared" si="622"/>
        <v>0</v>
      </c>
    </row>
    <row r="991" spans="1:4">
      <c r="A991" s="23" t="s">
        <v>544</v>
      </c>
      <c r="B991" t="s">
        <v>545</v>
      </c>
      <c r="C991" t="s">
        <v>990</v>
      </c>
      <c r="D991" s="29">
        <f t="shared" ref="D991" si="623">VALUE(LEFT(C991,LEN(C991)-2))</f>
        <v>17.600000000000001</v>
      </c>
    </row>
    <row r="992" spans="1:4">
      <c r="A992" s="23" t="s">
        <v>547</v>
      </c>
      <c r="B992" t="s">
        <v>545</v>
      </c>
      <c r="C992" s="24">
        <v>0.84</v>
      </c>
      <c r="D992" s="27">
        <f t="shared" ref="D992" si="624">VALUE(C992*100)</f>
        <v>84</v>
      </c>
    </row>
    <row r="993" spans="1:4">
      <c r="A993" s="23" t="s">
        <v>548</v>
      </c>
      <c r="B993" t="s">
        <v>545</v>
      </c>
      <c r="C993" t="s">
        <v>819</v>
      </c>
      <c r="D993" s="29">
        <f t="shared" ref="D993" si="625">VALUE(LEFT(C993,LEN(C993)-2))</f>
        <v>14.7</v>
      </c>
    </row>
    <row r="994" spans="1:4">
      <c r="A994" s="23" t="s">
        <v>550</v>
      </c>
      <c r="B994" t="s">
        <v>545</v>
      </c>
      <c r="C994" t="s">
        <v>680</v>
      </c>
      <c r="D994" s="28">
        <f t="shared" ref="D994" si="626">VALUE(LEFT(C994,LEN(C994)-4))</f>
        <v>1017.9</v>
      </c>
    </row>
    <row r="995" spans="1:4">
      <c r="A995" s="23" t="s">
        <v>552</v>
      </c>
      <c r="B995" t="s">
        <v>545</v>
      </c>
      <c r="C995" t="s">
        <v>654</v>
      </c>
      <c r="D995" s="29">
        <f t="shared" ref="D995:D996" si="627">VALUE(LEFT(C995,LEN(C995)-FIND("km/h",C995)+1)/3.6)</f>
        <v>1.1944444444444444</v>
      </c>
    </row>
    <row r="996" spans="1:4">
      <c r="A996" s="23" t="s">
        <v>554</v>
      </c>
      <c r="B996" t="s">
        <v>545</v>
      </c>
      <c r="C996" t="s">
        <v>789</v>
      </c>
      <c r="D996" s="29">
        <f t="shared" si="627"/>
        <v>1.8055555555555556</v>
      </c>
    </row>
    <row r="997" spans="1:4">
      <c r="A997" s="23" t="s">
        <v>556</v>
      </c>
      <c r="B997" t="s">
        <v>545</v>
      </c>
      <c r="C997" t="s">
        <v>1473</v>
      </c>
      <c r="D997" s="26">
        <f t="shared" ref="D997" si="628">VALUE(LEFT(C997,LEN(C997)-7))</f>
        <v>191</v>
      </c>
    </row>
    <row r="998" spans="1:4">
      <c r="A998" s="23" t="s">
        <v>558</v>
      </c>
      <c r="B998" t="s">
        <v>545</v>
      </c>
      <c r="C998" t="s">
        <v>1467</v>
      </c>
      <c r="D998" s="29">
        <f t="shared" ref="D998:D1000" si="629">VALUE(LEFT(C998,LEN(C998)-3))</f>
        <v>14.3</v>
      </c>
    </row>
    <row r="999" spans="1:4">
      <c r="A999" s="23" t="s">
        <v>560</v>
      </c>
      <c r="B999" t="s">
        <v>545</v>
      </c>
      <c r="C999" t="s">
        <v>1468</v>
      </c>
      <c r="D999" s="29">
        <f t="shared" si="629"/>
        <v>471.2</v>
      </c>
    </row>
    <row r="1000" spans="1:4">
      <c r="A1000" s="23" t="s">
        <v>562</v>
      </c>
      <c r="B1000" t="s">
        <v>545</v>
      </c>
      <c r="C1000" t="s">
        <v>604</v>
      </c>
      <c r="D1000" s="29">
        <f t="shared" si="629"/>
        <v>0</v>
      </c>
    </row>
    <row r="1002" spans="1:4">
      <c r="A1002" s="23" t="s">
        <v>544</v>
      </c>
      <c r="B1002" t="s">
        <v>545</v>
      </c>
      <c r="C1002" t="s">
        <v>916</v>
      </c>
      <c r="D1002" s="29">
        <f t="shared" ref="D1002" si="630">VALUE(LEFT(C1002,LEN(C1002)-2))</f>
        <v>19</v>
      </c>
    </row>
    <row r="1003" spans="1:4">
      <c r="A1003" s="23" t="s">
        <v>547</v>
      </c>
      <c r="B1003" t="s">
        <v>545</v>
      </c>
      <c r="C1003" s="24">
        <v>0.86</v>
      </c>
      <c r="D1003" s="27">
        <f t="shared" ref="D1003" si="631">VALUE(C1003*100)</f>
        <v>86</v>
      </c>
    </row>
    <row r="1004" spans="1:4">
      <c r="A1004" s="23" t="s">
        <v>548</v>
      </c>
      <c r="B1004" t="s">
        <v>545</v>
      </c>
      <c r="C1004" t="s">
        <v>980</v>
      </c>
      <c r="D1004" s="29">
        <f t="shared" ref="D1004" si="632">VALUE(LEFT(C1004,LEN(C1004)-2))</f>
        <v>16.5</v>
      </c>
    </row>
    <row r="1005" spans="1:4">
      <c r="A1005" s="23" t="s">
        <v>550</v>
      </c>
      <c r="B1005" t="s">
        <v>545</v>
      </c>
      <c r="C1005" t="s">
        <v>591</v>
      </c>
      <c r="D1005" s="28">
        <f t="shared" ref="D1005" si="633">VALUE(LEFT(C1005,LEN(C1005)-4))</f>
        <v>1018.7</v>
      </c>
    </row>
    <row r="1006" spans="1:4">
      <c r="A1006" s="23" t="s">
        <v>552</v>
      </c>
      <c r="B1006" t="s">
        <v>545</v>
      </c>
      <c r="C1006" t="s">
        <v>1167</v>
      </c>
      <c r="D1006" s="29">
        <f t="shared" ref="D1006:D1007" si="634">VALUE(LEFT(C1006,LEN(C1006)-FIND("km/h",C1006)+1)/3.6)</f>
        <v>1.25</v>
      </c>
    </row>
    <row r="1007" spans="1:4">
      <c r="A1007" s="23" t="s">
        <v>554</v>
      </c>
      <c r="B1007" t="s">
        <v>545</v>
      </c>
      <c r="C1007" t="s">
        <v>848</v>
      </c>
      <c r="D1007" s="29">
        <f t="shared" si="634"/>
        <v>1.8888888888888888</v>
      </c>
    </row>
    <row r="1008" spans="1:4">
      <c r="A1008" s="23" t="s">
        <v>556</v>
      </c>
      <c r="B1008" t="s">
        <v>545</v>
      </c>
      <c r="C1008" t="s">
        <v>1442</v>
      </c>
      <c r="D1008" s="26">
        <f t="shared" ref="D1008" si="635">VALUE(LEFT(C1008,LEN(C1008)-7))</f>
        <v>208</v>
      </c>
    </row>
    <row r="1009" spans="1:4">
      <c r="A1009" s="23" t="s">
        <v>558</v>
      </c>
      <c r="B1009" t="s">
        <v>545</v>
      </c>
      <c r="C1009" t="s">
        <v>1467</v>
      </c>
      <c r="D1009" s="29">
        <f t="shared" ref="D1009:D1011" si="636">VALUE(LEFT(C1009,LEN(C1009)-3))</f>
        <v>14.3</v>
      </c>
    </row>
    <row r="1010" spans="1:4">
      <c r="A1010" s="23" t="s">
        <v>560</v>
      </c>
      <c r="B1010" t="s">
        <v>545</v>
      </c>
      <c r="C1010" t="s">
        <v>1468</v>
      </c>
      <c r="D1010" s="29">
        <f t="shared" si="636"/>
        <v>471.2</v>
      </c>
    </row>
    <row r="1011" spans="1:4">
      <c r="A1011" s="23" t="s">
        <v>562</v>
      </c>
      <c r="B1011" t="s">
        <v>545</v>
      </c>
      <c r="C1011" t="s">
        <v>604</v>
      </c>
      <c r="D1011" s="29">
        <f t="shared" si="636"/>
        <v>0</v>
      </c>
    </row>
    <row r="1013" spans="1:4">
      <c r="A1013" s="23" t="s">
        <v>544</v>
      </c>
      <c r="B1013" t="s">
        <v>545</v>
      </c>
      <c r="C1013" t="s">
        <v>1460</v>
      </c>
      <c r="D1013" s="29">
        <f t="shared" ref="D1013" si="637">VALUE(LEFT(C1013,LEN(C1013)-2))</f>
        <v>19.100000000000001</v>
      </c>
    </row>
    <row r="1014" spans="1:4">
      <c r="A1014" s="23" t="s">
        <v>547</v>
      </c>
      <c r="B1014" t="s">
        <v>545</v>
      </c>
      <c r="C1014" s="24">
        <v>0.85</v>
      </c>
      <c r="D1014" s="27">
        <f t="shared" ref="D1014" si="638">VALUE(C1014*100)</f>
        <v>85</v>
      </c>
    </row>
    <row r="1015" spans="1:4">
      <c r="A1015" s="23" t="s">
        <v>548</v>
      </c>
      <c r="B1015" t="s">
        <v>545</v>
      </c>
      <c r="C1015" t="s">
        <v>1472</v>
      </c>
      <c r="D1015" s="29">
        <f t="shared" ref="D1015" si="639">VALUE(LEFT(C1015,LEN(C1015)-2))</f>
        <v>16.3</v>
      </c>
    </row>
    <row r="1016" spans="1:4">
      <c r="A1016" s="23" t="s">
        <v>550</v>
      </c>
      <c r="B1016" t="s">
        <v>545</v>
      </c>
      <c r="C1016" t="s">
        <v>901</v>
      </c>
      <c r="D1016" s="28">
        <f t="shared" ref="D1016" si="640">VALUE(LEFT(C1016,LEN(C1016)-4))</f>
        <v>1019.8</v>
      </c>
    </row>
    <row r="1017" spans="1:4">
      <c r="A1017" s="23" t="s">
        <v>552</v>
      </c>
      <c r="B1017" t="s">
        <v>545</v>
      </c>
      <c r="C1017" t="s">
        <v>807</v>
      </c>
      <c r="D1017" s="29">
        <f t="shared" ref="D1017:D1018" si="641">VALUE(LEFT(C1017,LEN(C1017)-FIND("km/h",C1017)+1)/3.6)</f>
        <v>0.75</v>
      </c>
    </row>
    <row r="1018" spans="1:4">
      <c r="A1018" s="23" t="s">
        <v>554</v>
      </c>
      <c r="B1018" t="s">
        <v>545</v>
      </c>
      <c r="C1018" t="s">
        <v>673</v>
      </c>
      <c r="D1018" s="29">
        <f t="shared" si="641"/>
        <v>1.3055555555555556</v>
      </c>
    </row>
    <row r="1019" spans="1:4">
      <c r="A1019" s="23" t="s">
        <v>556</v>
      </c>
      <c r="B1019" t="s">
        <v>545</v>
      </c>
      <c r="C1019" t="s">
        <v>1300</v>
      </c>
      <c r="D1019" s="26">
        <f t="shared" ref="D1019" si="642">VALUE(LEFT(C1019,LEN(C1019)-7))</f>
        <v>205</v>
      </c>
    </row>
    <row r="1020" spans="1:4">
      <c r="A1020" s="23" t="s">
        <v>558</v>
      </c>
      <c r="B1020" t="s">
        <v>545</v>
      </c>
      <c r="C1020" t="s">
        <v>1467</v>
      </c>
      <c r="D1020" s="29">
        <f t="shared" ref="D1020:D1022" si="643">VALUE(LEFT(C1020,LEN(C1020)-3))</f>
        <v>14.3</v>
      </c>
    </row>
    <row r="1021" spans="1:4">
      <c r="A1021" s="23" t="s">
        <v>560</v>
      </c>
      <c r="B1021" t="s">
        <v>545</v>
      </c>
      <c r="C1021" t="s">
        <v>1468</v>
      </c>
      <c r="D1021" s="29">
        <f t="shared" si="643"/>
        <v>471.2</v>
      </c>
    </row>
    <row r="1022" spans="1:4">
      <c r="A1022" s="23" t="s">
        <v>562</v>
      </c>
      <c r="B1022" t="s">
        <v>545</v>
      </c>
      <c r="C1022" t="s">
        <v>604</v>
      </c>
      <c r="D1022" s="29">
        <f t="shared" si="643"/>
        <v>0</v>
      </c>
    </row>
    <row r="1024" spans="1:4">
      <c r="A1024" s="23" t="s">
        <v>544</v>
      </c>
      <c r="B1024" t="s">
        <v>545</v>
      </c>
      <c r="C1024" t="s">
        <v>1471</v>
      </c>
      <c r="D1024" s="29">
        <f t="shared" ref="D1024" si="644">VALUE(LEFT(C1024,LEN(C1024)-2))</f>
        <v>18.8</v>
      </c>
    </row>
    <row r="1025" spans="1:4">
      <c r="A1025" s="23" t="s">
        <v>547</v>
      </c>
      <c r="B1025" t="s">
        <v>545</v>
      </c>
      <c r="C1025" s="24">
        <v>0.86</v>
      </c>
      <c r="D1025" s="27">
        <f t="shared" ref="D1025" si="645">VALUE(C1025*100)</f>
        <v>86</v>
      </c>
    </row>
    <row r="1026" spans="1:4">
      <c r="A1026" s="23" t="s">
        <v>548</v>
      </c>
      <c r="B1026" t="s">
        <v>545</v>
      </c>
      <c r="C1026" t="s">
        <v>963</v>
      </c>
      <c r="D1026" s="29">
        <f t="shared" ref="D1026" si="646">VALUE(LEFT(C1026,LEN(C1026)-2))</f>
        <v>16.2</v>
      </c>
    </row>
    <row r="1027" spans="1:4">
      <c r="A1027" s="23" t="s">
        <v>550</v>
      </c>
      <c r="B1027" t="s">
        <v>545</v>
      </c>
      <c r="C1027" t="s">
        <v>761</v>
      </c>
      <c r="D1027" s="28">
        <f t="shared" ref="D1027" si="647">VALUE(LEFT(C1027,LEN(C1027)-4))</f>
        <v>1014.8</v>
      </c>
    </row>
    <row r="1028" spans="1:4">
      <c r="A1028" s="23" t="s">
        <v>552</v>
      </c>
      <c r="B1028" t="s">
        <v>545</v>
      </c>
      <c r="C1028" t="s">
        <v>1474</v>
      </c>
      <c r="D1028" s="29">
        <f t="shared" ref="D1028:D1029" si="648">VALUE(LEFT(C1028,LEN(C1028)-FIND("km/h",C1028)+1)/3.6)</f>
        <v>0.44444444444444448</v>
      </c>
    </row>
    <row r="1029" spans="1:4">
      <c r="A1029" s="23" t="s">
        <v>554</v>
      </c>
      <c r="B1029" t="s">
        <v>545</v>
      </c>
      <c r="C1029" t="s">
        <v>776</v>
      </c>
      <c r="D1029" s="29">
        <f t="shared" si="648"/>
        <v>0.77777777777777768</v>
      </c>
    </row>
    <row r="1030" spans="1:4">
      <c r="A1030" s="23" t="s">
        <v>556</v>
      </c>
      <c r="B1030" t="s">
        <v>545</v>
      </c>
      <c r="C1030" t="s">
        <v>844</v>
      </c>
      <c r="D1030" s="26">
        <f t="shared" ref="D1030" si="649">VALUE(LEFT(C1030,LEN(C1030)-7))</f>
        <v>265</v>
      </c>
    </row>
    <row r="1031" spans="1:4">
      <c r="A1031" s="23" t="s">
        <v>558</v>
      </c>
      <c r="B1031" t="s">
        <v>545</v>
      </c>
      <c r="C1031" t="s">
        <v>1467</v>
      </c>
      <c r="D1031" s="29">
        <f t="shared" ref="D1031:D1033" si="650">VALUE(LEFT(C1031,LEN(C1031)-3))</f>
        <v>14.3</v>
      </c>
    </row>
    <row r="1032" spans="1:4">
      <c r="A1032" s="23" t="s">
        <v>560</v>
      </c>
      <c r="B1032" t="s">
        <v>545</v>
      </c>
      <c r="C1032" t="s">
        <v>1468</v>
      </c>
      <c r="D1032" s="29">
        <f t="shared" si="650"/>
        <v>471.2</v>
      </c>
    </row>
    <row r="1033" spans="1:4">
      <c r="A1033" s="23" t="s">
        <v>562</v>
      </c>
      <c r="B1033" t="s">
        <v>545</v>
      </c>
      <c r="C1033" t="s">
        <v>604</v>
      </c>
      <c r="D1033" s="29">
        <f t="shared" si="650"/>
        <v>0</v>
      </c>
    </row>
    <row r="1035" spans="1:4">
      <c r="A1035" s="23" t="s">
        <v>544</v>
      </c>
      <c r="B1035" t="s">
        <v>545</v>
      </c>
      <c r="C1035" t="s">
        <v>1469</v>
      </c>
      <c r="D1035" s="29">
        <f t="shared" ref="D1035" si="651">VALUE(LEFT(C1035,LEN(C1035)-2))</f>
        <v>18.100000000000001</v>
      </c>
    </row>
    <row r="1036" spans="1:4">
      <c r="A1036" s="23" t="s">
        <v>547</v>
      </c>
      <c r="B1036" t="s">
        <v>545</v>
      </c>
      <c r="C1036" s="24">
        <v>0.9</v>
      </c>
      <c r="D1036" s="27">
        <f t="shared" ref="D1036" si="652">VALUE(C1036*100)</f>
        <v>90</v>
      </c>
    </row>
    <row r="1037" spans="1:4">
      <c r="A1037" s="23" t="s">
        <v>548</v>
      </c>
      <c r="B1037" t="s">
        <v>545</v>
      </c>
      <c r="C1037" t="s">
        <v>774</v>
      </c>
      <c r="D1037" s="29">
        <f t="shared" ref="D1037" si="653">VALUE(LEFT(C1037,LEN(C1037)-2))</f>
        <v>16.399999999999999</v>
      </c>
    </row>
    <row r="1038" spans="1:4">
      <c r="A1038" s="23" t="s">
        <v>550</v>
      </c>
      <c r="B1038" t="s">
        <v>545</v>
      </c>
      <c r="C1038" t="s">
        <v>983</v>
      </c>
      <c r="D1038" s="28">
        <f t="shared" ref="D1038" si="654">VALUE(LEFT(C1038,LEN(C1038)-4))</f>
        <v>1010</v>
      </c>
    </row>
    <row r="1039" spans="1:4">
      <c r="A1039" s="23" t="s">
        <v>552</v>
      </c>
      <c r="B1039" t="s">
        <v>545</v>
      </c>
      <c r="C1039" t="s">
        <v>839</v>
      </c>
      <c r="D1039" s="29">
        <f t="shared" ref="D1039:D1040" si="655">VALUE(LEFT(C1039,LEN(C1039)-FIND("km/h",C1039)+1)/3.6)</f>
        <v>2.2222222222222223</v>
      </c>
    </row>
    <row r="1040" spans="1:4">
      <c r="A1040" s="23" t="s">
        <v>554</v>
      </c>
      <c r="B1040" t="s">
        <v>545</v>
      </c>
      <c r="C1040" t="s">
        <v>698</v>
      </c>
      <c r="D1040" s="29">
        <f t="shared" si="655"/>
        <v>3.0555555555555554</v>
      </c>
    </row>
    <row r="1041" spans="1:4">
      <c r="A1041" s="23" t="s">
        <v>556</v>
      </c>
      <c r="B1041" t="s">
        <v>545</v>
      </c>
      <c r="C1041" t="s">
        <v>1475</v>
      </c>
      <c r="D1041" s="26">
        <f t="shared" ref="D1041" si="656">VALUE(LEFT(C1041,LEN(C1041)-7))</f>
        <v>171</v>
      </c>
    </row>
    <row r="1042" spans="1:4">
      <c r="A1042" s="23" t="s">
        <v>558</v>
      </c>
      <c r="B1042" t="s">
        <v>545</v>
      </c>
      <c r="C1042" t="s">
        <v>1476</v>
      </c>
      <c r="D1042" s="29">
        <f t="shared" ref="D1042:D1044" si="657">VALUE(LEFT(C1042,LEN(C1042)-3))</f>
        <v>34</v>
      </c>
    </row>
    <row r="1043" spans="1:4">
      <c r="A1043" s="23" t="s">
        <v>560</v>
      </c>
      <c r="B1043" t="s">
        <v>545</v>
      </c>
      <c r="C1043" t="s">
        <v>1477</v>
      </c>
      <c r="D1043" s="29">
        <f t="shared" si="657"/>
        <v>490.9</v>
      </c>
    </row>
    <row r="1044" spans="1:4">
      <c r="A1044" s="23" t="s">
        <v>562</v>
      </c>
      <c r="B1044" t="s">
        <v>545</v>
      </c>
      <c r="C1044" t="s">
        <v>1204</v>
      </c>
      <c r="D1044" s="29">
        <f t="shared" si="657"/>
        <v>19.7</v>
      </c>
    </row>
    <row r="1046" spans="1:4">
      <c r="A1046" s="23" t="s">
        <v>544</v>
      </c>
      <c r="B1046" t="s">
        <v>545</v>
      </c>
      <c r="C1046" t="s">
        <v>1374</v>
      </c>
      <c r="D1046" s="29">
        <f t="shared" ref="D1046" si="658">VALUE(LEFT(C1046,LEN(C1046)-2))</f>
        <v>17.899999999999999</v>
      </c>
    </row>
    <row r="1047" spans="1:4">
      <c r="A1047" s="23" t="s">
        <v>547</v>
      </c>
      <c r="B1047" t="s">
        <v>545</v>
      </c>
      <c r="C1047" s="24">
        <v>0.86</v>
      </c>
      <c r="D1047" s="27">
        <f t="shared" ref="D1047" si="659">VALUE(C1047*100)</f>
        <v>86</v>
      </c>
    </row>
    <row r="1048" spans="1:4">
      <c r="A1048" s="23" t="s">
        <v>548</v>
      </c>
      <c r="B1048" t="s">
        <v>545</v>
      </c>
      <c r="C1048" t="s">
        <v>1406</v>
      </c>
      <c r="D1048" s="29">
        <f t="shared" ref="D1048" si="660">VALUE(LEFT(C1048,LEN(C1048)-2))</f>
        <v>15.3</v>
      </c>
    </row>
    <row r="1049" spans="1:4">
      <c r="A1049" s="23" t="s">
        <v>550</v>
      </c>
      <c r="B1049" t="s">
        <v>545</v>
      </c>
      <c r="C1049" t="s">
        <v>810</v>
      </c>
      <c r="D1049" s="28">
        <f t="shared" ref="D1049" si="661">VALUE(LEFT(C1049,LEN(C1049)-4))</f>
        <v>1012</v>
      </c>
    </row>
    <row r="1050" spans="1:4">
      <c r="A1050" s="23" t="s">
        <v>552</v>
      </c>
      <c r="B1050" t="s">
        <v>545</v>
      </c>
      <c r="C1050" t="s">
        <v>770</v>
      </c>
      <c r="D1050" s="29">
        <f t="shared" ref="D1050:D1051" si="662">VALUE(LEFT(C1050,LEN(C1050)-FIND("km/h",C1050)+1)/3.6)</f>
        <v>2.0277777777777777</v>
      </c>
    </row>
    <row r="1051" spans="1:4">
      <c r="A1051" s="23" t="s">
        <v>554</v>
      </c>
      <c r="B1051" t="s">
        <v>545</v>
      </c>
      <c r="C1051" t="s">
        <v>748</v>
      </c>
      <c r="D1051" s="29">
        <f t="shared" si="662"/>
        <v>2.8611111111111112</v>
      </c>
    </row>
    <row r="1052" spans="1:4">
      <c r="A1052" s="23" t="s">
        <v>556</v>
      </c>
      <c r="B1052" t="s">
        <v>545</v>
      </c>
      <c r="C1052" t="s">
        <v>1478</v>
      </c>
      <c r="D1052" s="26">
        <f t="shared" ref="D1052" si="663">VALUE(LEFT(C1052,LEN(C1052)-7))</f>
        <v>193</v>
      </c>
    </row>
    <row r="1053" spans="1:4">
      <c r="A1053" s="23" t="s">
        <v>558</v>
      </c>
      <c r="B1053" t="s">
        <v>545</v>
      </c>
      <c r="C1053" t="s">
        <v>1479</v>
      </c>
      <c r="D1053" s="29">
        <f t="shared" ref="D1053:D1055" si="664">VALUE(LEFT(C1053,LEN(C1053)-3))</f>
        <v>35</v>
      </c>
    </row>
    <row r="1054" spans="1:4">
      <c r="A1054" s="23" t="s">
        <v>560</v>
      </c>
      <c r="B1054" t="s">
        <v>545</v>
      </c>
      <c r="C1054" t="s">
        <v>1480</v>
      </c>
      <c r="D1054" s="29">
        <f t="shared" si="664"/>
        <v>491.9</v>
      </c>
    </row>
    <row r="1055" spans="1:4">
      <c r="A1055" s="23" t="s">
        <v>562</v>
      </c>
      <c r="B1055" t="s">
        <v>545</v>
      </c>
      <c r="C1055" t="s">
        <v>581</v>
      </c>
      <c r="D1055" s="29">
        <f t="shared" si="664"/>
        <v>1</v>
      </c>
    </row>
    <row r="1057" spans="1:4">
      <c r="A1057" s="23" t="s">
        <v>544</v>
      </c>
      <c r="B1057" t="s">
        <v>545</v>
      </c>
      <c r="C1057" t="s">
        <v>1412</v>
      </c>
      <c r="D1057" s="29">
        <f t="shared" ref="D1057" si="665">VALUE(LEFT(C1057,LEN(C1057)-2))</f>
        <v>17.5</v>
      </c>
    </row>
    <row r="1058" spans="1:4">
      <c r="A1058" s="23" t="s">
        <v>547</v>
      </c>
      <c r="B1058" t="s">
        <v>545</v>
      </c>
      <c r="C1058" s="24">
        <v>0.87</v>
      </c>
      <c r="D1058" s="27">
        <f t="shared" ref="D1058" si="666">VALUE(C1058*100)</f>
        <v>87</v>
      </c>
    </row>
    <row r="1059" spans="1:4">
      <c r="A1059" s="23" t="s">
        <v>548</v>
      </c>
      <c r="B1059" t="s">
        <v>545</v>
      </c>
      <c r="C1059" t="s">
        <v>823</v>
      </c>
      <c r="D1059" s="29">
        <f t="shared" ref="D1059" si="667">VALUE(LEFT(C1059,LEN(C1059)-2))</f>
        <v>15</v>
      </c>
    </row>
    <row r="1060" spans="1:4">
      <c r="A1060" s="23" t="s">
        <v>550</v>
      </c>
      <c r="B1060" t="s">
        <v>545</v>
      </c>
      <c r="C1060" t="s">
        <v>952</v>
      </c>
      <c r="D1060" s="28">
        <f t="shared" ref="D1060" si="668">VALUE(LEFT(C1060,LEN(C1060)-4))</f>
        <v>1015</v>
      </c>
    </row>
    <row r="1061" spans="1:4">
      <c r="A1061" s="23" t="s">
        <v>552</v>
      </c>
      <c r="B1061" t="s">
        <v>545</v>
      </c>
      <c r="C1061" t="s">
        <v>651</v>
      </c>
      <c r="D1061" s="29">
        <f t="shared" ref="D1061:D1062" si="669">VALUE(LEFT(C1061,LEN(C1061)-FIND("km/h",C1061)+1)/3.6)</f>
        <v>1.2777777777777777</v>
      </c>
    </row>
    <row r="1062" spans="1:4">
      <c r="A1062" s="23" t="s">
        <v>554</v>
      </c>
      <c r="B1062" t="s">
        <v>545</v>
      </c>
      <c r="C1062" t="s">
        <v>781</v>
      </c>
      <c r="D1062" s="29">
        <f t="shared" si="669"/>
        <v>1.8333333333333333</v>
      </c>
    </row>
    <row r="1063" spans="1:4">
      <c r="A1063" s="23" t="s">
        <v>556</v>
      </c>
      <c r="B1063" t="s">
        <v>545</v>
      </c>
      <c r="C1063" t="s">
        <v>741</v>
      </c>
      <c r="D1063" s="26">
        <f t="shared" ref="D1063" si="670">VALUE(LEFT(C1063,LEN(C1063)-7))</f>
        <v>173</v>
      </c>
    </row>
    <row r="1064" spans="1:4">
      <c r="A1064" s="23" t="s">
        <v>558</v>
      </c>
      <c r="B1064" t="s">
        <v>545</v>
      </c>
      <c r="C1064" t="s">
        <v>1481</v>
      </c>
      <c r="D1064" s="29">
        <f t="shared" ref="D1064:D1066" si="671">VALUE(LEFT(C1064,LEN(C1064)-3))</f>
        <v>38</v>
      </c>
    </row>
    <row r="1065" spans="1:4">
      <c r="A1065" s="23" t="s">
        <v>560</v>
      </c>
      <c r="B1065" t="s">
        <v>545</v>
      </c>
      <c r="C1065" t="s">
        <v>1482</v>
      </c>
      <c r="D1065" s="29">
        <f t="shared" si="671"/>
        <v>494.9</v>
      </c>
    </row>
    <row r="1066" spans="1:4">
      <c r="A1066" s="23" t="s">
        <v>562</v>
      </c>
      <c r="B1066" t="s">
        <v>545</v>
      </c>
      <c r="C1066" t="s">
        <v>597</v>
      </c>
      <c r="D1066" s="29">
        <f t="shared" si="671"/>
        <v>3</v>
      </c>
    </row>
    <row r="1068" spans="1:4">
      <c r="A1068" s="23" t="s">
        <v>544</v>
      </c>
      <c r="B1068" t="s">
        <v>545</v>
      </c>
      <c r="C1068" t="s">
        <v>1017</v>
      </c>
      <c r="D1068" s="29">
        <f t="shared" ref="D1068" si="672">VALUE(LEFT(C1068,LEN(C1068)-2))</f>
        <v>19.399999999999999</v>
      </c>
    </row>
    <row r="1069" spans="1:4">
      <c r="A1069" s="23" t="s">
        <v>547</v>
      </c>
      <c r="B1069" t="s">
        <v>545</v>
      </c>
      <c r="C1069" s="24">
        <v>0.8</v>
      </c>
      <c r="D1069" s="27">
        <f t="shared" ref="D1069" si="673">VALUE(C1069*100)</f>
        <v>80</v>
      </c>
    </row>
    <row r="1070" spans="1:4">
      <c r="A1070" s="23" t="s">
        <v>548</v>
      </c>
      <c r="B1070" t="s">
        <v>545</v>
      </c>
      <c r="C1070" t="s">
        <v>968</v>
      </c>
      <c r="D1070" s="29">
        <f t="shared" ref="D1070" si="674">VALUE(LEFT(C1070,LEN(C1070)-2))</f>
        <v>15.8</v>
      </c>
    </row>
    <row r="1071" spans="1:4">
      <c r="A1071" s="23" t="s">
        <v>550</v>
      </c>
      <c r="B1071" t="s">
        <v>545</v>
      </c>
      <c r="C1071" t="s">
        <v>922</v>
      </c>
      <c r="D1071" s="28">
        <f t="shared" ref="D1071" si="675">VALUE(LEFT(C1071,LEN(C1071)-4))</f>
        <v>1009.8</v>
      </c>
    </row>
    <row r="1072" spans="1:4">
      <c r="A1072" s="23" t="s">
        <v>552</v>
      </c>
      <c r="B1072" t="s">
        <v>545</v>
      </c>
      <c r="C1072" t="s">
        <v>1097</v>
      </c>
      <c r="D1072" s="29">
        <f t="shared" ref="D1072:D1073" si="676">VALUE(LEFT(C1072,LEN(C1072)-FIND("km/h",C1072)+1)/3.6)</f>
        <v>4.3055555555555554</v>
      </c>
    </row>
    <row r="1073" spans="1:4">
      <c r="A1073" s="23" t="s">
        <v>554</v>
      </c>
      <c r="B1073" t="s">
        <v>545</v>
      </c>
      <c r="C1073" t="s">
        <v>1483</v>
      </c>
      <c r="D1073" s="29">
        <f t="shared" si="676"/>
        <v>5.75</v>
      </c>
    </row>
    <row r="1074" spans="1:4">
      <c r="A1074" s="23" t="s">
        <v>556</v>
      </c>
      <c r="B1074" t="s">
        <v>545</v>
      </c>
      <c r="C1074" t="s">
        <v>1484</v>
      </c>
      <c r="D1074" s="26">
        <f t="shared" ref="D1074" si="677">VALUE(LEFT(C1074,LEN(C1074)-7))</f>
        <v>168</v>
      </c>
    </row>
    <row r="1075" spans="1:4">
      <c r="A1075" s="23" t="s">
        <v>558</v>
      </c>
      <c r="B1075" t="s">
        <v>545</v>
      </c>
      <c r="C1075" t="s">
        <v>1485</v>
      </c>
      <c r="D1075" s="29">
        <f t="shared" ref="D1075:D1077" si="678">VALUE(LEFT(C1075,LEN(C1075)-3))</f>
        <v>39</v>
      </c>
    </row>
    <row r="1076" spans="1:4">
      <c r="A1076" s="23" t="s">
        <v>560</v>
      </c>
      <c r="B1076" t="s">
        <v>545</v>
      </c>
      <c r="C1076" t="s">
        <v>1486</v>
      </c>
      <c r="D1076" s="29">
        <f t="shared" si="678"/>
        <v>495.9</v>
      </c>
    </row>
    <row r="1077" spans="1:4">
      <c r="A1077" s="23" t="s">
        <v>562</v>
      </c>
      <c r="B1077" t="s">
        <v>545</v>
      </c>
      <c r="C1077" t="s">
        <v>581</v>
      </c>
      <c r="D1077" s="29">
        <f t="shared" si="678"/>
        <v>1</v>
      </c>
    </row>
    <row r="1079" spans="1:4">
      <c r="A1079" s="23" t="s">
        <v>544</v>
      </c>
      <c r="B1079" t="s">
        <v>545</v>
      </c>
      <c r="C1079" t="s">
        <v>809</v>
      </c>
      <c r="D1079" s="29">
        <f t="shared" ref="D1079" si="679">VALUE(LEFT(C1079,LEN(C1079)-2))</f>
        <v>18.600000000000001</v>
      </c>
    </row>
    <row r="1080" spans="1:4">
      <c r="A1080" s="23" t="s">
        <v>547</v>
      </c>
      <c r="B1080" t="s">
        <v>545</v>
      </c>
      <c r="C1080" s="24">
        <v>0.85</v>
      </c>
      <c r="D1080" s="27">
        <f t="shared" ref="D1080" si="680">VALUE(C1080*100)</f>
        <v>85</v>
      </c>
    </row>
    <row r="1081" spans="1:4">
      <c r="A1081" s="23" t="s">
        <v>548</v>
      </c>
      <c r="B1081" t="s">
        <v>545</v>
      </c>
      <c r="C1081" t="s">
        <v>968</v>
      </c>
      <c r="D1081" s="29">
        <f t="shared" ref="D1081" si="681">VALUE(LEFT(C1081,LEN(C1081)-2))</f>
        <v>15.8</v>
      </c>
    </row>
    <row r="1082" spans="1:4">
      <c r="A1082" s="23" t="s">
        <v>550</v>
      </c>
      <c r="B1082" t="s">
        <v>545</v>
      </c>
      <c r="C1082" t="s">
        <v>1487</v>
      </c>
      <c r="D1082" s="28">
        <f t="shared" ref="D1082" si="682">VALUE(LEFT(C1082,LEN(C1082)-4))</f>
        <v>1004.3</v>
      </c>
    </row>
    <row r="1083" spans="1:4">
      <c r="A1083" s="23" t="s">
        <v>552</v>
      </c>
      <c r="B1083" t="s">
        <v>545</v>
      </c>
      <c r="C1083" t="s">
        <v>1488</v>
      </c>
      <c r="D1083" s="29">
        <f t="shared" ref="D1083:D1084" si="683">VALUE(LEFT(C1083,LEN(C1083)-FIND("km/h",C1083)+1)/3.6)</f>
        <v>3.4444444444444446</v>
      </c>
    </row>
    <row r="1084" spans="1:4">
      <c r="A1084" s="23" t="s">
        <v>554</v>
      </c>
      <c r="B1084" t="s">
        <v>545</v>
      </c>
      <c r="C1084" t="s">
        <v>1489</v>
      </c>
      <c r="D1084" s="29">
        <f t="shared" si="683"/>
        <v>4.7222222222222223</v>
      </c>
    </row>
    <row r="1085" spans="1:4">
      <c r="A1085" s="23" t="s">
        <v>556</v>
      </c>
      <c r="B1085" t="s">
        <v>545</v>
      </c>
      <c r="C1085" t="s">
        <v>1117</v>
      </c>
      <c r="D1085" s="26">
        <f t="shared" ref="D1085" si="684">VALUE(LEFT(C1085,LEN(C1085)-7))</f>
        <v>201</v>
      </c>
    </row>
    <row r="1086" spans="1:4">
      <c r="A1086" s="23" t="s">
        <v>558</v>
      </c>
      <c r="B1086" t="s">
        <v>545</v>
      </c>
      <c r="C1086" t="s">
        <v>1490</v>
      </c>
      <c r="D1086" s="29">
        <f t="shared" ref="D1086:D1088" si="685">VALUE(LEFT(C1086,LEN(C1086)-3))</f>
        <v>51.4</v>
      </c>
    </row>
    <row r="1087" spans="1:4">
      <c r="A1087" s="23" t="s">
        <v>560</v>
      </c>
      <c r="B1087" t="s">
        <v>545</v>
      </c>
      <c r="C1087" t="s">
        <v>1491</v>
      </c>
      <c r="D1087" s="29">
        <f t="shared" si="685"/>
        <v>508.3</v>
      </c>
    </row>
    <row r="1088" spans="1:4">
      <c r="A1088" s="23" t="s">
        <v>562</v>
      </c>
      <c r="B1088" t="s">
        <v>545</v>
      </c>
      <c r="C1088" t="s">
        <v>1492</v>
      </c>
      <c r="D1088" s="29">
        <f t="shared" si="685"/>
        <v>12.4</v>
      </c>
    </row>
    <row r="1090" spans="1:4">
      <c r="A1090" s="23" t="s">
        <v>544</v>
      </c>
      <c r="B1090" t="s">
        <v>545</v>
      </c>
      <c r="C1090" t="s">
        <v>1043</v>
      </c>
      <c r="D1090" s="29">
        <f t="shared" ref="D1090" si="686">VALUE(LEFT(C1090,LEN(C1090)-2))</f>
        <v>18</v>
      </c>
    </row>
    <row r="1091" spans="1:4">
      <c r="A1091" s="23" t="s">
        <v>547</v>
      </c>
      <c r="B1091" t="s">
        <v>545</v>
      </c>
      <c r="C1091" s="24">
        <v>0.87</v>
      </c>
      <c r="D1091" s="27">
        <f t="shared" ref="D1091" si="687">VALUE(C1091*100)</f>
        <v>87</v>
      </c>
    </row>
    <row r="1092" spans="1:4">
      <c r="A1092" s="23" t="s">
        <v>548</v>
      </c>
      <c r="B1092" t="s">
        <v>545</v>
      </c>
      <c r="C1092" t="s">
        <v>968</v>
      </c>
      <c r="D1092" s="29">
        <f t="shared" ref="D1092" si="688">VALUE(LEFT(C1092,LEN(C1092)-2))</f>
        <v>15.8</v>
      </c>
    </row>
    <row r="1093" spans="1:4">
      <c r="A1093" s="23" t="s">
        <v>550</v>
      </c>
      <c r="B1093" t="s">
        <v>545</v>
      </c>
      <c r="C1093" t="s">
        <v>1493</v>
      </c>
      <c r="D1093" s="28">
        <f t="shared" ref="D1093" si="689">VALUE(LEFT(C1093,LEN(C1093)-4))</f>
        <v>1010.2</v>
      </c>
    </row>
    <row r="1094" spans="1:4">
      <c r="A1094" s="23" t="s">
        <v>552</v>
      </c>
      <c r="B1094" t="s">
        <v>545</v>
      </c>
      <c r="C1094" t="s">
        <v>660</v>
      </c>
      <c r="D1094" s="29">
        <f t="shared" ref="D1094:D1095" si="690">VALUE(LEFT(C1094,LEN(C1094)-FIND("km/h",C1094)+1)/3.6)</f>
        <v>2.5555555555555554</v>
      </c>
    </row>
    <row r="1095" spans="1:4">
      <c r="A1095" s="23" t="s">
        <v>554</v>
      </c>
      <c r="B1095" t="s">
        <v>545</v>
      </c>
      <c r="C1095" t="s">
        <v>725</v>
      </c>
      <c r="D1095" s="29">
        <f t="shared" si="690"/>
        <v>3.5277777777777777</v>
      </c>
    </row>
    <row r="1096" spans="1:4">
      <c r="A1096" s="23" t="s">
        <v>556</v>
      </c>
      <c r="B1096" t="s">
        <v>545</v>
      </c>
      <c r="C1096" t="s">
        <v>1494</v>
      </c>
      <c r="D1096" s="26">
        <f t="shared" ref="D1096" si="691">VALUE(LEFT(C1096,LEN(C1096)-7))</f>
        <v>164</v>
      </c>
    </row>
    <row r="1097" spans="1:4">
      <c r="A1097" s="23" t="s">
        <v>558</v>
      </c>
      <c r="B1097" t="s">
        <v>545</v>
      </c>
      <c r="C1097" t="s">
        <v>1490</v>
      </c>
      <c r="D1097" s="29">
        <f t="shared" ref="D1097:D1099" si="692">VALUE(LEFT(C1097,LEN(C1097)-3))</f>
        <v>51.4</v>
      </c>
    </row>
    <row r="1098" spans="1:4">
      <c r="A1098" s="23" t="s">
        <v>560</v>
      </c>
      <c r="B1098" t="s">
        <v>545</v>
      </c>
      <c r="C1098" t="s">
        <v>1491</v>
      </c>
      <c r="D1098" s="29">
        <f t="shared" si="692"/>
        <v>508.3</v>
      </c>
    </row>
    <row r="1099" spans="1:4">
      <c r="A1099" s="23" t="s">
        <v>562</v>
      </c>
      <c r="B1099" t="s">
        <v>545</v>
      </c>
      <c r="C1099" t="s">
        <v>604</v>
      </c>
      <c r="D1099" s="29">
        <f t="shared" si="692"/>
        <v>0</v>
      </c>
    </row>
    <row r="1101" spans="1:4">
      <c r="A1101" s="23" t="s">
        <v>544</v>
      </c>
      <c r="B1101" t="s">
        <v>545</v>
      </c>
      <c r="C1101" t="s">
        <v>878</v>
      </c>
      <c r="D1101" s="29">
        <f t="shared" ref="D1101" si="693">VALUE(LEFT(C1101,LEN(C1101)-2))</f>
        <v>18.7</v>
      </c>
    </row>
    <row r="1102" spans="1:4">
      <c r="A1102" s="23" t="s">
        <v>547</v>
      </c>
      <c r="B1102" t="s">
        <v>545</v>
      </c>
      <c r="C1102" s="24">
        <v>0.91</v>
      </c>
      <c r="D1102" s="27">
        <f t="shared" ref="D1102" si="694">VALUE(C1102*100)</f>
        <v>91</v>
      </c>
    </row>
    <row r="1103" spans="1:4">
      <c r="A1103" s="23" t="s">
        <v>548</v>
      </c>
      <c r="B1103" t="s">
        <v>545</v>
      </c>
      <c r="C1103" t="s">
        <v>1495</v>
      </c>
      <c r="D1103" s="29">
        <f t="shared" ref="D1103" si="695">VALUE(LEFT(C1103,LEN(C1103)-2))</f>
        <v>17.2</v>
      </c>
    </row>
    <row r="1104" spans="1:4">
      <c r="A1104" s="23" t="s">
        <v>550</v>
      </c>
      <c r="B1104" t="s">
        <v>545</v>
      </c>
      <c r="C1104" t="s">
        <v>1496</v>
      </c>
      <c r="D1104" s="28">
        <f t="shared" ref="D1104" si="696">VALUE(LEFT(C1104,LEN(C1104)-4))</f>
        <v>1005.7</v>
      </c>
    </row>
    <row r="1105" spans="1:4">
      <c r="A1105" s="23" t="s">
        <v>552</v>
      </c>
      <c r="B1105" t="s">
        <v>545</v>
      </c>
      <c r="C1105" t="s">
        <v>911</v>
      </c>
      <c r="D1105" s="29">
        <f t="shared" ref="D1105:D1106" si="697">VALUE(LEFT(C1105,LEN(C1105)-FIND("km/h",C1105)+1)/3.6)</f>
        <v>2.7777777777777777</v>
      </c>
    </row>
    <row r="1106" spans="1:4">
      <c r="A1106" s="23" t="s">
        <v>554</v>
      </c>
      <c r="B1106" t="s">
        <v>545</v>
      </c>
      <c r="C1106" t="s">
        <v>1497</v>
      </c>
      <c r="D1106" s="29">
        <f t="shared" si="697"/>
        <v>3.8611111111111112</v>
      </c>
    </row>
    <row r="1107" spans="1:4">
      <c r="A1107" s="23" t="s">
        <v>556</v>
      </c>
      <c r="B1107" t="s">
        <v>545</v>
      </c>
      <c r="C1107" t="s">
        <v>1276</v>
      </c>
      <c r="D1107" s="26">
        <f t="shared" ref="D1107" si="698">VALUE(LEFT(C1107,LEN(C1107)-7))</f>
        <v>186</v>
      </c>
    </row>
    <row r="1108" spans="1:4">
      <c r="A1108" s="23" t="s">
        <v>558</v>
      </c>
      <c r="B1108" t="s">
        <v>545</v>
      </c>
      <c r="C1108" t="s">
        <v>1498</v>
      </c>
      <c r="D1108" s="29">
        <f t="shared" ref="D1108:D1110" si="699">VALUE(LEFT(C1108,LEN(C1108)-3))</f>
        <v>87.3</v>
      </c>
    </row>
    <row r="1109" spans="1:4">
      <c r="A1109" s="23" t="s">
        <v>560</v>
      </c>
      <c r="B1109" t="s">
        <v>545</v>
      </c>
      <c r="C1109" t="s">
        <v>1499</v>
      </c>
      <c r="D1109" s="29">
        <f t="shared" si="699"/>
        <v>544.20000000000005</v>
      </c>
    </row>
    <row r="1110" spans="1:4">
      <c r="A1110" s="23" t="s">
        <v>562</v>
      </c>
      <c r="B1110" t="s">
        <v>545</v>
      </c>
      <c r="C1110" t="s">
        <v>942</v>
      </c>
      <c r="D1110" s="29">
        <f t="shared" si="699"/>
        <v>35.9</v>
      </c>
    </row>
    <row r="1112" spans="1:4">
      <c r="A1112" s="23" t="s">
        <v>544</v>
      </c>
      <c r="B1112" t="s">
        <v>545</v>
      </c>
      <c r="C1112" t="s">
        <v>980</v>
      </c>
      <c r="D1112" s="29">
        <f t="shared" ref="D1112" si="700">VALUE(LEFT(C1112,LEN(C1112)-2))</f>
        <v>16.5</v>
      </c>
    </row>
    <row r="1113" spans="1:4">
      <c r="A1113" s="23" t="s">
        <v>547</v>
      </c>
      <c r="B1113" t="s">
        <v>545</v>
      </c>
      <c r="C1113" s="24">
        <v>0.94</v>
      </c>
      <c r="D1113" s="27">
        <f t="shared" ref="D1113" si="701">VALUE(C1113*100)</f>
        <v>94</v>
      </c>
    </row>
    <row r="1114" spans="1:4">
      <c r="A1114" s="23" t="s">
        <v>548</v>
      </c>
      <c r="B1114" t="s">
        <v>545</v>
      </c>
      <c r="C1114" t="s">
        <v>1329</v>
      </c>
      <c r="D1114" s="29">
        <f t="shared" ref="D1114" si="702">VALUE(LEFT(C1114,LEN(C1114)-2))</f>
        <v>15.5</v>
      </c>
    </row>
    <row r="1115" spans="1:4">
      <c r="A1115" s="23" t="s">
        <v>550</v>
      </c>
      <c r="B1115" t="s">
        <v>545</v>
      </c>
      <c r="C1115" t="s">
        <v>1500</v>
      </c>
      <c r="D1115" s="28">
        <f t="shared" ref="D1115" si="703">VALUE(LEFT(C1115,LEN(C1115)-4))</f>
        <v>1007.3</v>
      </c>
    </row>
    <row r="1116" spans="1:4">
      <c r="A1116" s="23" t="s">
        <v>552</v>
      </c>
      <c r="B1116" t="s">
        <v>545</v>
      </c>
      <c r="C1116" t="s">
        <v>640</v>
      </c>
      <c r="D1116" s="29">
        <f t="shared" ref="D1116:D1117" si="704">VALUE(LEFT(C1116,LEN(C1116)-FIND("km/h",C1116)+1)/3.6)</f>
        <v>1.4166666666666665</v>
      </c>
    </row>
    <row r="1117" spans="1:4">
      <c r="A1117" s="23" t="s">
        <v>554</v>
      </c>
      <c r="B1117" t="s">
        <v>545</v>
      </c>
      <c r="C1117" t="s">
        <v>1134</v>
      </c>
      <c r="D1117" s="29">
        <f t="shared" si="704"/>
        <v>2</v>
      </c>
    </row>
    <row r="1118" spans="1:4">
      <c r="A1118" s="23" t="s">
        <v>556</v>
      </c>
      <c r="B1118" t="s">
        <v>545</v>
      </c>
      <c r="C1118" t="s">
        <v>717</v>
      </c>
      <c r="D1118" s="26">
        <f t="shared" ref="D1118" si="705">VALUE(LEFT(C1118,LEN(C1118)-7))</f>
        <v>155</v>
      </c>
    </row>
    <row r="1119" spans="1:4">
      <c r="A1119" s="23" t="s">
        <v>558</v>
      </c>
      <c r="B1119" t="s">
        <v>545</v>
      </c>
      <c r="C1119" t="s">
        <v>1501</v>
      </c>
      <c r="D1119" s="29">
        <f t="shared" ref="D1119:D1121" si="706">VALUE(LEFT(C1119,LEN(C1119)-3))</f>
        <v>123.3</v>
      </c>
    </row>
    <row r="1120" spans="1:4">
      <c r="A1120" s="23" t="s">
        <v>560</v>
      </c>
      <c r="B1120" t="s">
        <v>545</v>
      </c>
      <c r="C1120" t="s">
        <v>1502</v>
      </c>
      <c r="D1120" s="29">
        <f t="shared" si="706"/>
        <v>580.20000000000005</v>
      </c>
    </row>
    <row r="1121" spans="1:4">
      <c r="A1121" s="23" t="s">
        <v>562</v>
      </c>
      <c r="B1121" t="s">
        <v>545</v>
      </c>
      <c r="C1121" t="s">
        <v>1503</v>
      </c>
      <c r="D1121" s="29">
        <f t="shared" si="706"/>
        <v>36</v>
      </c>
    </row>
    <row r="1123" spans="1:4">
      <c r="A1123" s="23" t="s">
        <v>544</v>
      </c>
      <c r="B1123" t="s">
        <v>545</v>
      </c>
      <c r="C1123" t="s">
        <v>905</v>
      </c>
      <c r="D1123" s="29">
        <f t="shared" ref="D1123" si="707">VALUE(LEFT(C1123,LEN(C1123)-2))</f>
        <v>15.6</v>
      </c>
    </row>
    <row r="1124" spans="1:4">
      <c r="A1124" s="23" t="s">
        <v>547</v>
      </c>
      <c r="B1124" t="s">
        <v>545</v>
      </c>
      <c r="C1124" s="24">
        <v>0.87</v>
      </c>
      <c r="D1124" s="27">
        <f t="shared" ref="D1124" si="708">VALUE(C1124*100)</f>
        <v>87</v>
      </c>
    </row>
    <row r="1125" spans="1:4">
      <c r="A1125" s="23" t="s">
        <v>548</v>
      </c>
      <c r="B1125" t="s">
        <v>545</v>
      </c>
      <c r="C1125" t="s">
        <v>851</v>
      </c>
      <c r="D1125" s="29">
        <f t="shared" ref="D1125" si="709">VALUE(LEFT(C1125,LEN(C1125)-2))</f>
        <v>13.3</v>
      </c>
    </row>
    <row r="1126" spans="1:4">
      <c r="A1126" s="23" t="s">
        <v>550</v>
      </c>
      <c r="B1126" t="s">
        <v>545</v>
      </c>
      <c r="C1126" t="s">
        <v>1109</v>
      </c>
      <c r="D1126" s="28">
        <f t="shared" ref="D1126" si="710">VALUE(LEFT(C1126,LEN(C1126)-4))</f>
        <v>1015.9</v>
      </c>
    </row>
    <row r="1127" spans="1:4">
      <c r="A1127" s="23" t="s">
        <v>552</v>
      </c>
      <c r="B1127" t="s">
        <v>545</v>
      </c>
      <c r="C1127" t="s">
        <v>807</v>
      </c>
      <c r="D1127" s="29">
        <f t="shared" ref="D1127:D1128" si="711">VALUE(LEFT(C1127,LEN(C1127)-FIND("km/h",C1127)+1)/3.6)</f>
        <v>0.75</v>
      </c>
    </row>
    <row r="1128" spans="1:4">
      <c r="A1128" s="23" t="s">
        <v>554</v>
      </c>
      <c r="B1128" t="s">
        <v>545</v>
      </c>
      <c r="C1128" t="s">
        <v>1167</v>
      </c>
      <c r="D1128" s="29">
        <f t="shared" si="711"/>
        <v>1.25</v>
      </c>
    </row>
    <row r="1129" spans="1:4">
      <c r="A1129" s="23" t="s">
        <v>556</v>
      </c>
      <c r="B1129" t="s">
        <v>545</v>
      </c>
      <c r="C1129" t="s">
        <v>915</v>
      </c>
      <c r="D1129" s="26">
        <f t="shared" ref="D1129" si="712">VALUE(LEFT(C1129,LEN(C1129)-7))</f>
        <v>126</v>
      </c>
    </row>
    <row r="1130" spans="1:4">
      <c r="A1130" s="23" t="s">
        <v>558</v>
      </c>
      <c r="B1130" t="s">
        <v>545</v>
      </c>
      <c r="C1130" t="s">
        <v>1501</v>
      </c>
      <c r="D1130" s="29">
        <f t="shared" ref="D1130:D1132" si="713">VALUE(LEFT(C1130,LEN(C1130)-3))</f>
        <v>123.3</v>
      </c>
    </row>
    <row r="1131" spans="1:4">
      <c r="A1131" s="23" t="s">
        <v>560</v>
      </c>
      <c r="B1131" t="s">
        <v>545</v>
      </c>
      <c r="C1131" t="s">
        <v>1502</v>
      </c>
      <c r="D1131" s="29">
        <f t="shared" si="713"/>
        <v>580.20000000000005</v>
      </c>
    </row>
    <row r="1132" spans="1:4">
      <c r="A1132" s="23" t="s">
        <v>562</v>
      </c>
      <c r="B1132" t="s">
        <v>545</v>
      </c>
      <c r="C1132" t="s">
        <v>604</v>
      </c>
      <c r="D1132" s="29">
        <f t="shared" si="713"/>
        <v>0</v>
      </c>
    </row>
    <row r="1134" spans="1:4">
      <c r="A1134" s="23" t="s">
        <v>544</v>
      </c>
      <c r="B1134" t="s">
        <v>545</v>
      </c>
      <c r="C1134" t="s">
        <v>905</v>
      </c>
      <c r="D1134" s="29">
        <f t="shared" ref="D1134" si="714">VALUE(LEFT(C1134,LEN(C1134)-2))</f>
        <v>15.6</v>
      </c>
    </row>
    <row r="1135" spans="1:4">
      <c r="A1135" s="23" t="s">
        <v>547</v>
      </c>
      <c r="B1135" t="s">
        <v>545</v>
      </c>
      <c r="C1135" s="24">
        <v>0.81</v>
      </c>
      <c r="D1135" s="27">
        <f t="shared" ref="D1135" si="715">VALUE(C1135*100)</f>
        <v>81</v>
      </c>
    </row>
    <row r="1136" spans="1:4">
      <c r="A1136" s="23" t="s">
        <v>548</v>
      </c>
      <c r="B1136" t="s">
        <v>545</v>
      </c>
      <c r="C1136" t="s">
        <v>753</v>
      </c>
      <c r="D1136" s="29">
        <f t="shared" ref="D1136" si="716">VALUE(LEFT(C1136,LEN(C1136)-2))</f>
        <v>11.5</v>
      </c>
    </row>
    <row r="1137" spans="1:4">
      <c r="A1137" s="23" t="s">
        <v>550</v>
      </c>
      <c r="B1137" t="s">
        <v>545</v>
      </c>
      <c r="C1137" t="s">
        <v>659</v>
      </c>
      <c r="D1137" s="28">
        <f t="shared" ref="D1137" si="717">VALUE(LEFT(C1137,LEN(C1137)-4))</f>
        <v>1020</v>
      </c>
    </row>
    <row r="1138" spans="1:4">
      <c r="A1138" s="23" t="s">
        <v>552</v>
      </c>
      <c r="B1138" t="s">
        <v>545</v>
      </c>
      <c r="C1138" t="s">
        <v>1234</v>
      </c>
      <c r="D1138" s="29">
        <f t="shared" ref="D1138:D1139" si="718">VALUE(LEFT(C1138,LEN(C1138)-FIND("km/h",C1138)+1)/3.6)</f>
        <v>0.69444444444444442</v>
      </c>
    </row>
    <row r="1139" spans="1:4">
      <c r="A1139" s="23" t="s">
        <v>554</v>
      </c>
      <c r="B1139" t="s">
        <v>545</v>
      </c>
      <c r="C1139" t="s">
        <v>629</v>
      </c>
      <c r="D1139" s="29">
        <f t="shared" si="718"/>
        <v>1.0833333333333333</v>
      </c>
    </row>
    <row r="1140" spans="1:4">
      <c r="A1140" s="23" t="s">
        <v>556</v>
      </c>
      <c r="B1140" t="s">
        <v>545</v>
      </c>
      <c r="C1140" t="s">
        <v>1475</v>
      </c>
      <c r="D1140" s="26">
        <f t="shared" ref="D1140" si="719">VALUE(LEFT(C1140,LEN(C1140)-7))</f>
        <v>171</v>
      </c>
    </row>
    <row r="1141" spans="1:4">
      <c r="A1141" s="23" t="s">
        <v>558</v>
      </c>
      <c r="B1141" t="s">
        <v>545</v>
      </c>
      <c r="C1141" t="s">
        <v>1501</v>
      </c>
      <c r="D1141" s="29">
        <f t="shared" ref="D1141:D1143" si="720">VALUE(LEFT(C1141,LEN(C1141)-3))</f>
        <v>123.3</v>
      </c>
    </row>
    <row r="1142" spans="1:4">
      <c r="A1142" s="23" t="s">
        <v>560</v>
      </c>
      <c r="B1142" t="s">
        <v>545</v>
      </c>
      <c r="C1142" t="s">
        <v>1502</v>
      </c>
      <c r="D1142" s="29">
        <f t="shared" si="720"/>
        <v>580.20000000000005</v>
      </c>
    </row>
    <row r="1143" spans="1:4">
      <c r="A1143" s="23" t="s">
        <v>562</v>
      </c>
      <c r="B1143" t="s">
        <v>545</v>
      </c>
      <c r="C1143" t="s">
        <v>604</v>
      </c>
      <c r="D1143" s="29">
        <f t="shared" si="720"/>
        <v>0</v>
      </c>
    </row>
    <row r="1145" spans="1:4">
      <c r="A1145" s="23" t="s">
        <v>544</v>
      </c>
      <c r="B1145" t="s">
        <v>545</v>
      </c>
      <c r="C1145" t="s">
        <v>900</v>
      </c>
      <c r="D1145" s="29">
        <f t="shared" ref="D1145" si="721">VALUE(LEFT(C1145,LEN(C1145)-2))</f>
        <v>13.5</v>
      </c>
    </row>
    <row r="1146" spans="1:4">
      <c r="A1146" s="23" t="s">
        <v>547</v>
      </c>
      <c r="B1146" t="s">
        <v>545</v>
      </c>
      <c r="C1146" s="24">
        <v>0.92</v>
      </c>
      <c r="D1146" s="27">
        <f t="shared" ref="D1146" si="722">VALUE(C1146*100)</f>
        <v>92</v>
      </c>
    </row>
    <row r="1147" spans="1:4">
      <c r="A1147" s="23" t="s">
        <v>548</v>
      </c>
      <c r="B1147" t="s">
        <v>545</v>
      </c>
      <c r="C1147" t="s">
        <v>696</v>
      </c>
      <c r="D1147" s="29">
        <f t="shared" ref="D1147" si="723">VALUE(LEFT(C1147,LEN(C1147)-2))</f>
        <v>12.1</v>
      </c>
    </row>
    <row r="1148" spans="1:4">
      <c r="A1148" s="23" t="s">
        <v>550</v>
      </c>
      <c r="B1148" t="s">
        <v>545</v>
      </c>
      <c r="C1148" t="s">
        <v>680</v>
      </c>
      <c r="D1148" s="28">
        <f t="shared" ref="D1148" si="724">VALUE(LEFT(C1148,LEN(C1148)-4))</f>
        <v>1017.9</v>
      </c>
    </row>
    <row r="1149" spans="1:4">
      <c r="A1149" s="23" t="s">
        <v>552</v>
      </c>
      <c r="B1149" t="s">
        <v>545</v>
      </c>
      <c r="C1149" t="s">
        <v>639</v>
      </c>
      <c r="D1149" s="29">
        <f t="shared" ref="D1149:D1150" si="725">VALUE(LEFT(C1149,LEN(C1149)-FIND("km/h",C1149)+1)/3.6)</f>
        <v>0.91666666666666663</v>
      </c>
    </row>
    <row r="1150" spans="1:4">
      <c r="A1150" s="23" t="s">
        <v>554</v>
      </c>
      <c r="B1150" t="s">
        <v>545</v>
      </c>
      <c r="C1150" t="s">
        <v>830</v>
      </c>
      <c r="D1150" s="29">
        <f t="shared" si="725"/>
        <v>1.5</v>
      </c>
    </row>
    <row r="1151" spans="1:4">
      <c r="A1151" s="23" t="s">
        <v>556</v>
      </c>
      <c r="B1151" t="s">
        <v>545</v>
      </c>
      <c r="C1151" t="s">
        <v>1504</v>
      </c>
      <c r="D1151" s="26">
        <f t="shared" ref="D1151" si="726">VALUE(LEFT(C1151,LEN(C1151)-7))</f>
        <v>340</v>
      </c>
    </row>
    <row r="1152" spans="1:4">
      <c r="A1152" s="23" t="s">
        <v>558</v>
      </c>
      <c r="B1152" t="s">
        <v>545</v>
      </c>
      <c r="C1152" t="s">
        <v>1505</v>
      </c>
      <c r="D1152" s="29">
        <f t="shared" ref="D1152:D1154" si="727">VALUE(LEFT(C1152,LEN(C1152)-3))</f>
        <v>131.6</v>
      </c>
    </row>
    <row r="1153" spans="1:4">
      <c r="A1153" s="23" t="s">
        <v>560</v>
      </c>
      <c r="B1153" t="s">
        <v>545</v>
      </c>
      <c r="C1153" t="s">
        <v>1325</v>
      </c>
      <c r="D1153" s="29">
        <f t="shared" si="727"/>
        <v>588.5</v>
      </c>
    </row>
    <row r="1154" spans="1:4">
      <c r="A1154" s="23" t="s">
        <v>562</v>
      </c>
      <c r="B1154" t="s">
        <v>545</v>
      </c>
      <c r="C1154" t="s">
        <v>559</v>
      </c>
      <c r="D1154" s="29">
        <f t="shared" si="727"/>
        <v>8.3000000000000007</v>
      </c>
    </row>
    <row r="1156" spans="1:4">
      <c r="A1156" s="23" t="s">
        <v>544</v>
      </c>
      <c r="B1156" t="s">
        <v>545</v>
      </c>
      <c r="C1156" t="s">
        <v>1195</v>
      </c>
      <c r="D1156" s="29">
        <f t="shared" ref="D1156" si="728">VALUE(LEFT(C1156,LEN(C1156)-2))</f>
        <v>12.2</v>
      </c>
    </row>
    <row r="1157" spans="1:4">
      <c r="A1157" s="23" t="s">
        <v>547</v>
      </c>
      <c r="B1157" t="s">
        <v>545</v>
      </c>
      <c r="C1157" s="24">
        <v>0.76</v>
      </c>
      <c r="D1157" s="27">
        <f t="shared" ref="D1157" si="729">VALUE(C1157*100)</f>
        <v>76</v>
      </c>
    </row>
    <row r="1158" spans="1:4">
      <c r="A1158" s="23" t="s">
        <v>548</v>
      </c>
      <c r="B1158" t="s">
        <v>545</v>
      </c>
      <c r="C1158" t="s">
        <v>652</v>
      </c>
      <c r="D1158" s="29">
        <f t="shared" ref="D1158" si="730">VALUE(LEFT(C1158,LEN(C1158)-2))</f>
        <v>7.5</v>
      </c>
    </row>
    <row r="1159" spans="1:4">
      <c r="A1159" s="23" t="s">
        <v>550</v>
      </c>
      <c r="B1159" t="s">
        <v>545</v>
      </c>
      <c r="C1159" t="s">
        <v>634</v>
      </c>
      <c r="D1159" s="28">
        <f t="shared" ref="D1159" si="731">VALUE(LEFT(C1159,LEN(C1159)-4))</f>
        <v>1021</v>
      </c>
    </row>
    <row r="1160" spans="1:4">
      <c r="A1160" s="23" t="s">
        <v>552</v>
      </c>
      <c r="B1160" t="s">
        <v>545</v>
      </c>
      <c r="C1160" t="s">
        <v>602</v>
      </c>
      <c r="D1160" s="29">
        <f t="shared" ref="D1160:D1161" si="732">VALUE(LEFT(C1160,LEN(C1160)-FIND("km/h",C1160)+1)/3.6)</f>
        <v>1.4444444444444444</v>
      </c>
    </row>
    <row r="1161" spans="1:4">
      <c r="A1161" s="23" t="s">
        <v>554</v>
      </c>
      <c r="B1161" t="s">
        <v>545</v>
      </c>
      <c r="C1161" t="s">
        <v>1134</v>
      </c>
      <c r="D1161" s="29">
        <f t="shared" si="732"/>
        <v>2</v>
      </c>
    </row>
    <row r="1162" spans="1:4">
      <c r="A1162" s="23" t="s">
        <v>556</v>
      </c>
      <c r="B1162" t="s">
        <v>545</v>
      </c>
      <c r="C1162" t="s">
        <v>1506</v>
      </c>
      <c r="D1162" s="26">
        <f t="shared" ref="D1162" si="733">VALUE(LEFT(C1162,LEN(C1162)-7))</f>
        <v>351</v>
      </c>
    </row>
    <row r="1163" spans="1:4">
      <c r="A1163" s="23" t="s">
        <v>558</v>
      </c>
      <c r="B1163" t="s">
        <v>545</v>
      </c>
      <c r="C1163" t="s">
        <v>1505</v>
      </c>
      <c r="D1163" s="29">
        <f t="shared" ref="D1163:D1165" si="734">VALUE(LEFT(C1163,LEN(C1163)-3))</f>
        <v>131.6</v>
      </c>
    </row>
    <row r="1164" spans="1:4">
      <c r="A1164" s="23" t="s">
        <v>560</v>
      </c>
      <c r="B1164" t="s">
        <v>545</v>
      </c>
      <c r="C1164" t="s">
        <v>1325</v>
      </c>
      <c r="D1164" s="29">
        <f t="shared" si="734"/>
        <v>588.5</v>
      </c>
    </row>
    <row r="1165" spans="1:4">
      <c r="A1165" s="23" t="s">
        <v>562</v>
      </c>
      <c r="B1165" t="s">
        <v>545</v>
      </c>
      <c r="C1165" t="s">
        <v>604</v>
      </c>
      <c r="D1165" s="29">
        <f t="shared" si="734"/>
        <v>0</v>
      </c>
    </row>
    <row r="1167" spans="1:4">
      <c r="A1167" s="23" t="s">
        <v>544</v>
      </c>
      <c r="B1167" t="s">
        <v>545</v>
      </c>
      <c r="C1167" t="s">
        <v>730</v>
      </c>
      <c r="D1167" s="29">
        <f t="shared" ref="D1167" si="735">VALUE(LEFT(C1167,LEN(C1167)-2))</f>
        <v>11</v>
      </c>
    </row>
    <row r="1168" spans="1:4">
      <c r="A1168" s="23" t="s">
        <v>547</v>
      </c>
      <c r="B1168" t="s">
        <v>545</v>
      </c>
      <c r="C1168" s="24">
        <v>0.76</v>
      </c>
      <c r="D1168" s="27">
        <f t="shared" ref="D1168" si="736">VALUE(C1168*100)</f>
        <v>76</v>
      </c>
    </row>
    <row r="1169" spans="1:4">
      <c r="A1169" s="23" t="s">
        <v>548</v>
      </c>
      <c r="B1169" t="s">
        <v>545</v>
      </c>
      <c r="C1169" t="s">
        <v>1122</v>
      </c>
      <c r="D1169" s="29">
        <f t="shared" ref="D1169" si="737">VALUE(LEFT(C1169,LEN(C1169)-2))</f>
        <v>6.3</v>
      </c>
    </row>
    <row r="1170" spans="1:4">
      <c r="A1170" s="23" t="s">
        <v>550</v>
      </c>
      <c r="B1170" t="s">
        <v>545</v>
      </c>
      <c r="C1170" t="s">
        <v>634</v>
      </c>
      <c r="D1170" s="28">
        <f t="shared" ref="D1170" si="738">VALUE(LEFT(C1170,LEN(C1170)-4))</f>
        <v>1021</v>
      </c>
    </row>
    <row r="1171" spans="1:4">
      <c r="A1171" s="23" t="s">
        <v>552</v>
      </c>
      <c r="B1171" t="s">
        <v>545</v>
      </c>
      <c r="C1171" t="s">
        <v>635</v>
      </c>
      <c r="D1171" s="29">
        <f t="shared" ref="D1171:D1172" si="739">VALUE(LEFT(C1171,LEN(C1171)-FIND("km/h",C1171)+1)/3.6)</f>
        <v>0.80555555555555547</v>
      </c>
    </row>
    <row r="1172" spans="1:4">
      <c r="A1172" s="23" t="s">
        <v>554</v>
      </c>
      <c r="B1172" t="s">
        <v>545</v>
      </c>
      <c r="C1172" t="s">
        <v>777</v>
      </c>
      <c r="D1172" s="29">
        <f t="shared" si="739"/>
        <v>1.1388888888888888</v>
      </c>
    </row>
    <row r="1173" spans="1:4">
      <c r="A1173" s="23" t="s">
        <v>556</v>
      </c>
      <c r="B1173" t="s">
        <v>545</v>
      </c>
      <c r="C1173" t="s">
        <v>1285</v>
      </c>
      <c r="D1173" s="26">
        <f t="shared" ref="D1173" si="740">VALUE(LEFT(C1173,LEN(C1173)-7))</f>
        <v>342</v>
      </c>
    </row>
    <row r="1174" spans="1:4">
      <c r="A1174" s="23" t="s">
        <v>558</v>
      </c>
      <c r="B1174" t="s">
        <v>545</v>
      </c>
      <c r="C1174" t="s">
        <v>1505</v>
      </c>
      <c r="D1174" s="29">
        <f t="shared" ref="D1174:D1176" si="741">VALUE(LEFT(C1174,LEN(C1174)-3))</f>
        <v>131.6</v>
      </c>
    </row>
    <row r="1175" spans="1:4">
      <c r="A1175" s="23" t="s">
        <v>560</v>
      </c>
      <c r="B1175" t="s">
        <v>545</v>
      </c>
      <c r="C1175" t="s">
        <v>1325</v>
      </c>
      <c r="D1175" s="29">
        <f t="shared" si="741"/>
        <v>588.5</v>
      </c>
    </row>
    <row r="1176" spans="1:4">
      <c r="A1176" s="23" t="s">
        <v>562</v>
      </c>
      <c r="B1176" t="s">
        <v>545</v>
      </c>
      <c r="C1176" t="s">
        <v>604</v>
      </c>
      <c r="D1176" s="29">
        <f t="shared" si="741"/>
        <v>0</v>
      </c>
    </row>
    <row r="1178" spans="1:4">
      <c r="A1178" s="23" t="s">
        <v>544</v>
      </c>
      <c r="B1178" t="s">
        <v>545</v>
      </c>
      <c r="C1178" t="s">
        <v>798</v>
      </c>
      <c r="D1178" s="29">
        <f t="shared" ref="D1178" si="742">VALUE(LEFT(C1178,LEN(C1178)-2))</f>
        <v>11.1</v>
      </c>
    </row>
    <row r="1179" spans="1:4">
      <c r="A1179" s="23" t="s">
        <v>547</v>
      </c>
      <c r="B1179" t="s">
        <v>545</v>
      </c>
      <c r="C1179" s="24">
        <v>0.76</v>
      </c>
      <c r="D1179" s="27">
        <f t="shared" ref="D1179" si="743">VALUE(C1179*100)</f>
        <v>76</v>
      </c>
    </row>
    <row r="1180" spans="1:4">
      <c r="A1180" s="23" t="s">
        <v>548</v>
      </c>
      <c r="B1180" t="s">
        <v>545</v>
      </c>
      <c r="C1180" t="s">
        <v>612</v>
      </c>
      <c r="D1180" s="29">
        <f t="shared" ref="D1180" si="744">VALUE(LEFT(C1180,LEN(C1180)-2))</f>
        <v>6.4</v>
      </c>
    </row>
    <row r="1181" spans="1:4">
      <c r="A1181" s="23" t="s">
        <v>550</v>
      </c>
      <c r="B1181" t="s">
        <v>545</v>
      </c>
      <c r="C1181" t="s">
        <v>1139</v>
      </c>
      <c r="D1181" s="28">
        <f t="shared" ref="D1181" si="745">VALUE(LEFT(C1181,LEN(C1181)-4))</f>
        <v>1021.1</v>
      </c>
    </row>
    <row r="1182" spans="1:4">
      <c r="A1182" s="23" t="s">
        <v>552</v>
      </c>
      <c r="B1182" t="s">
        <v>545</v>
      </c>
      <c r="C1182" t="s">
        <v>1336</v>
      </c>
      <c r="D1182" s="29">
        <f t="shared" ref="D1182:D1183" si="746">VALUE(LEFT(C1182,LEN(C1182)-FIND("km/h",C1182)+1)/3.6)</f>
        <v>0.58333333333333337</v>
      </c>
    </row>
    <row r="1183" spans="1:4">
      <c r="A1183" s="23" t="s">
        <v>554</v>
      </c>
      <c r="B1183" t="s">
        <v>545</v>
      </c>
      <c r="C1183" t="s">
        <v>665</v>
      </c>
      <c r="D1183" s="29">
        <f t="shared" si="746"/>
        <v>0.86111111111111116</v>
      </c>
    </row>
    <row r="1184" spans="1:4">
      <c r="A1184" s="23" t="s">
        <v>556</v>
      </c>
      <c r="B1184" t="s">
        <v>545</v>
      </c>
      <c r="C1184" t="s">
        <v>870</v>
      </c>
      <c r="D1184" s="26">
        <f t="shared" ref="D1184" si="747">VALUE(LEFT(C1184,LEN(C1184)-7))</f>
        <v>337</v>
      </c>
    </row>
    <row r="1185" spans="1:4">
      <c r="A1185" s="23" t="s">
        <v>558</v>
      </c>
      <c r="B1185" t="s">
        <v>545</v>
      </c>
      <c r="C1185" t="s">
        <v>1505</v>
      </c>
      <c r="D1185" s="29">
        <f t="shared" ref="D1185:D1187" si="748">VALUE(LEFT(C1185,LEN(C1185)-3))</f>
        <v>131.6</v>
      </c>
    </row>
    <row r="1186" spans="1:4">
      <c r="A1186" s="23" t="s">
        <v>560</v>
      </c>
      <c r="B1186" t="s">
        <v>545</v>
      </c>
      <c r="C1186" t="s">
        <v>1325</v>
      </c>
      <c r="D1186" s="29">
        <f t="shared" si="748"/>
        <v>588.5</v>
      </c>
    </row>
    <row r="1187" spans="1:4">
      <c r="A1187" s="23" t="s">
        <v>562</v>
      </c>
      <c r="B1187" t="s">
        <v>545</v>
      </c>
      <c r="C1187" t="s">
        <v>604</v>
      </c>
      <c r="D1187" s="29">
        <f t="shared" si="748"/>
        <v>0</v>
      </c>
    </row>
    <row r="1188" spans="1:4" s="30" customFormat="1">
      <c r="D1188"/>
    </row>
    <row r="1189" spans="1:4">
      <c r="A1189" s="23" t="s">
        <v>544</v>
      </c>
      <c r="B1189" t="s">
        <v>545</v>
      </c>
      <c r="C1189" t="s">
        <v>943</v>
      </c>
      <c r="D1189" s="29">
        <f t="shared" ref="D1189" si="749">VALUE(LEFT(C1189,LEN(C1189)-2))</f>
        <v>14.3</v>
      </c>
    </row>
    <row r="1190" spans="1:4">
      <c r="A1190" s="23" t="s">
        <v>547</v>
      </c>
      <c r="B1190" t="s">
        <v>545</v>
      </c>
      <c r="C1190" s="24">
        <v>0.89</v>
      </c>
      <c r="D1190" s="27">
        <f t="shared" ref="D1190" si="750">VALUE(C1190*100)</f>
        <v>89</v>
      </c>
    </row>
    <row r="1191" spans="1:4">
      <c r="A1191" s="23" t="s">
        <v>548</v>
      </c>
      <c r="B1191" t="s">
        <v>545</v>
      </c>
      <c r="C1191" t="s">
        <v>565</v>
      </c>
      <c r="D1191" s="29">
        <f t="shared" ref="D1191" si="751">VALUE(LEFT(C1191,LEN(C1191)-2))</f>
        <v>12.4</v>
      </c>
    </row>
    <row r="1192" spans="1:4">
      <c r="A1192" s="23" t="s">
        <v>550</v>
      </c>
      <c r="B1192" t="s">
        <v>545</v>
      </c>
      <c r="C1192" t="s">
        <v>901</v>
      </c>
      <c r="D1192" s="28">
        <f t="shared" ref="D1192" si="752">VALUE(LEFT(C1192,LEN(C1192)-4))</f>
        <v>1019.8</v>
      </c>
    </row>
    <row r="1193" spans="1:4">
      <c r="A1193" s="23" t="s">
        <v>552</v>
      </c>
      <c r="B1193" t="s">
        <v>545</v>
      </c>
      <c r="C1193" t="s">
        <v>665</v>
      </c>
      <c r="D1193" s="29">
        <f t="shared" ref="D1193:D1194" si="753">VALUE(LEFT(C1193,LEN(C1193)-FIND("km/h",C1193)+1)/3.6)</f>
        <v>0.86111111111111116</v>
      </c>
    </row>
    <row r="1194" spans="1:4">
      <c r="A1194" s="23" t="s">
        <v>554</v>
      </c>
      <c r="B1194" t="s">
        <v>545</v>
      </c>
      <c r="C1194" t="s">
        <v>636</v>
      </c>
      <c r="D1194" s="29">
        <f t="shared" si="753"/>
        <v>1.3333333333333333</v>
      </c>
    </row>
    <row r="1195" spans="1:4">
      <c r="A1195" s="23" t="s">
        <v>556</v>
      </c>
      <c r="B1195" t="s">
        <v>545</v>
      </c>
      <c r="C1195" t="s">
        <v>1273</v>
      </c>
      <c r="D1195" s="26">
        <f t="shared" ref="D1195" si="754">VALUE(LEFT(C1195,LEN(C1195)-7))</f>
        <v>182</v>
      </c>
    </row>
    <row r="1196" spans="1:4">
      <c r="A1196" s="23" t="s">
        <v>558</v>
      </c>
      <c r="B1196" t="s">
        <v>545</v>
      </c>
      <c r="C1196" t="s">
        <v>604</v>
      </c>
      <c r="D1196" s="29">
        <f t="shared" ref="D1196:D1198" si="755">VALUE(LEFT(C1196,LEN(C1196)-3))</f>
        <v>0</v>
      </c>
    </row>
    <row r="1197" spans="1:4">
      <c r="A1197" s="23" t="s">
        <v>560</v>
      </c>
      <c r="B1197" t="s">
        <v>545</v>
      </c>
      <c r="C1197" t="s">
        <v>1325</v>
      </c>
      <c r="D1197" s="29">
        <f t="shared" si="755"/>
        <v>588.5</v>
      </c>
    </row>
    <row r="1198" spans="1:4">
      <c r="A1198" s="23" t="s">
        <v>562</v>
      </c>
      <c r="B1198" t="s">
        <v>545</v>
      </c>
      <c r="C1198" t="s">
        <v>604</v>
      </c>
      <c r="D1198" s="29">
        <f t="shared" si="755"/>
        <v>0</v>
      </c>
    </row>
    <row r="1200" spans="1:4">
      <c r="A1200" s="23" t="s">
        <v>544</v>
      </c>
      <c r="B1200" t="s">
        <v>545</v>
      </c>
      <c r="C1200" t="s">
        <v>894</v>
      </c>
      <c r="D1200" s="29">
        <f>VALUE(LEFT(C1200,LEN(C1200)-2))</f>
        <v>16.8</v>
      </c>
    </row>
    <row r="1201" spans="1:4">
      <c r="A1201" s="23" t="s">
        <v>547</v>
      </c>
      <c r="B1201" t="s">
        <v>545</v>
      </c>
      <c r="C1201" s="24">
        <v>0.86</v>
      </c>
      <c r="D1201" s="27">
        <f>VALUE(C1201*100)</f>
        <v>86</v>
      </c>
    </row>
    <row r="1202" spans="1:4">
      <c r="A1202" s="23" t="s">
        <v>548</v>
      </c>
      <c r="B1202" t="s">
        <v>545</v>
      </c>
      <c r="C1202" t="s">
        <v>943</v>
      </c>
      <c r="D1202" s="29">
        <f>VALUE(LEFT(C1202,LEN(C1202)-2))</f>
        <v>14.3</v>
      </c>
    </row>
    <row r="1203" spans="1:4">
      <c r="A1203" s="23" t="s">
        <v>550</v>
      </c>
      <c r="B1203" t="s">
        <v>545</v>
      </c>
      <c r="C1203" t="s">
        <v>909</v>
      </c>
      <c r="D1203" s="28">
        <f>VALUE(LEFT(C1203,LEN(C1203)-4))</f>
        <v>1017</v>
      </c>
    </row>
    <row r="1204" spans="1:4">
      <c r="A1204" s="23" t="s">
        <v>552</v>
      </c>
      <c r="B1204" t="s">
        <v>545</v>
      </c>
      <c r="C1204" t="s">
        <v>636</v>
      </c>
      <c r="D1204" s="29">
        <f>VALUE(LEFT(C1204,LEN(C1204)-FIND("km/h",C1204)+1)/3.6)</f>
        <v>1.3333333333333333</v>
      </c>
    </row>
    <row r="1205" spans="1:4">
      <c r="A1205" s="23" t="s">
        <v>554</v>
      </c>
      <c r="B1205" t="s">
        <v>545</v>
      </c>
      <c r="C1205" t="s">
        <v>584</v>
      </c>
      <c r="D1205" s="29">
        <f>VALUE(LEFT(C1205,LEN(C1205)-FIND("km/h",C1205)+1)/3.6)</f>
        <v>1.9166666666666667</v>
      </c>
    </row>
    <row r="1206" spans="1:4">
      <c r="A1206" s="23" t="s">
        <v>556</v>
      </c>
      <c r="B1206" t="s">
        <v>545</v>
      </c>
      <c r="C1206" t="s">
        <v>1326</v>
      </c>
      <c r="D1206" s="26">
        <f>VALUE(LEFT(C1206,LEN(C1206)-7))</f>
        <v>215</v>
      </c>
    </row>
    <row r="1207" spans="1:4">
      <c r="A1207" s="23" t="s">
        <v>558</v>
      </c>
      <c r="B1207" t="s">
        <v>545</v>
      </c>
      <c r="C1207" t="s">
        <v>581</v>
      </c>
      <c r="D1207" s="29">
        <f>VALUE(LEFT(C1207,LEN(C1207)-3))</f>
        <v>1</v>
      </c>
    </row>
    <row r="1208" spans="1:4">
      <c r="A1208" s="23" t="s">
        <v>560</v>
      </c>
      <c r="B1208" t="s">
        <v>545</v>
      </c>
      <c r="C1208" t="s">
        <v>1327</v>
      </c>
      <c r="D1208" s="29">
        <f>VALUE(LEFT(C1208,LEN(C1208)-3))</f>
        <v>589.5</v>
      </c>
    </row>
    <row r="1209" spans="1:4">
      <c r="A1209" s="23" t="s">
        <v>562</v>
      </c>
      <c r="B1209" t="s">
        <v>545</v>
      </c>
      <c r="C1209" t="s">
        <v>581</v>
      </c>
      <c r="D1209" s="29">
        <f>VALUE(LEFT(C1209,LEN(C1209)-3))</f>
        <v>1</v>
      </c>
    </row>
    <row r="1211" spans="1:4">
      <c r="A1211" s="23" t="s">
        <v>544</v>
      </c>
      <c r="B1211" t="s">
        <v>545</v>
      </c>
      <c r="C1211" t="s">
        <v>1028</v>
      </c>
      <c r="D1211" s="29">
        <f>VALUE(LEFT(C1211,LEN(C1211)-2))</f>
        <v>15.4</v>
      </c>
    </row>
    <row r="1212" spans="1:4">
      <c r="A1212" s="23" t="s">
        <v>547</v>
      </c>
      <c r="B1212" t="s">
        <v>545</v>
      </c>
      <c r="C1212" s="24">
        <v>0.81</v>
      </c>
      <c r="D1212" s="27">
        <f>VALUE(C1212*100)</f>
        <v>81</v>
      </c>
    </row>
    <row r="1213" spans="1:4">
      <c r="A1213" s="23" t="s">
        <v>548</v>
      </c>
      <c r="B1213" t="s">
        <v>545</v>
      </c>
      <c r="C1213" t="s">
        <v>1168</v>
      </c>
      <c r="D1213" s="29">
        <f>VALUE(LEFT(C1213,LEN(C1213)-2))</f>
        <v>11.9</v>
      </c>
    </row>
    <row r="1214" spans="1:4">
      <c r="A1214" s="23" t="s">
        <v>550</v>
      </c>
      <c r="B1214" t="s">
        <v>545</v>
      </c>
      <c r="C1214" t="s">
        <v>1191</v>
      </c>
      <c r="D1214" s="28">
        <f>VALUE(LEFT(C1214,LEN(C1214)-4))</f>
        <v>1019.2</v>
      </c>
    </row>
    <row r="1215" spans="1:4">
      <c r="A1215" s="23" t="s">
        <v>552</v>
      </c>
      <c r="B1215" t="s">
        <v>545</v>
      </c>
      <c r="C1215" t="s">
        <v>639</v>
      </c>
      <c r="D1215" s="29">
        <f>VALUE(LEFT(C1215,LEN(C1215)-FIND("km/h",C1215)+1)/3.6)</f>
        <v>0.91666666666666663</v>
      </c>
    </row>
    <row r="1216" spans="1:4">
      <c r="A1216" s="23" t="s">
        <v>554</v>
      </c>
      <c r="B1216" t="s">
        <v>545</v>
      </c>
      <c r="C1216" t="s">
        <v>636</v>
      </c>
      <c r="D1216" s="29">
        <f>VALUE(LEFT(C1216,LEN(C1216)-FIND("km/h",C1216)+1)/3.6)</f>
        <v>1.3333333333333333</v>
      </c>
    </row>
    <row r="1217" spans="1:4">
      <c r="A1217" s="23" t="s">
        <v>556</v>
      </c>
      <c r="B1217" t="s">
        <v>545</v>
      </c>
      <c r="C1217" t="s">
        <v>917</v>
      </c>
      <c r="D1217" s="26">
        <f>VALUE(LEFT(C1217,LEN(C1217)-7))</f>
        <v>322</v>
      </c>
    </row>
    <row r="1218" spans="1:4">
      <c r="A1218" s="23" t="s">
        <v>558</v>
      </c>
      <c r="B1218" t="s">
        <v>545</v>
      </c>
      <c r="C1218" t="s">
        <v>581</v>
      </c>
      <c r="D1218" s="29">
        <f>VALUE(LEFT(C1218,LEN(C1218)-3))</f>
        <v>1</v>
      </c>
    </row>
    <row r="1219" spans="1:4">
      <c r="A1219" s="23" t="s">
        <v>560</v>
      </c>
      <c r="B1219" t="s">
        <v>545</v>
      </c>
      <c r="C1219" t="s">
        <v>1327</v>
      </c>
      <c r="D1219" s="29">
        <f>VALUE(LEFT(C1219,LEN(C1219)-3))</f>
        <v>589.5</v>
      </c>
    </row>
    <row r="1220" spans="1:4">
      <c r="A1220" s="23" t="s">
        <v>562</v>
      </c>
      <c r="B1220" t="s">
        <v>545</v>
      </c>
      <c r="C1220" t="s">
        <v>604</v>
      </c>
      <c r="D1220" s="29">
        <f>VALUE(LEFT(C1220,LEN(C1220)-3))</f>
        <v>0</v>
      </c>
    </row>
    <row r="1222" spans="1:4">
      <c r="A1222" s="23" t="s">
        <v>544</v>
      </c>
      <c r="B1222" t="s">
        <v>545</v>
      </c>
      <c r="C1222" t="s">
        <v>963</v>
      </c>
      <c r="D1222" s="29">
        <f>VALUE(LEFT(C1222,LEN(C1222)-2))</f>
        <v>16.2</v>
      </c>
    </row>
    <row r="1223" spans="1:4">
      <c r="A1223" s="23" t="s">
        <v>547</v>
      </c>
      <c r="B1223" t="s">
        <v>545</v>
      </c>
      <c r="C1223" s="24">
        <v>0.85</v>
      </c>
      <c r="D1223" s="27">
        <f>VALUE(C1223*100)</f>
        <v>85</v>
      </c>
    </row>
    <row r="1224" spans="1:4">
      <c r="A1224" s="23" t="s">
        <v>548</v>
      </c>
      <c r="B1224" t="s">
        <v>545</v>
      </c>
      <c r="C1224" t="s">
        <v>642</v>
      </c>
      <c r="D1224" s="29">
        <f>VALUE(LEFT(C1224,LEN(C1224)-2))</f>
        <v>13.7</v>
      </c>
    </row>
    <row r="1225" spans="1:4">
      <c r="A1225" s="23" t="s">
        <v>550</v>
      </c>
      <c r="B1225" t="s">
        <v>545</v>
      </c>
      <c r="C1225" t="s">
        <v>680</v>
      </c>
      <c r="D1225" s="28">
        <f>VALUE(LEFT(C1225,LEN(C1225)-4))</f>
        <v>1017.9</v>
      </c>
    </row>
    <row r="1226" spans="1:4">
      <c r="A1226" s="23" t="s">
        <v>552</v>
      </c>
      <c r="B1226" t="s">
        <v>545</v>
      </c>
      <c r="C1226" t="s">
        <v>821</v>
      </c>
      <c r="D1226" s="29">
        <f>VALUE(LEFT(C1226,LEN(C1226)-FIND("km/h",C1226)+1)/3.6)</f>
        <v>2.3611111111111112</v>
      </c>
    </row>
    <row r="1227" spans="1:4">
      <c r="A1227" s="23" t="s">
        <v>554</v>
      </c>
      <c r="B1227" t="s">
        <v>545</v>
      </c>
      <c r="C1227" t="s">
        <v>763</v>
      </c>
      <c r="D1227" s="29">
        <f>VALUE(LEFT(C1227,LEN(C1227)-FIND("km/h",C1227)+1)/3.6)</f>
        <v>3.3888888888888884</v>
      </c>
    </row>
    <row r="1228" spans="1:4">
      <c r="A1228" s="23" t="s">
        <v>556</v>
      </c>
      <c r="B1228" t="s">
        <v>545</v>
      </c>
      <c r="C1228" t="s">
        <v>962</v>
      </c>
      <c r="D1228" s="26">
        <f>VALUE(LEFT(C1228,LEN(C1228)-7))</f>
        <v>256</v>
      </c>
    </row>
    <row r="1229" spans="1:4">
      <c r="A1229" s="23" t="s">
        <v>558</v>
      </c>
      <c r="B1229" t="s">
        <v>545</v>
      </c>
      <c r="C1229" t="s">
        <v>581</v>
      </c>
      <c r="D1229" s="29">
        <f>VALUE(LEFT(C1229,LEN(C1229)-3))</f>
        <v>1</v>
      </c>
    </row>
    <row r="1230" spans="1:4">
      <c r="A1230" s="23" t="s">
        <v>560</v>
      </c>
      <c r="B1230" t="s">
        <v>545</v>
      </c>
      <c r="C1230" t="s">
        <v>1327</v>
      </c>
      <c r="D1230" s="29">
        <f>VALUE(LEFT(C1230,LEN(C1230)-3))</f>
        <v>589.5</v>
      </c>
    </row>
    <row r="1231" spans="1:4">
      <c r="A1231" s="23" t="s">
        <v>562</v>
      </c>
      <c r="B1231" t="s">
        <v>545</v>
      </c>
      <c r="C1231" t="s">
        <v>604</v>
      </c>
      <c r="D1231" s="29">
        <f>VALUE(LEFT(C1231,LEN(C1231)-3))</f>
        <v>0</v>
      </c>
    </row>
    <row r="1233" spans="1:4">
      <c r="A1233" s="23" t="s">
        <v>544</v>
      </c>
      <c r="B1233" t="s">
        <v>545</v>
      </c>
      <c r="C1233" t="s">
        <v>1328</v>
      </c>
      <c r="D1233" s="29">
        <f>VALUE(LEFT(C1233,LEN(C1233)-2))</f>
        <v>16.600000000000001</v>
      </c>
    </row>
    <row r="1234" spans="1:4">
      <c r="A1234" s="23" t="s">
        <v>547</v>
      </c>
      <c r="B1234" t="s">
        <v>545</v>
      </c>
      <c r="C1234" s="24">
        <v>0.94</v>
      </c>
      <c r="D1234" s="27">
        <f>VALUE(C1234*100)</f>
        <v>94</v>
      </c>
    </row>
    <row r="1235" spans="1:4">
      <c r="A1235" s="23" t="s">
        <v>548</v>
      </c>
      <c r="B1235" t="s">
        <v>545</v>
      </c>
      <c r="C1235" t="s">
        <v>1329</v>
      </c>
      <c r="D1235" s="29">
        <f>VALUE(LEFT(C1235,LEN(C1235)-2))</f>
        <v>15.5</v>
      </c>
    </row>
    <row r="1236" spans="1:4">
      <c r="A1236" s="23" t="s">
        <v>550</v>
      </c>
      <c r="B1236" t="s">
        <v>545</v>
      </c>
      <c r="C1236" t="s">
        <v>691</v>
      </c>
      <c r="D1236" s="28">
        <f>VALUE(LEFT(C1236,LEN(C1236)-4))</f>
        <v>1020.2</v>
      </c>
    </row>
    <row r="1237" spans="1:4">
      <c r="A1237" s="23" t="s">
        <v>552</v>
      </c>
      <c r="B1237" t="s">
        <v>545</v>
      </c>
      <c r="C1237" t="s">
        <v>645</v>
      </c>
      <c r="D1237" s="29">
        <f>VALUE(LEFT(C1237,LEN(C1237)-FIND("km/h",C1237)+1)/3.6)</f>
        <v>1</v>
      </c>
    </row>
    <row r="1238" spans="1:4">
      <c r="A1238" s="23" t="s">
        <v>554</v>
      </c>
      <c r="B1238" t="s">
        <v>545</v>
      </c>
      <c r="C1238" t="s">
        <v>795</v>
      </c>
      <c r="D1238" s="29">
        <f>VALUE(LEFT(C1238,LEN(C1238)-FIND("km/h",C1238)+1)/3.6)</f>
        <v>1.6111111111111109</v>
      </c>
    </row>
    <row r="1239" spans="1:4">
      <c r="A1239" s="23" t="s">
        <v>556</v>
      </c>
      <c r="B1239" t="s">
        <v>545</v>
      </c>
      <c r="C1239" t="s">
        <v>1330</v>
      </c>
      <c r="D1239" s="26">
        <f>VALUE(LEFT(C1239,LEN(C1239)-7))</f>
        <v>296</v>
      </c>
    </row>
    <row r="1240" spans="1:4">
      <c r="A1240" s="23" t="s">
        <v>558</v>
      </c>
      <c r="B1240" t="s">
        <v>545</v>
      </c>
      <c r="C1240" t="s">
        <v>581</v>
      </c>
      <c r="D1240" s="29">
        <f>VALUE(LEFT(C1240,LEN(C1240)-3))</f>
        <v>1</v>
      </c>
    </row>
    <row r="1241" spans="1:4">
      <c r="A1241" s="23" t="s">
        <v>560</v>
      </c>
      <c r="B1241" t="s">
        <v>545</v>
      </c>
      <c r="C1241" t="s">
        <v>1327</v>
      </c>
      <c r="D1241" s="29">
        <f>VALUE(LEFT(C1241,LEN(C1241)-3))</f>
        <v>589.5</v>
      </c>
    </row>
    <row r="1242" spans="1:4">
      <c r="A1242" s="23" t="s">
        <v>562</v>
      </c>
      <c r="B1242" t="s">
        <v>545</v>
      </c>
      <c r="C1242" t="s">
        <v>604</v>
      </c>
      <c r="D1242" s="29">
        <f>VALUE(LEFT(C1242,LEN(C1242)-3))</f>
        <v>0</v>
      </c>
    </row>
    <row r="1244" spans="1:4">
      <c r="A1244" s="23" t="s">
        <v>544</v>
      </c>
      <c r="B1244" t="s">
        <v>545</v>
      </c>
      <c r="C1244" t="s">
        <v>774</v>
      </c>
      <c r="D1244" s="29">
        <f>VALUE(LEFT(C1244,LEN(C1244)-2))</f>
        <v>16.399999999999999</v>
      </c>
    </row>
    <row r="1245" spans="1:4">
      <c r="A1245" s="23" t="s">
        <v>547</v>
      </c>
      <c r="B1245" t="s">
        <v>545</v>
      </c>
      <c r="C1245" s="24">
        <v>0.87</v>
      </c>
      <c r="D1245" s="27">
        <f>VALUE(C1245*100)</f>
        <v>87</v>
      </c>
    </row>
    <row r="1246" spans="1:4">
      <c r="A1246" s="23" t="s">
        <v>548</v>
      </c>
      <c r="B1246" t="s">
        <v>545</v>
      </c>
      <c r="C1246" t="s">
        <v>797</v>
      </c>
      <c r="D1246" s="29">
        <f>VALUE(LEFT(C1246,LEN(C1246)-2))</f>
        <v>14.1</v>
      </c>
    </row>
    <row r="1247" spans="1:4">
      <c r="A1247" s="23" t="s">
        <v>550</v>
      </c>
      <c r="B1247" t="s">
        <v>545</v>
      </c>
      <c r="C1247" t="s">
        <v>1331</v>
      </c>
      <c r="D1247" s="28">
        <f>VALUE(LEFT(C1247,LEN(C1247)-4))</f>
        <v>1019</v>
      </c>
    </row>
    <row r="1248" spans="1:4">
      <c r="A1248" s="23" t="s">
        <v>552</v>
      </c>
      <c r="B1248" t="s">
        <v>545</v>
      </c>
      <c r="C1248" t="s">
        <v>1030</v>
      </c>
      <c r="D1248" s="29">
        <f>VALUE(LEFT(C1248,LEN(C1248)-FIND("km/h",C1248)+1)/3.6)</f>
        <v>0.66666666666666663</v>
      </c>
    </row>
    <row r="1249" spans="1:4">
      <c r="A1249" s="23" t="s">
        <v>554</v>
      </c>
      <c r="B1249" t="s">
        <v>545</v>
      </c>
      <c r="C1249" t="s">
        <v>608</v>
      </c>
      <c r="D1249" s="29">
        <f>VALUE(LEFT(C1249,LEN(C1249)-FIND("km/h",C1249)+1)/3.6)</f>
        <v>0.94444444444444442</v>
      </c>
    </row>
    <row r="1250" spans="1:4">
      <c r="A1250" s="23" t="s">
        <v>556</v>
      </c>
      <c r="B1250" t="s">
        <v>545</v>
      </c>
      <c r="C1250" t="s">
        <v>1073</v>
      </c>
      <c r="D1250" s="26">
        <f>VALUE(LEFT(C1250,LEN(C1250)-7))</f>
        <v>210</v>
      </c>
    </row>
    <row r="1251" spans="1:4">
      <c r="A1251" s="23" t="s">
        <v>558</v>
      </c>
      <c r="B1251" t="s">
        <v>545</v>
      </c>
      <c r="C1251" t="s">
        <v>581</v>
      </c>
      <c r="D1251" s="29">
        <f>VALUE(LEFT(C1251,LEN(C1251)-3))</f>
        <v>1</v>
      </c>
    </row>
    <row r="1252" spans="1:4">
      <c r="A1252" s="23" t="s">
        <v>560</v>
      </c>
      <c r="B1252" t="s">
        <v>545</v>
      </c>
      <c r="C1252" t="s">
        <v>1327</v>
      </c>
      <c r="D1252" s="29">
        <f>VALUE(LEFT(C1252,LEN(C1252)-3))</f>
        <v>589.5</v>
      </c>
    </row>
    <row r="1253" spans="1:4">
      <c r="A1253" s="23" t="s">
        <v>562</v>
      </c>
      <c r="B1253" t="s">
        <v>545</v>
      </c>
      <c r="C1253" t="s">
        <v>604</v>
      </c>
      <c r="D1253" s="29">
        <f>VALUE(LEFT(C1253,LEN(C1253)-3))</f>
        <v>0</v>
      </c>
    </row>
    <row r="1255" spans="1:4">
      <c r="A1255" s="23" t="s">
        <v>544</v>
      </c>
      <c r="B1255" t="s">
        <v>545</v>
      </c>
      <c r="C1255" t="s">
        <v>894</v>
      </c>
      <c r="D1255" s="29">
        <f>VALUE(LEFT(C1255,LEN(C1255)-2))</f>
        <v>16.8</v>
      </c>
    </row>
    <row r="1256" spans="1:4">
      <c r="A1256" s="23" t="s">
        <v>547</v>
      </c>
      <c r="B1256" t="s">
        <v>545</v>
      </c>
      <c r="C1256" s="24">
        <v>0.81</v>
      </c>
      <c r="D1256" s="27">
        <f>VALUE(C1256*100)</f>
        <v>81</v>
      </c>
    </row>
    <row r="1257" spans="1:4">
      <c r="A1257" s="23" t="s">
        <v>548</v>
      </c>
      <c r="B1257" t="s">
        <v>545</v>
      </c>
      <c r="C1257" t="s">
        <v>598</v>
      </c>
      <c r="D1257" s="29">
        <f>VALUE(LEFT(C1257,LEN(C1257)-2))</f>
        <v>13.4</v>
      </c>
    </row>
    <row r="1258" spans="1:4">
      <c r="A1258" s="23" t="s">
        <v>550</v>
      </c>
      <c r="B1258" t="s">
        <v>545</v>
      </c>
      <c r="C1258" t="s">
        <v>842</v>
      </c>
      <c r="D1258" s="28">
        <f>VALUE(LEFT(C1258,LEN(C1258)-4))</f>
        <v>1017.4</v>
      </c>
    </row>
    <row r="1259" spans="1:4">
      <c r="A1259" s="23" t="s">
        <v>552</v>
      </c>
      <c r="B1259" t="s">
        <v>545</v>
      </c>
      <c r="C1259" t="s">
        <v>721</v>
      </c>
      <c r="D1259" s="29">
        <f>VALUE(LEFT(C1259,LEN(C1259)-FIND("km/h",C1259)+1)/3.6)</f>
        <v>1.5555555555555554</v>
      </c>
    </row>
    <row r="1260" spans="1:4">
      <c r="A1260" s="23" t="s">
        <v>554</v>
      </c>
      <c r="B1260" t="s">
        <v>545</v>
      </c>
      <c r="C1260" t="s">
        <v>619</v>
      </c>
      <c r="D1260" s="29">
        <f>VALUE(LEFT(C1260,LEN(C1260)-FIND("km/h",C1260)+1)/3.6)</f>
        <v>2.1111111111111112</v>
      </c>
    </row>
    <row r="1261" spans="1:4">
      <c r="A1261" s="23" t="s">
        <v>556</v>
      </c>
      <c r="B1261" t="s">
        <v>545</v>
      </c>
      <c r="C1261" t="s">
        <v>1332</v>
      </c>
      <c r="D1261" s="26">
        <f>VALUE(LEFT(C1261,LEN(C1261)-7))</f>
        <v>192</v>
      </c>
    </row>
    <row r="1262" spans="1:4">
      <c r="A1262" s="23" t="s">
        <v>558</v>
      </c>
      <c r="B1262" t="s">
        <v>545</v>
      </c>
      <c r="C1262" t="s">
        <v>581</v>
      </c>
      <c r="D1262" s="29">
        <f>VALUE(LEFT(C1262,LEN(C1262)-3))</f>
        <v>1</v>
      </c>
    </row>
    <row r="1263" spans="1:4">
      <c r="A1263" s="23" t="s">
        <v>560</v>
      </c>
      <c r="B1263" t="s">
        <v>545</v>
      </c>
      <c r="C1263" t="s">
        <v>1327</v>
      </c>
      <c r="D1263" s="29">
        <f>VALUE(LEFT(C1263,LEN(C1263)-3))</f>
        <v>589.5</v>
      </c>
    </row>
    <row r="1264" spans="1:4">
      <c r="A1264" s="23" t="s">
        <v>562</v>
      </c>
      <c r="B1264" t="s">
        <v>545</v>
      </c>
      <c r="C1264" t="s">
        <v>604</v>
      </c>
      <c r="D1264" s="29">
        <f>VALUE(LEFT(C1264,LEN(C1264)-3))</f>
        <v>0</v>
      </c>
    </row>
    <row r="1266" spans="1:4">
      <c r="A1266" s="23" t="s">
        <v>544</v>
      </c>
      <c r="B1266" t="s">
        <v>545</v>
      </c>
      <c r="C1266" t="s">
        <v>1028</v>
      </c>
      <c r="D1266" s="29">
        <f>VALUE(LEFT(C1266,LEN(C1266)-2))</f>
        <v>15.4</v>
      </c>
    </row>
    <row r="1267" spans="1:4">
      <c r="A1267" s="23" t="s">
        <v>547</v>
      </c>
      <c r="B1267" t="s">
        <v>545</v>
      </c>
      <c r="C1267" s="24">
        <v>0.85</v>
      </c>
      <c r="D1267" s="27">
        <f>VALUE(C1267*100)</f>
        <v>85</v>
      </c>
    </row>
    <row r="1268" spans="1:4">
      <c r="A1268" s="23" t="s">
        <v>548</v>
      </c>
      <c r="B1268" t="s">
        <v>545</v>
      </c>
      <c r="C1268" t="s">
        <v>783</v>
      </c>
      <c r="D1268" s="29">
        <f>VALUE(LEFT(C1268,LEN(C1268)-2))</f>
        <v>12.6</v>
      </c>
    </row>
    <row r="1269" spans="1:4">
      <c r="A1269" s="23" t="s">
        <v>550</v>
      </c>
      <c r="B1269" t="s">
        <v>545</v>
      </c>
      <c r="C1269" t="s">
        <v>1191</v>
      </c>
      <c r="D1269" s="28">
        <f>VALUE(LEFT(C1269,LEN(C1269)-4))</f>
        <v>1019.2</v>
      </c>
    </row>
    <row r="1270" spans="1:4">
      <c r="A1270" s="23" t="s">
        <v>552</v>
      </c>
      <c r="B1270" t="s">
        <v>545</v>
      </c>
      <c r="C1270" t="s">
        <v>811</v>
      </c>
      <c r="D1270" s="29">
        <f>VALUE(LEFT(C1270,LEN(C1270)-FIND("km/h",C1270)+1)/3.6)</f>
        <v>1.6388888888888888</v>
      </c>
    </row>
    <row r="1271" spans="1:4">
      <c r="A1271" s="23" t="s">
        <v>554</v>
      </c>
      <c r="B1271" t="s">
        <v>545</v>
      </c>
      <c r="C1271" t="s">
        <v>868</v>
      </c>
      <c r="D1271" s="29">
        <f>VALUE(LEFT(C1271,LEN(C1271)-FIND("km/h",C1271)+1)/3.6)</f>
        <v>2.5</v>
      </c>
    </row>
    <row r="1272" spans="1:4">
      <c r="A1272" s="23" t="s">
        <v>556</v>
      </c>
      <c r="B1272" t="s">
        <v>545</v>
      </c>
      <c r="C1272" t="s">
        <v>1333</v>
      </c>
      <c r="D1272" s="26">
        <f>VALUE(LEFT(C1272,LEN(C1272)-7))</f>
        <v>281</v>
      </c>
    </row>
    <row r="1273" spans="1:4">
      <c r="A1273" s="23" t="s">
        <v>558</v>
      </c>
      <c r="B1273" t="s">
        <v>545</v>
      </c>
      <c r="C1273" t="s">
        <v>847</v>
      </c>
      <c r="D1273" s="29">
        <f>VALUE(LEFT(C1273,LEN(C1273)-3))</f>
        <v>6</v>
      </c>
    </row>
    <row r="1274" spans="1:4">
      <c r="A1274" s="23" t="s">
        <v>560</v>
      </c>
      <c r="B1274" t="s">
        <v>545</v>
      </c>
      <c r="C1274" t="s">
        <v>1334</v>
      </c>
      <c r="D1274" s="29">
        <f>VALUE(LEFT(C1274,LEN(C1274)-3))</f>
        <v>594.5</v>
      </c>
    </row>
    <row r="1275" spans="1:4">
      <c r="A1275" s="23" t="s">
        <v>562</v>
      </c>
      <c r="B1275" t="s">
        <v>545</v>
      </c>
      <c r="C1275" t="s">
        <v>677</v>
      </c>
      <c r="D1275" s="29">
        <f>VALUE(LEFT(C1275,LEN(C1275)-3))</f>
        <v>5</v>
      </c>
    </row>
    <row r="1277" spans="1:4">
      <c r="A1277" s="23" t="s">
        <v>544</v>
      </c>
      <c r="B1277" t="s">
        <v>545</v>
      </c>
      <c r="C1277" t="s">
        <v>648</v>
      </c>
      <c r="D1277" s="29">
        <f>VALUE(LEFT(C1277,LEN(C1277)-2))</f>
        <v>12.8</v>
      </c>
    </row>
    <row r="1278" spans="1:4">
      <c r="A1278" s="23" t="s">
        <v>547</v>
      </c>
      <c r="B1278" t="s">
        <v>545</v>
      </c>
      <c r="C1278" s="24">
        <v>0.88</v>
      </c>
      <c r="D1278" s="27">
        <f>VALUE(C1278*100)</f>
        <v>88</v>
      </c>
    </row>
    <row r="1279" spans="1:4">
      <c r="A1279" s="23" t="s">
        <v>548</v>
      </c>
      <c r="B1279" t="s">
        <v>545</v>
      </c>
      <c r="C1279" t="s">
        <v>737</v>
      </c>
      <c r="D1279" s="29">
        <f>VALUE(LEFT(C1279,LEN(C1279)-2))</f>
        <v>10.6</v>
      </c>
    </row>
    <row r="1280" spans="1:4">
      <c r="A1280" s="23" t="s">
        <v>550</v>
      </c>
      <c r="B1280" t="s">
        <v>545</v>
      </c>
      <c r="C1280" t="s">
        <v>1335</v>
      </c>
      <c r="D1280" s="28">
        <f>VALUE(LEFT(C1280,LEN(C1280)-4))</f>
        <v>1025.0999999999999</v>
      </c>
    </row>
    <row r="1281" spans="1:4">
      <c r="A1281" s="23" t="s">
        <v>552</v>
      </c>
      <c r="B1281" t="s">
        <v>545</v>
      </c>
      <c r="C1281" t="s">
        <v>1336</v>
      </c>
      <c r="D1281" s="29">
        <f>VALUE(LEFT(C1281,LEN(C1281)-FIND("km/h",C1281)+1)/3.6)</f>
        <v>0.58333333333333337</v>
      </c>
    </row>
    <row r="1282" spans="1:4">
      <c r="A1282" s="23" t="s">
        <v>554</v>
      </c>
      <c r="B1282" t="s">
        <v>545</v>
      </c>
      <c r="C1282" t="s">
        <v>645</v>
      </c>
      <c r="D1282" s="29">
        <f>VALUE(LEFT(C1282,LEN(C1282)-FIND("km/h",C1282)+1)/3.6)</f>
        <v>1</v>
      </c>
    </row>
    <row r="1283" spans="1:4">
      <c r="A1283" s="23" t="s">
        <v>556</v>
      </c>
      <c r="B1283" t="s">
        <v>545</v>
      </c>
      <c r="C1283" t="s">
        <v>1337</v>
      </c>
      <c r="D1283" s="26">
        <f>VALUE(LEFT(C1283,LEN(C1283)-7))</f>
        <v>252</v>
      </c>
    </row>
    <row r="1284" spans="1:4">
      <c r="A1284" s="23" t="s">
        <v>558</v>
      </c>
      <c r="B1284" t="s">
        <v>545</v>
      </c>
      <c r="C1284" t="s">
        <v>847</v>
      </c>
      <c r="D1284" s="29">
        <f>VALUE(LEFT(C1284,LEN(C1284)-3))</f>
        <v>6</v>
      </c>
    </row>
    <row r="1285" spans="1:4">
      <c r="A1285" s="23" t="s">
        <v>560</v>
      </c>
      <c r="B1285" t="s">
        <v>545</v>
      </c>
      <c r="C1285" t="s">
        <v>1334</v>
      </c>
      <c r="D1285" s="29">
        <f>VALUE(LEFT(C1285,LEN(C1285)-3))</f>
        <v>594.5</v>
      </c>
    </row>
    <row r="1286" spans="1:4">
      <c r="A1286" s="23" t="s">
        <v>562</v>
      </c>
      <c r="B1286" t="s">
        <v>545</v>
      </c>
      <c r="C1286" t="s">
        <v>604</v>
      </c>
      <c r="D1286" s="29">
        <f>VALUE(LEFT(C1286,LEN(C1286)-3))</f>
        <v>0</v>
      </c>
    </row>
    <row r="1288" spans="1:4">
      <c r="A1288" s="23" t="s">
        <v>544</v>
      </c>
      <c r="B1288" t="s">
        <v>545</v>
      </c>
      <c r="C1288" t="s">
        <v>1006</v>
      </c>
      <c r="D1288" s="29">
        <f>VALUE(LEFT(C1288,LEN(C1288)-2))</f>
        <v>15.2</v>
      </c>
    </row>
    <row r="1289" spans="1:4">
      <c r="A1289" s="23" t="s">
        <v>547</v>
      </c>
      <c r="B1289" t="s">
        <v>545</v>
      </c>
      <c r="C1289" s="24">
        <v>0.87</v>
      </c>
      <c r="D1289" s="27">
        <f>VALUE(C1289*100)</f>
        <v>87</v>
      </c>
    </row>
    <row r="1290" spans="1:4">
      <c r="A1290" s="23" t="s">
        <v>548</v>
      </c>
      <c r="B1290" t="s">
        <v>545</v>
      </c>
      <c r="C1290" t="s">
        <v>546</v>
      </c>
      <c r="D1290" s="29">
        <f>VALUE(LEFT(C1290,LEN(C1290)-2))</f>
        <v>12.9</v>
      </c>
    </row>
    <row r="1291" spans="1:4">
      <c r="A1291" s="23" t="s">
        <v>550</v>
      </c>
      <c r="B1291" t="s">
        <v>545</v>
      </c>
      <c r="C1291" t="s">
        <v>1269</v>
      </c>
      <c r="D1291" s="28">
        <f>VALUE(LEFT(C1291,LEN(C1291)-4))</f>
        <v>1027.2</v>
      </c>
    </row>
    <row r="1292" spans="1:4">
      <c r="A1292" s="23" t="s">
        <v>552</v>
      </c>
      <c r="B1292" t="s">
        <v>545</v>
      </c>
      <c r="C1292" t="s">
        <v>781</v>
      </c>
      <c r="D1292" s="29">
        <f>VALUE(LEFT(C1292,LEN(C1292)-FIND("km/h",C1292)+1)/3.6)</f>
        <v>1.8333333333333333</v>
      </c>
    </row>
    <row r="1293" spans="1:4">
      <c r="A1293" s="23" t="s">
        <v>554</v>
      </c>
      <c r="B1293" t="s">
        <v>545</v>
      </c>
      <c r="C1293" t="s">
        <v>1338</v>
      </c>
      <c r="D1293" s="29">
        <f>VALUE(LEFT(C1293,LEN(C1293)-FIND("km/h",C1293)+1)/3.6)</f>
        <v>2.4444444444444446</v>
      </c>
    </row>
    <row r="1294" spans="1:4">
      <c r="A1294" s="23" t="s">
        <v>556</v>
      </c>
      <c r="B1294" t="s">
        <v>545</v>
      </c>
      <c r="C1294" t="s">
        <v>662</v>
      </c>
      <c r="D1294" s="26">
        <f>VALUE(LEFT(C1294,LEN(C1294)-7))</f>
        <v>341</v>
      </c>
    </row>
    <row r="1295" spans="1:4">
      <c r="A1295" s="23" t="s">
        <v>558</v>
      </c>
      <c r="B1295" t="s">
        <v>545</v>
      </c>
      <c r="C1295" t="s">
        <v>572</v>
      </c>
      <c r="D1295" s="29">
        <f>VALUE(LEFT(C1295,LEN(C1295)-3))</f>
        <v>7</v>
      </c>
    </row>
    <row r="1296" spans="1:4">
      <c r="A1296" s="23" t="s">
        <v>560</v>
      </c>
      <c r="B1296" t="s">
        <v>545</v>
      </c>
      <c r="C1296" t="s">
        <v>1339</v>
      </c>
      <c r="D1296" s="29">
        <f>VALUE(LEFT(C1296,LEN(C1296)-3))</f>
        <v>595.5</v>
      </c>
    </row>
    <row r="1297" spans="1:4">
      <c r="A1297" s="23" t="s">
        <v>562</v>
      </c>
      <c r="B1297" t="s">
        <v>545</v>
      </c>
      <c r="C1297" t="s">
        <v>581</v>
      </c>
      <c r="D1297" s="29">
        <f>VALUE(LEFT(C1297,LEN(C1297)-3))</f>
        <v>1</v>
      </c>
    </row>
    <row r="1299" spans="1:4">
      <c r="A1299" s="23" t="s">
        <v>544</v>
      </c>
      <c r="B1299" t="s">
        <v>545</v>
      </c>
      <c r="C1299" t="s">
        <v>657</v>
      </c>
      <c r="D1299" s="29">
        <f>VALUE(LEFT(C1299,LEN(C1299)-2))</f>
        <v>13.2</v>
      </c>
    </row>
    <row r="1300" spans="1:4">
      <c r="A1300" s="23" t="s">
        <v>547</v>
      </c>
      <c r="B1300" t="s">
        <v>545</v>
      </c>
      <c r="C1300" s="24">
        <v>0.84</v>
      </c>
      <c r="D1300" s="27">
        <f>VALUE(C1300*100)</f>
        <v>84</v>
      </c>
    </row>
    <row r="1301" spans="1:4">
      <c r="A1301" s="23" t="s">
        <v>548</v>
      </c>
      <c r="B1301" t="s">
        <v>545</v>
      </c>
      <c r="C1301" t="s">
        <v>888</v>
      </c>
      <c r="D1301" s="29">
        <f>VALUE(LEFT(C1301,LEN(C1301)-2))</f>
        <v>10.3</v>
      </c>
    </row>
    <row r="1302" spans="1:4">
      <c r="A1302" s="23" t="s">
        <v>550</v>
      </c>
      <c r="B1302" t="s">
        <v>545</v>
      </c>
      <c r="C1302" t="s">
        <v>1252</v>
      </c>
      <c r="D1302" s="28">
        <f>VALUE(LEFT(C1302,LEN(C1302)-4))</f>
        <v>1023.9</v>
      </c>
    </row>
    <row r="1303" spans="1:4">
      <c r="A1303" s="23" t="s">
        <v>552</v>
      </c>
      <c r="B1303" t="s">
        <v>545</v>
      </c>
      <c r="C1303" t="s">
        <v>795</v>
      </c>
      <c r="D1303" s="29">
        <f>VALUE(LEFT(C1303,LEN(C1303)-FIND("km/h",C1303)+1)/3.6)</f>
        <v>1.6111111111111109</v>
      </c>
    </row>
    <row r="1304" spans="1:4">
      <c r="A1304" s="23" t="s">
        <v>554</v>
      </c>
      <c r="B1304" t="s">
        <v>545</v>
      </c>
      <c r="C1304" t="s">
        <v>839</v>
      </c>
      <c r="D1304" s="29">
        <f>VALUE(LEFT(C1304,LEN(C1304)-FIND("km/h",C1304)+1)/3.6)</f>
        <v>2.2222222222222223</v>
      </c>
    </row>
    <row r="1305" spans="1:4">
      <c r="A1305" s="23" t="s">
        <v>556</v>
      </c>
      <c r="B1305" t="s">
        <v>545</v>
      </c>
      <c r="C1305" t="s">
        <v>959</v>
      </c>
      <c r="D1305" s="26">
        <f>VALUE(LEFT(C1305,LEN(C1305)-7))</f>
        <v>336</v>
      </c>
    </row>
    <row r="1306" spans="1:4">
      <c r="A1306" s="23" t="s">
        <v>558</v>
      </c>
      <c r="B1306" t="s">
        <v>545</v>
      </c>
      <c r="C1306" t="s">
        <v>572</v>
      </c>
      <c r="D1306" s="29">
        <f>VALUE(LEFT(C1306,LEN(C1306)-3))</f>
        <v>7</v>
      </c>
    </row>
    <row r="1307" spans="1:4">
      <c r="A1307" s="23" t="s">
        <v>560</v>
      </c>
      <c r="B1307" t="s">
        <v>545</v>
      </c>
      <c r="C1307" t="s">
        <v>1339</v>
      </c>
      <c r="D1307" s="29">
        <f>VALUE(LEFT(C1307,LEN(C1307)-3))</f>
        <v>595.5</v>
      </c>
    </row>
    <row r="1308" spans="1:4">
      <c r="A1308" s="23" t="s">
        <v>562</v>
      </c>
      <c r="B1308" t="s">
        <v>545</v>
      </c>
      <c r="C1308" t="s">
        <v>604</v>
      </c>
      <c r="D1308" s="29">
        <f>VALUE(LEFT(C1308,LEN(C1308)-3))</f>
        <v>0</v>
      </c>
    </row>
    <row r="1310" spans="1:4">
      <c r="A1310" s="23" t="s">
        <v>544</v>
      </c>
      <c r="B1310" t="s">
        <v>545</v>
      </c>
      <c r="C1310" t="s">
        <v>744</v>
      </c>
      <c r="D1310" s="29">
        <f>VALUE(LEFT(C1310,LEN(C1310)-2))</f>
        <v>12</v>
      </c>
    </row>
    <row r="1311" spans="1:4">
      <c r="A1311" s="23" t="s">
        <v>547</v>
      </c>
      <c r="B1311" t="s">
        <v>545</v>
      </c>
      <c r="C1311" s="24">
        <v>0.86</v>
      </c>
      <c r="D1311" s="27">
        <f>VALUE(C1311*100)</f>
        <v>86</v>
      </c>
    </row>
    <row r="1312" spans="1:4">
      <c r="A1312" s="23" t="s">
        <v>548</v>
      </c>
      <c r="B1312" t="s">
        <v>545</v>
      </c>
      <c r="C1312" t="s">
        <v>667</v>
      </c>
      <c r="D1312" s="29">
        <f>VALUE(LEFT(C1312,LEN(C1312)-2))</f>
        <v>9.6</v>
      </c>
    </row>
    <row r="1313" spans="1:4">
      <c r="A1313" s="23" t="s">
        <v>550</v>
      </c>
      <c r="B1313" t="s">
        <v>545</v>
      </c>
      <c r="C1313" t="s">
        <v>691</v>
      </c>
      <c r="D1313" s="28">
        <f>VALUE(LEFT(C1313,LEN(C1313)-4))</f>
        <v>1020.2</v>
      </c>
    </row>
    <row r="1314" spans="1:4">
      <c r="A1314" s="23" t="s">
        <v>552</v>
      </c>
      <c r="B1314" t="s">
        <v>545</v>
      </c>
      <c r="C1314" t="s">
        <v>776</v>
      </c>
      <c r="D1314" s="29">
        <f>VALUE(LEFT(C1314,LEN(C1314)-FIND("km/h",C1314)+1)/3.6)</f>
        <v>0.77777777777777768</v>
      </c>
    </row>
    <row r="1315" spans="1:4">
      <c r="A1315" s="23" t="s">
        <v>554</v>
      </c>
      <c r="B1315" t="s">
        <v>545</v>
      </c>
      <c r="C1315" t="s">
        <v>780</v>
      </c>
      <c r="D1315" s="29">
        <f>VALUE(LEFT(C1315,LEN(C1315)-FIND("km/h",C1315)+1)/3.6)</f>
        <v>1.1666666666666667</v>
      </c>
    </row>
    <row r="1316" spans="1:4">
      <c r="A1316" s="23" t="s">
        <v>556</v>
      </c>
      <c r="B1316" t="s">
        <v>545</v>
      </c>
      <c r="C1316" t="s">
        <v>1340</v>
      </c>
      <c r="D1316" s="26">
        <f>VALUE(LEFT(C1316,LEN(C1316)-7))</f>
        <v>311</v>
      </c>
    </row>
    <row r="1317" spans="1:4">
      <c r="A1317" s="23" t="s">
        <v>558</v>
      </c>
      <c r="B1317" t="s">
        <v>545</v>
      </c>
      <c r="C1317" t="s">
        <v>572</v>
      </c>
      <c r="D1317" s="29">
        <f>VALUE(LEFT(C1317,LEN(C1317)-3))</f>
        <v>7</v>
      </c>
    </row>
    <row r="1318" spans="1:4">
      <c r="A1318" s="23" t="s">
        <v>560</v>
      </c>
      <c r="B1318" t="s">
        <v>545</v>
      </c>
      <c r="C1318" t="s">
        <v>1339</v>
      </c>
      <c r="D1318" s="29">
        <f>VALUE(LEFT(C1318,LEN(C1318)-3))</f>
        <v>595.5</v>
      </c>
    </row>
    <row r="1319" spans="1:4">
      <c r="A1319" s="23" t="s">
        <v>562</v>
      </c>
      <c r="B1319" t="s">
        <v>545</v>
      </c>
      <c r="C1319" t="s">
        <v>604</v>
      </c>
      <c r="D1319" s="29">
        <f>VALUE(LEFT(C1319,LEN(C1319)-3))</f>
        <v>0</v>
      </c>
    </row>
    <row r="1321" spans="1:4">
      <c r="A1321" s="23" t="s">
        <v>544</v>
      </c>
      <c r="B1321" t="s">
        <v>545</v>
      </c>
      <c r="C1321" t="s">
        <v>632</v>
      </c>
      <c r="D1321" s="29">
        <f>VALUE(LEFT(C1321,LEN(C1321)-2))</f>
        <v>13.1</v>
      </c>
    </row>
    <row r="1322" spans="1:4">
      <c r="A1322" s="23" t="s">
        <v>547</v>
      </c>
      <c r="B1322" t="s">
        <v>545</v>
      </c>
      <c r="C1322" s="24">
        <v>0.82</v>
      </c>
      <c r="D1322" s="27">
        <f>VALUE(C1322*100)</f>
        <v>82</v>
      </c>
    </row>
    <row r="1323" spans="1:4">
      <c r="A1323" s="23" t="s">
        <v>548</v>
      </c>
      <c r="B1323" t="s">
        <v>545</v>
      </c>
      <c r="C1323" t="s">
        <v>667</v>
      </c>
      <c r="D1323" s="29">
        <f>VALUE(LEFT(C1323,LEN(C1323)-2))</f>
        <v>9.6</v>
      </c>
    </row>
    <row r="1324" spans="1:4">
      <c r="A1324" s="23" t="s">
        <v>550</v>
      </c>
      <c r="B1324" t="s">
        <v>545</v>
      </c>
      <c r="C1324" t="s">
        <v>1191</v>
      </c>
      <c r="D1324" s="28">
        <f>VALUE(LEFT(C1324,LEN(C1324)-4))</f>
        <v>1019.2</v>
      </c>
    </row>
    <row r="1325" spans="1:4">
      <c r="A1325" s="23" t="s">
        <v>552</v>
      </c>
      <c r="B1325" t="s">
        <v>545</v>
      </c>
      <c r="C1325" t="s">
        <v>639</v>
      </c>
      <c r="D1325" s="29">
        <f>VALUE(LEFT(C1325,LEN(C1325)-FIND("km/h",C1325)+1)/3.6)</f>
        <v>0.91666666666666663</v>
      </c>
    </row>
    <row r="1326" spans="1:4">
      <c r="A1326" s="23" t="s">
        <v>554</v>
      </c>
      <c r="B1326" t="s">
        <v>545</v>
      </c>
      <c r="C1326" t="s">
        <v>1000</v>
      </c>
      <c r="D1326" s="29">
        <f>VALUE(LEFT(C1326,LEN(C1326)-FIND("km/h",C1326)+1)/3.6)</f>
        <v>1.2222222222222223</v>
      </c>
    </row>
    <row r="1327" spans="1:4">
      <c r="A1327" s="23" t="s">
        <v>556</v>
      </c>
      <c r="B1327" t="s">
        <v>545</v>
      </c>
      <c r="C1327" t="s">
        <v>1341</v>
      </c>
      <c r="D1327" s="26">
        <f>VALUE(LEFT(C1327,LEN(C1327)-7))</f>
        <v>3</v>
      </c>
    </row>
    <row r="1328" spans="1:4">
      <c r="A1328" s="23" t="s">
        <v>558</v>
      </c>
      <c r="B1328" t="s">
        <v>545</v>
      </c>
      <c r="C1328" t="s">
        <v>572</v>
      </c>
      <c r="D1328" s="29">
        <f>VALUE(LEFT(C1328,LEN(C1328)-3))</f>
        <v>7</v>
      </c>
    </row>
    <row r="1329" spans="1:4">
      <c r="A1329" s="23" t="s">
        <v>560</v>
      </c>
      <c r="B1329" t="s">
        <v>545</v>
      </c>
      <c r="C1329" t="s">
        <v>1339</v>
      </c>
      <c r="D1329" s="29">
        <f>VALUE(LEFT(C1329,LEN(C1329)-3))</f>
        <v>595.5</v>
      </c>
    </row>
    <row r="1330" spans="1:4">
      <c r="A1330" s="23" t="s">
        <v>562</v>
      </c>
      <c r="B1330" t="s">
        <v>545</v>
      </c>
      <c r="C1330" t="s">
        <v>604</v>
      </c>
      <c r="D1330" s="29">
        <f>VALUE(LEFT(C1330,LEN(C1330)-3))</f>
        <v>0</v>
      </c>
    </row>
    <row r="1332" spans="1:4">
      <c r="A1332" s="23" t="s">
        <v>544</v>
      </c>
      <c r="B1332" t="s">
        <v>545</v>
      </c>
      <c r="C1332" t="s">
        <v>1195</v>
      </c>
      <c r="D1332" s="29">
        <f>VALUE(LEFT(C1332,LEN(C1332)-2))</f>
        <v>12.2</v>
      </c>
    </row>
    <row r="1333" spans="1:4">
      <c r="A1333" s="23" t="s">
        <v>547</v>
      </c>
      <c r="B1333" t="s">
        <v>545</v>
      </c>
      <c r="C1333" s="24">
        <v>0.73</v>
      </c>
      <c r="D1333" s="27">
        <f>VALUE(C1333*100)</f>
        <v>73</v>
      </c>
    </row>
    <row r="1334" spans="1:4">
      <c r="A1334" s="23" t="s">
        <v>548</v>
      </c>
      <c r="B1334" t="s">
        <v>545</v>
      </c>
      <c r="C1334" t="s">
        <v>690</v>
      </c>
      <c r="D1334" s="29">
        <f>VALUE(LEFT(C1334,LEN(C1334)-2))</f>
        <v>6.9</v>
      </c>
    </row>
    <row r="1335" spans="1:4">
      <c r="A1335" s="23" t="s">
        <v>550</v>
      </c>
      <c r="B1335" t="s">
        <v>545</v>
      </c>
      <c r="C1335" t="s">
        <v>1342</v>
      </c>
      <c r="D1335" s="28">
        <f>VALUE(LEFT(C1335,LEN(C1335)-4))</f>
        <v>1023.8</v>
      </c>
    </row>
    <row r="1336" spans="1:4">
      <c r="A1336" s="23" t="s">
        <v>552</v>
      </c>
      <c r="B1336" t="s">
        <v>545</v>
      </c>
      <c r="C1336" t="s">
        <v>1141</v>
      </c>
      <c r="D1336" s="29">
        <f>VALUE(LEFT(C1336,LEN(C1336)-FIND("km/h",C1336)+1)/3.6)</f>
        <v>1.1111111111111112</v>
      </c>
    </row>
    <row r="1337" spans="1:4">
      <c r="A1337" s="23" t="s">
        <v>554</v>
      </c>
      <c r="B1337" t="s">
        <v>545</v>
      </c>
      <c r="C1337" t="s">
        <v>646</v>
      </c>
      <c r="D1337" s="29">
        <f>VALUE(LEFT(C1337,LEN(C1337)-FIND("km/h",C1337)+1)/3.6)</f>
        <v>1.5833333333333333</v>
      </c>
    </row>
    <row r="1338" spans="1:4">
      <c r="A1338" s="23" t="s">
        <v>556</v>
      </c>
      <c r="B1338" t="s">
        <v>545</v>
      </c>
      <c r="C1338" t="s">
        <v>1343</v>
      </c>
      <c r="D1338" s="26">
        <f>VALUE(LEFT(C1338,LEN(C1338)-7))</f>
        <v>8</v>
      </c>
    </row>
    <row r="1339" spans="1:4">
      <c r="A1339" s="23" t="s">
        <v>558</v>
      </c>
      <c r="B1339" t="s">
        <v>545</v>
      </c>
      <c r="C1339" t="s">
        <v>572</v>
      </c>
      <c r="D1339" s="29">
        <f>VALUE(LEFT(C1339,LEN(C1339)-3))</f>
        <v>7</v>
      </c>
    </row>
    <row r="1340" spans="1:4">
      <c r="A1340" s="23" t="s">
        <v>560</v>
      </c>
      <c r="B1340" t="s">
        <v>545</v>
      </c>
      <c r="C1340" t="s">
        <v>1339</v>
      </c>
      <c r="D1340" s="29">
        <f>VALUE(LEFT(C1340,LEN(C1340)-3))</f>
        <v>595.5</v>
      </c>
    </row>
    <row r="1341" spans="1:4">
      <c r="A1341" s="23" t="s">
        <v>562</v>
      </c>
      <c r="B1341" t="s">
        <v>545</v>
      </c>
      <c r="C1341" t="s">
        <v>604</v>
      </c>
      <c r="D1341" s="29">
        <f>VALUE(LEFT(C1341,LEN(C1341)-3))</f>
        <v>0</v>
      </c>
    </row>
    <row r="1343" spans="1:4">
      <c r="A1343" s="23" t="s">
        <v>544</v>
      </c>
      <c r="B1343" t="s">
        <v>545</v>
      </c>
      <c r="C1343" t="s">
        <v>667</v>
      </c>
      <c r="D1343" s="29">
        <f>VALUE(LEFT(C1343,LEN(C1343)-2))</f>
        <v>9.6</v>
      </c>
    </row>
    <row r="1344" spans="1:4">
      <c r="A1344" s="23" t="s">
        <v>547</v>
      </c>
      <c r="B1344" t="s">
        <v>545</v>
      </c>
      <c r="C1344" s="24">
        <v>0.71</v>
      </c>
      <c r="D1344" s="27">
        <f>VALUE(C1344*100)</f>
        <v>71</v>
      </c>
    </row>
    <row r="1345" spans="1:4">
      <c r="A1345" s="23" t="s">
        <v>548</v>
      </c>
      <c r="B1345" t="s">
        <v>545</v>
      </c>
      <c r="C1345" t="s">
        <v>1125</v>
      </c>
      <c r="D1345" s="29">
        <f>VALUE(LEFT(C1345,LEN(C1345)-2))</f>
        <v>4.2</v>
      </c>
    </row>
    <row r="1346" spans="1:4">
      <c r="A1346" s="23" t="s">
        <v>550</v>
      </c>
      <c r="B1346" t="s">
        <v>545</v>
      </c>
      <c r="C1346" t="s">
        <v>1293</v>
      </c>
      <c r="D1346" s="28">
        <f>VALUE(LEFT(C1346,LEN(C1346)-4))</f>
        <v>1020.8</v>
      </c>
    </row>
    <row r="1347" spans="1:4">
      <c r="A1347" s="23" t="s">
        <v>552</v>
      </c>
      <c r="B1347" t="s">
        <v>545</v>
      </c>
      <c r="C1347" t="s">
        <v>994</v>
      </c>
      <c r="D1347" s="29">
        <f>VALUE(LEFT(C1347,LEN(C1347)-FIND("km/h",C1347)+1)/3.6)</f>
        <v>1.6944444444444442</v>
      </c>
    </row>
    <row r="1348" spans="1:4">
      <c r="A1348" s="23" t="s">
        <v>554</v>
      </c>
      <c r="B1348" t="s">
        <v>545</v>
      </c>
      <c r="C1348" t="s">
        <v>843</v>
      </c>
      <c r="D1348" s="29">
        <f>VALUE(LEFT(C1348,LEN(C1348)-FIND("km/h",C1348)+1)/3.6)</f>
        <v>2.3055555555555558</v>
      </c>
    </row>
    <row r="1349" spans="1:4">
      <c r="A1349" s="23" t="s">
        <v>556</v>
      </c>
      <c r="B1349" t="s">
        <v>545</v>
      </c>
      <c r="C1349" t="s">
        <v>1344</v>
      </c>
      <c r="D1349" s="26">
        <f>VALUE(LEFT(C1349,LEN(C1349)-7))</f>
        <v>2</v>
      </c>
    </row>
    <row r="1350" spans="1:4">
      <c r="A1350" s="23" t="s">
        <v>558</v>
      </c>
      <c r="B1350" t="s">
        <v>545</v>
      </c>
      <c r="C1350" t="s">
        <v>572</v>
      </c>
      <c r="D1350" s="29">
        <f>VALUE(LEFT(C1350,LEN(C1350)-3))</f>
        <v>7</v>
      </c>
    </row>
    <row r="1351" spans="1:4">
      <c r="A1351" s="23" t="s">
        <v>560</v>
      </c>
      <c r="B1351" t="s">
        <v>545</v>
      </c>
      <c r="C1351" t="s">
        <v>1339</v>
      </c>
      <c r="D1351" s="29">
        <f>VALUE(LEFT(C1351,LEN(C1351)-3))</f>
        <v>595.5</v>
      </c>
    </row>
    <row r="1352" spans="1:4">
      <c r="A1352" s="23" t="s">
        <v>562</v>
      </c>
      <c r="B1352" t="s">
        <v>545</v>
      </c>
      <c r="C1352" t="s">
        <v>604</v>
      </c>
      <c r="D1352" s="29">
        <f>VALUE(LEFT(C1352,LEN(C1352)-3))</f>
        <v>0</v>
      </c>
    </row>
    <row r="1354" spans="1:4">
      <c r="A1354" s="23" t="s">
        <v>544</v>
      </c>
      <c r="B1354" t="s">
        <v>545</v>
      </c>
      <c r="C1354" t="s">
        <v>927</v>
      </c>
      <c r="D1354" s="29">
        <f>VALUE(LEFT(C1354,LEN(C1354)-2))</f>
        <v>9.1</v>
      </c>
    </row>
    <row r="1355" spans="1:4">
      <c r="A1355" s="23" t="s">
        <v>547</v>
      </c>
      <c r="B1355" t="s">
        <v>545</v>
      </c>
      <c r="C1355" s="24">
        <v>0.65</v>
      </c>
      <c r="D1355" s="27">
        <f>VALUE(C1355*100)</f>
        <v>65</v>
      </c>
    </row>
    <row r="1356" spans="1:4">
      <c r="A1356" s="23" t="s">
        <v>548</v>
      </c>
      <c r="B1356" t="s">
        <v>545</v>
      </c>
      <c r="C1356" t="s">
        <v>1345</v>
      </c>
      <c r="D1356" s="29">
        <f>VALUE(LEFT(C1356,LEN(C1356)-2))</f>
        <v>2.2999999999999998</v>
      </c>
    </row>
    <row r="1357" spans="1:4">
      <c r="A1357" s="23" t="s">
        <v>550</v>
      </c>
      <c r="B1357" t="s">
        <v>545</v>
      </c>
      <c r="C1357" t="s">
        <v>618</v>
      </c>
      <c r="D1357" s="28">
        <f>VALUE(LEFT(C1357,LEN(C1357)-4))</f>
        <v>1016</v>
      </c>
    </row>
    <row r="1358" spans="1:4">
      <c r="A1358" s="23" t="s">
        <v>552</v>
      </c>
      <c r="B1358" t="s">
        <v>545</v>
      </c>
      <c r="C1358" t="s">
        <v>669</v>
      </c>
      <c r="D1358" s="29">
        <f>VALUE(LEFT(C1358,LEN(C1358)-FIND("km/h",C1358)+1)/3.6)</f>
        <v>1.4722222222222221</v>
      </c>
    </row>
    <row r="1359" spans="1:4">
      <c r="A1359" s="23" t="s">
        <v>554</v>
      </c>
      <c r="B1359" t="s">
        <v>545</v>
      </c>
      <c r="C1359" t="s">
        <v>692</v>
      </c>
      <c r="D1359" s="29">
        <f>VALUE(LEFT(C1359,LEN(C1359)-FIND("km/h",C1359)+1)/3.6)</f>
        <v>2.1388888888888888</v>
      </c>
    </row>
    <row r="1360" spans="1:4">
      <c r="A1360" s="23" t="s">
        <v>556</v>
      </c>
      <c r="B1360" t="s">
        <v>545</v>
      </c>
      <c r="C1360" t="s">
        <v>1346</v>
      </c>
      <c r="D1360" s="26">
        <f>VALUE(LEFT(C1360,LEN(C1360)-7))</f>
        <v>25</v>
      </c>
    </row>
    <row r="1361" spans="1:4">
      <c r="A1361" s="23" t="s">
        <v>558</v>
      </c>
      <c r="B1361" t="s">
        <v>545</v>
      </c>
      <c r="C1361" t="s">
        <v>572</v>
      </c>
      <c r="D1361" s="29">
        <f>VALUE(LEFT(C1361,LEN(C1361)-3))</f>
        <v>7</v>
      </c>
    </row>
    <row r="1362" spans="1:4">
      <c r="A1362" s="23" t="s">
        <v>560</v>
      </c>
      <c r="B1362" t="s">
        <v>545</v>
      </c>
      <c r="C1362" t="s">
        <v>1339</v>
      </c>
      <c r="D1362" s="29">
        <f>VALUE(LEFT(C1362,LEN(C1362)-3))</f>
        <v>595.5</v>
      </c>
    </row>
    <row r="1363" spans="1:4">
      <c r="A1363" s="23" t="s">
        <v>562</v>
      </c>
      <c r="B1363" t="s">
        <v>545</v>
      </c>
      <c r="C1363" t="s">
        <v>604</v>
      </c>
      <c r="D1363" s="29">
        <f>VALUE(LEFT(C1363,LEN(C1363)-3))</f>
        <v>0</v>
      </c>
    </row>
    <row r="1365" spans="1:4">
      <c r="A1365" s="23" t="s">
        <v>544</v>
      </c>
      <c r="B1365" t="s">
        <v>545</v>
      </c>
      <c r="C1365" t="s">
        <v>832</v>
      </c>
      <c r="D1365" s="29">
        <f>VALUE(LEFT(C1365,LEN(C1365)-2))</f>
        <v>9</v>
      </c>
    </row>
    <row r="1366" spans="1:4">
      <c r="A1366" s="23" t="s">
        <v>547</v>
      </c>
      <c r="B1366" t="s">
        <v>545</v>
      </c>
      <c r="C1366" s="24">
        <v>0.71</v>
      </c>
      <c r="D1366" s="27">
        <f>VALUE(C1366*100)</f>
        <v>71</v>
      </c>
    </row>
    <row r="1367" spans="1:4">
      <c r="A1367" s="23" t="s">
        <v>548</v>
      </c>
      <c r="B1367" t="s">
        <v>545</v>
      </c>
      <c r="C1367" t="s">
        <v>1240</v>
      </c>
      <c r="D1367" s="29">
        <f>VALUE(LEFT(C1367,LEN(C1367)-2))</f>
        <v>3.8</v>
      </c>
    </row>
    <row r="1368" spans="1:4">
      <c r="A1368" s="23" t="s">
        <v>550</v>
      </c>
      <c r="B1368" t="s">
        <v>545</v>
      </c>
      <c r="C1368" t="s">
        <v>1186</v>
      </c>
      <c r="D1368" s="28">
        <f>VALUE(LEFT(C1368,LEN(C1368)-4))</f>
        <v>1013.8</v>
      </c>
    </row>
    <row r="1369" spans="1:4">
      <c r="A1369" s="23" t="s">
        <v>552</v>
      </c>
      <c r="B1369" t="s">
        <v>545</v>
      </c>
      <c r="C1369" t="s">
        <v>1239</v>
      </c>
      <c r="D1369" s="29">
        <f>VALUE(LEFT(C1369,LEN(C1369)-FIND("km/h",C1369)+1)/3.6)</f>
        <v>0.72222222222222221</v>
      </c>
    </row>
    <row r="1370" spans="1:4">
      <c r="A1370" s="23" t="s">
        <v>554</v>
      </c>
      <c r="B1370" t="s">
        <v>545</v>
      </c>
      <c r="C1370" t="s">
        <v>780</v>
      </c>
      <c r="D1370" s="29">
        <f>VALUE(LEFT(C1370,LEN(C1370)-FIND("km/h",C1370)+1)/3.6)</f>
        <v>1.1666666666666667</v>
      </c>
    </row>
    <row r="1371" spans="1:4">
      <c r="A1371" s="23" t="s">
        <v>556</v>
      </c>
      <c r="B1371" t="s">
        <v>545</v>
      </c>
      <c r="C1371" t="s">
        <v>804</v>
      </c>
      <c r="D1371" s="26">
        <f>VALUE(LEFT(C1371,LEN(C1371)-7))</f>
        <v>271</v>
      </c>
    </row>
    <row r="1372" spans="1:4">
      <c r="A1372" s="23" t="s">
        <v>558</v>
      </c>
      <c r="B1372" t="s">
        <v>545</v>
      </c>
      <c r="C1372" t="s">
        <v>572</v>
      </c>
      <c r="D1372" s="29">
        <f>VALUE(LEFT(C1372,LEN(C1372)-3))</f>
        <v>7</v>
      </c>
    </row>
    <row r="1373" spans="1:4">
      <c r="A1373" s="23" t="s">
        <v>560</v>
      </c>
      <c r="B1373" t="s">
        <v>545</v>
      </c>
      <c r="C1373" t="s">
        <v>1339</v>
      </c>
      <c r="D1373" s="29">
        <f>VALUE(LEFT(C1373,LEN(C1373)-3))</f>
        <v>595.5</v>
      </c>
    </row>
    <row r="1374" spans="1:4">
      <c r="A1374" s="23" t="s">
        <v>562</v>
      </c>
      <c r="B1374" t="s">
        <v>545</v>
      </c>
      <c r="C1374" t="s">
        <v>604</v>
      </c>
      <c r="D1374" s="29">
        <f>VALUE(LEFT(C1374,LEN(C1374)-3))</f>
        <v>0</v>
      </c>
    </row>
    <row r="1376" spans="1:4">
      <c r="A1376" s="23" t="s">
        <v>544</v>
      </c>
      <c r="B1376" t="s">
        <v>545</v>
      </c>
      <c r="C1376" t="s">
        <v>927</v>
      </c>
      <c r="D1376" s="29">
        <f>VALUE(LEFT(C1376,LEN(C1376)-2))</f>
        <v>9.1</v>
      </c>
    </row>
    <row r="1377" spans="1:4">
      <c r="A1377" s="23" t="s">
        <v>547</v>
      </c>
      <c r="B1377" t="s">
        <v>545</v>
      </c>
      <c r="C1377" s="24">
        <v>0.82</v>
      </c>
      <c r="D1377" s="27">
        <f>VALUE(C1377*100)</f>
        <v>82</v>
      </c>
    </row>
    <row r="1378" spans="1:4">
      <c r="A1378" s="23" t="s">
        <v>548</v>
      </c>
      <c r="B1378" t="s">
        <v>545</v>
      </c>
      <c r="C1378" t="s">
        <v>574</v>
      </c>
      <c r="D1378" s="29">
        <f>VALUE(LEFT(C1378,LEN(C1378)-2))</f>
        <v>5.9</v>
      </c>
    </row>
    <row r="1379" spans="1:4">
      <c r="A1379" s="23" t="s">
        <v>550</v>
      </c>
      <c r="B1379" t="s">
        <v>545</v>
      </c>
      <c r="C1379" t="s">
        <v>1347</v>
      </c>
      <c r="D1379" s="28">
        <f>VALUE(LEFT(C1379,LEN(C1379)-4))</f>
        <v>1010.7</v>
      </c>
    </row>
    <row r="1380" spans="1:4">
      <c r="A1380" s="23" t="s">
        <v>552</v>
      </c>
      <c r="B1380" t="s">
        <v>545</v>
      </c>
      <c r="C1380" t="s">
        <v>629</v>
      </c>
      <c r="D1380" s="29">
        <f>VALUE(LEFT(C1380,LEN(C1380)-FIND("km/h",C1380)+1)/3.6)</f>
        <v>1.0833333333333333</v>
      </c>
    </row>
    <row r="1381" spans="1:4">
      <c r="A1381" s="23" t="s">
        <v>554</v>
      </c>
      <c r="B1381" t="s">
        <v>545</v>
      </c>
      <c r="C1381" t="s">
        <v>795</v>
      </c>
      <c r="D1381" s="29">
        <f>VALUE(LEFT(C1381,LEN(C1381)-FIND("km/h",C1381)+1)/3.6)</f>
        <v>1.6111111111111109</v>
      </c>
    </row>
    <row r="1382" spans="1:4">
      <c r="A1382" s="23" t="s">
        <v>556</v>
      </c>
      <c r="B1382" t="s">
        <v>545</v>
      </c>
      <c r="C1382" t="s">
        <v>866</v>
      </c>
      <c r="D1382" s="26">
        <f>VALUE(LEFT(C1382,LEN(C1382)-7))</f>
        <v>325</v>
      </c>
    </row>
    <row r="1383" spans="1:4">
      <c r="A1383" s="23" t="s">
        <v>558</v>
      </c>
      <c r="B1383" t="s">
        <v>545</v>
      </c>
      <c r="C1383" t="s">
        <v>572</v>
      </c>
      <c r="D1383" s="29">
        <f>VALUE(LEFT(C1383,LEN(C1383)-3))</f>
        <v>7</v>
      </c>
    </row>
    <row r="1384" spans="1:4">
      <c r="A1384" s="23" t="s">
        <v>560</v>
      </c>
      <c r="B1384" t="s">
        <v>545</v>
      </c>
      <c r="C1384" t="s">
        <v>1339</v>
      </c>
      <c r="D1384" s="29">
        <f>VALUE(LEFT(C1384,LEN(C1384)-3))</f>
        <v>595.5</v>
      </c>
    </row>
    <row r="1385" spans="1:4">
      <c r="A1385" s="23" t="s">
        <v>562</v>
      </c>
      <c r="B1385" t="s">
        <v>545</v>
      </c>
      <c r="C1385" t="s">
        <v>604</v>
      </c>
      <c r="D1385" s="29">
        <f>VALUE(LEFT(C1385,LEN(C1385)-3))</f>
        <v>0</v>
      </c>
    </row>
    <row r="1387" spans="1:4">
      <c r="A1387" s="23" t="s">
        <v>544</v>
      </c>
      <c r="B1387" t="s">
        <v>545</v>
      </c>
      <c r="C1387" t="s">
        <v>590</v>
      </c>
      <c r="D1387" s="29">
        <f>VALUE(LEFT(C1387,LEN(C1387)-2))</f>
        <v>9.6999999999999993</v>
      </c>
    </row>
    <row r="1388" spans="1:4">
      <c r="A1388" s="23" t="s">
        <v>547</v>
      </c>
      <c r="B1388" t="s">
        <v>545</v>
      </c>
      <c r="C1388" s="24">
        <v>0.83</v>
      </c>
      <c r="D1388" s="27">
        <f>VALUE(C1388*100)</f>
        <v>83</v>
      </c>
    </row>
    <row r="1389" spans="1:4">
      <c r="A1389" s="23" t="s">
        <v>548</v>
      </c>
      <c r="B1389" t="s">
        <v>545</v>
      </c>
      <c r="C1389" t="s">
        <v>1348</v>
      </c>
      <c r="D1389" s="29">
        <f>VALUE(LEFT(C1389,LEN(C1389)-2))</f>
        <v>6.6</v>
      </c>
    </row>
    <row r="1390" spans="1:4">
      <c r="A1390" s="23" t="s">
        <v>550</v>
      </c>
      <c r="B1390" t="s">
        <v>545</v>
      </c>
      <c r="C1390" t="s">
        <v>788</v>
      </c>
      <c r="D1390" s="28">
        <f>VALUE(LEFT(C1390,LEN(C1390)-4))</f>
        <v>1013.3</v>
      </c>
    </row>
    <row r="1391" spans="1:4">
      <c r="A1391" s="23" t="s">
        <v>552</v>
      </c>
      <c r="B1391" t="s">
        <v>545</v>
      </c>
      <c r="C1391" t="s">
        <v>640</v>
      </c>
      <c r="D1391" s="29">
        <f>VALUE(LEFT(C1391,LEN(C1391)-FIND("km/h",C1391)+1)/3.6)</f>
        <v>1.4166666666666665</v>
      </c>
    </row>
    <row r="1392" spans="1:4">
      <c r="A1392" s="23" t="s">
        <v>554</v>
      </c>
      <c r="B1392" t="s">
        <v>545</v>
      </c>
      <c r="C1392" t="s">
        <v>995</v>
      </c>
      <c r="D1392" s="29">
        <f>VALUE(LEFT(C1392,LEN(C1392)-FIND("km/h",C1392)+1)/3.6)</f>
        <v>1.9444444444444444</v>
      </c>
    </row>
    <row r="1393" spans="1:4">
      <c r="A1393" s="23" t="s">
        <v>556</v>
      </c>
      <c r="B1393" t="s">
        <v>545</v>
      </c>
      <c r="C1393" t="s">
        <v>870</v>
      </c>
      <c r="D1393" s="26">
        <f>VALUE(LEFT(C1393,LEN(C1393)-7))</f>
        <v>337</v>
      </c>
    </row>
    <row r="1394" spans="1:4">
      <c r="A1394" s="23" t="s">
        <v>558</v>
      </c>
      <c r="B1394" t="s">
        <v>545</v>
      </c>
      <c r="C1394" t="s">
        <v>572</v>
      </c>
      <c r="D1394" s="29">
        <f>VALUE(LEFT(C1394,LEN(C1394)-3))</f>
        <v>7</v>
      </c>
    </row>
    <row r="1395" spans="1:4">
      <c r="A1395" s="23" t="s">
        <v>560</v>
      </c>
      <c r="B1395" t="s">
        <v>545</v>
      </c>
      <c r="C1395" t="s">
        <v>1339</v>
      </c>
      <c r="D1395" s="29">
        <f>VALUE(LEFT(C1395,LEN(C1395)-3))</f>
        <v>595.5</v>
      </c>
    </row>
    <row r="1396" spans="1:4">
      <c r="A1396" s="23" t="s">
        <v>562</v>
      </c>
      <c r="B1396" t="s">
        <v>545</v>
      </c>
      <c r="C1396" t="s">
        <v>604</v>
      </c>
      <c r="D1396" s="29">
        <f>VALUE(LEFT(C1396,LEN(C1396)-3))</f>
        <v>0</v>
      </c>
    </row>
    <row r="1398" spans="1:4">
      <c r="A1398" s="23" t="s">
        <v>544</v>
      </c>
      <c r="B1398" t="s">
        <v>545</v>
      </c>
      <c r="C1398" t="s">
        <v>1348</v>
      </c>
      <c r="D1398" s="29">
        <f>VALUE(LEFT(C1398,LEN(C1398)-2))</f>
        <v>6.6</v>
      </c>
    </row>
    <row r="1399" spans="1:4">
      <c r="A1399" s="23" t="s">
        <v>547</v>
      </c>
      <c r="B1399" t="s">
        <v>545</v>
      </c>
      <c r="C1399" s="24">
        <v>0.77</v>
      </c>
      <c r="D1399" s="27">
        <f>VALUE(C1399*100)</f>
        <v>77</v>
      </c>
    </row>
    <row r="1400" spans="1:4">
      <c r="A1400" s="23" t="s">
        <v>548</v>
      </c>
      <c r="B1400" t="s">
        <v>545</v>
      </c>
      <c r="C1400" t="s">
        <v>1345</v>
      </c>
      <c r="D1400" s="29">
        <f>VALUE(LEFT(C1400,LEN(C1400)-2))</f>
        <v>2.2999999999999998</v>
      </c>
    </row>
    <row r="1401" spans="1:4">
      <c r="A1401" s="23" t="s">
        <v>550</v>
      </c>
      <c r="B1401" t="s">
        <v>545</v>
      </c>
      <c r="C1401" t="s">
        <v>999</v>
      </c>
      <c r="D1401" s="28">
        <f>VALUE(LEFT(C1401,LEN(C1401)-4))</f>
        <v>1017.3</v>
      </c>
    </row>
    <row r="1402" spans="1:4">
      <c r="A1402" s="23" t="s">
        <v>552</v>
      </c>
      <c r="B1402" t="s">
        <v>545</v>
      </c>
      <c r="C1402" t="s">
        <v>1129</v>
      </c>
      <c r="D1402" s="29">
        <f>VALUE(LEFT(C1402,LEN(C1402)-FIND("km/h",C1402)+1)/3.6)</f>
        <v>0.52777777777777779</v>
      </c>
    </row>
    <row r="1403" spans="1:4">
      <c r="A1403" s="23" t="s">
        <v>554</v>
      </c>
      <c r="B1403" t="s">
        <v>545</v>
      </c>
      <c r="C1403" t="s">
        <v>635</v>
      </c>
      <c r="D1403" s="29">
        <f>VALUE(LEFT(C1403,LEN(C1403)-FIND("km/h",C1403)+1)/3.6)</f>
        <v>0.80555555555555547</v>
      </c>
    </row>
    <row r="1404" spans="1:4">
      <c r="A1404" s="23" t="s">
        <v>556</v>
      </c>
      <c r="B1404" t="s">
        <v>545</v>
      </c>
      <c r="C1404" t="s">
        <v>959</v>
      </c>
      <c r="D1404" s="26">
        <f>VALUE(LEFT(C1404,LEN(C1404)-7))</f>
        <v>336</v>
      </c>
    </row>
    <row r="1405" spans="1:4">
      <c r="A1405" s="23" t="s">
        <v>558</v>
      </c>
      <c r="B1405" t="s">
        <v>545</v>
      </c>
      <c r="C1405" t="s">
        <v>572</v>
      </c>
      <c r="D1405" s="29">
        <f>VALUE(LEFT(C1405,LEN(C1405)-3))</f>
        <v>7</v>
      </c>
    </row>
    <row r="1406" spans="1:4">
      <c r="A1406" s="23" t="s">
        <v>560</v>
      </c>
      <c r="B1406" t="s">
        <v>545</v>
      </c>
      <c r="C1406" t="s">
        <v>1339</v>
      </c>
      <c r="D1406" s="29">
        <f>VALUE(LEFT(C1406,LEN(C1406)-3))</f>
        <v>595.5</v>
      </c>
    </row>
    <row r="1407" spans="1:4">
      <c r="A1407" s="23" t="s">
        <v>562</v>
      </c>
      <c r="B1407" t="s">
        <v>545</v>
      </c>
      <c r="C1407" t="s">
        <v>604</v>
      </c>
      <c r="D1407" s="29">
        <f>VALUE(LEFT(C1407,LEN(C1407)-3))</f>
        <v>0</v>
      </c>
    </row>
    <row r="1409" spans="1:4">
      <c r="A1409" s="23" t="s">
        <v>544</v>
      </c>
      <c r="B1409" t="s">
        <v>545</v>
      </c>
      <c r="C1409" t="s">
        <v>882</v>
      </c>
      <c r="D1409" s="29">
        <f>VALUE(LEFT(C1409,LEN(C1409)-2))</f>
        <v>7.8</v>
      </c>
    </row>
    <row r="1410" spans="1:4">
      <c r="A1410" s="23" t="s">
        <v>547</v>
      </c>
      <c r="B1410" t="s">
        <v>545</v>
      </c>
      <c r="C1410" s="24">
        <v>0.81</v>
      </c>
      <c r="D1410" s="27">
        <f>VALUE(C1410*100)</f>
        <v>81</v>
      </c>
    </row>
    <row r="1411" spans="1:4">
      <c r="A1411" s="23" t="s">
        <v>548</v>
      </c>
      <c r="B1411" t="s">
        <v>545</v>
      </c>
      <c r="C1411" t="s">
        <v>703</v>
      </c>
      <c r="D1411" s="29">
        <f>VALUE(LEFT(C1411,LEN(C1411)-2))</f>
        <v>4.5</v>
      </c>
    </row>
    <row r="1412" spans="1:4">
      <c r="A1412" s="23" t="s">
        <v>550</v>
      </c>
      <c r="B1412" t="s">
        <v>545</v>
      </c>
      <c r="C1412" t="s">
        <v>788</v>
      </c>
      <c r="D1412" s="28">
        <f>VALUE(LEFT(C1412,LEN(C1412)-4))</f>
        <v>1013.3</v>
      </c>
    </row>
    <row r="1413" spans="1:4">
      <c r="A1413" s="23" t="s">
        <v>552</v>
      </c>
      <c r="B1413" t="s">
        <v>545</v>
      </c>
      <c r="C1413" t="s">
        <v>1349</v>
      </c>
      <c r="D1413" s="29">
        <f>VALUE(LEFT(C1413,LEN(C1413)-FIND("km/h",C1413)+1)/3.6)</f>
        <v>0.3611111111111111</v>
      </c>
    </row>
    <row r="1414" spans="1:4">
      <c r="A1414" s="23" t="s">
        <v>554</v>
      </c>
      <c r="B1414" t="s">
        <v>545</v>
      </c>
      <c r="C1414" t="s">
        <v>807</v>
      </c>
      <c r="D1414" s="29">
        <f>VALUE(LEFT(C1414,LEN(C1414)-FIND("km/h",C1414)+1)/3.6)</f>
        <v>0.75</v>
      </c>
    </row>
    <row r="1415" spans="1:4">
      <c r="A1415" s="23" t="s">
        <v>556</v>
      </c>
      <c r="B1415" t="s">
        <v>545</v>
      </c>
      <c r="C1415" t="s">
        <v>1130</v>
      </c>
      <c r="D1415" s="26">
        <f>VALUE(LEFT(C1415,LEN(C1415)-7))</f>
        <v>129</v>
      </c>
    </row>
    <row r="1416" spans="1:4">
      <c r="A1416" s="23" t="s">
        <v>558</v>
      </c>
      <c r="B1416" t="s">
        <v>545</v>
      </c>
      <c r="C1416" t="s">
        <v>572</v>
      </c>
      <c r="D1416" s="29">
        <f>VALUE(LEFT(C1416,LEN(C1416)-3))</f>
        <v>7</v>
      </c>
    </row>
    <row r="1417" spans="1:4">
      <c r="A1417" s="23" t="s">
        <v>560</v>
      </c>
      <c r="B1417" t="s">
        <v>545</v>
      </c>
      <c r="C1417" t="s">
        <v>1339</v>
      </c>
      <c r="D1417" s="29">
        <f>VALUE(LEFT(C1417,LEN(C1417)-3))</f>
        <v>595.5</v>
      </c>
    </row>
    <row r="1418" spans="1:4">
      <c r="A1418" s="23" t="s">
        <v>562</v>
      </c>
      <c r="B1418" t="s">
        <v>545</v>
      </c>
      <c r="C1418" t="s">
        <v>604</v>
      </c>
      <c r="D1418" s="29">
        <f>VALUE(LEFT(C1418,LEN(C1418)-3))</f>
        <v>0</v>
      </c>
    </row>
    <row r="1420" spans="1:4">
      <c r="A1420" s="23" t="s">
        <v>544</v>
      </c>
      <c r="B1420" t="s">
        <v>545</v>
      </c>
      <c r="C1420" t="s">
        <v>1275</v>
      </c>
      <c r="D1420" s="29">
        <f>VALUE(LEFT(C1420,LEN(C1420)-2))</f>
        <v>10.1</v>
      </c>
    </row>
    <row r="1421" spans="1:4">
      <c r="A1421" s="23" t="s">
        <v>547</v>
      </c>
      <c r="B1421" t="s">
        <v>545</v>
      </c>
      <c r="C1421" s="24">
        <v>0.91</v>
      </c>
      <c r="D1421" s="27">
        <f>VALUE(C1421*100)</f>
        <v>91</v>
      </c>
    </row>
    <row r="1422" spans="1:4">
      <c r="A1422" s="23" t="s">
        <v>548</v>
      </c>
      <c r="B1422" t="s">
        <v>545</v>
      </c>
      <c r="C1422" t="s">
        <v>1131</v>
      </c>
      <c r="D1422" s="29">
        <f>VALUE(LEFT(C1422,LEN(C1422)-2))</f>
        <v>8.6</v>
      </c>
    </row>
    <row r="1423" spans="1:4">
      <c r="A1423" s="23" t="s">
        <v>550</v>
      </c>
      <c r="B1423" t="s">
        <v>545</v>
      </c>
      <c r="C1423" t="s">
        <v>1350</v>
      </c>
      <c r="D1423" s="28">
        <f>VALUE(LEFT(C1423,LEN(C1423)-4))</f>
        <v>1008.1</v>
      </c>
    </row>
    <row r="1424" spans="1:4">
      <c r="A1424" s="23" t="s">
        <v>552</v>
      </c>
      <c r="B1424" t="s">
        <v>545</v>
      </c>
      <c r="C1424" t="s">
        <v>795</v>
      </c>
      <c r="D1424" s="29">
        <f>VALUE(LEFT(C1424,LEN(C1424)-FIND("km/h",C1424)+1)/3.6)</f>
        <v>1.6111111111111109</v>
      </c>
    </row>
    <row r="1425" spans="1:4">
      <c r="A1425" s="23" t="s">
        <v>554</v>
      </c>
      <c r="B1425" t="s">
        <v>545</v>
      </c>
      <c r="C1425" t="s">
        <v>843</v>
      </c>
      <c r="D1425" s="29">
        <f>VALUE(LEFT(C1425,LEN(C1425)-FIND("km/h",C1425)+1)/3.6)</f>
        <v>2.3055555555555558</v>
      </c>
    </row>
    <row r="1426" spans="1:4">
      <c r="A1426" s="23" t="s">
        <v>556</v>
      </c>
      <c r="B1426" t="s">
        <v>545</v>
      </c>
      <c r="C1426" t="s">
        <v>1351</v>
      </c>
      <c r="D1426" s="26">
        <f>VALUE(LEFT(C1426,LEN(C1426)-7))</f>
        <v>84</v>
      </c>
    </row>
    <row r="1427" spans="1:4">
      <c r="A1427" s="23" t="s">
        <v>558</v>
      </c>
      <c r="B1427" t="s">
        <v>545</v>
      </c>
      <c r="C1427" t="s">
        <v>1352</v>
      </c>
      <c r="D1427" s="29">
        <f>VALUE(LEFT(C1427,LEN(C1427)-3))</f>
        <v>16</v>
      </c>
    </row>
    <row r="1428" spans="1:4">
      <c r="A1428" s="23" t="s">
        <v>560</v>
      </c>
      <c r="B1428" t="s">
        <v>545</v>
      </c>
      <c r="C1428" t="s">
        <v>1232</v>
      </c>
      <c r="D1428" s="29">
        <f>VALUE(LEFT(C1428,LEN(C1428)-3))</f>
        <v>604.5</v>
      </c>
    </row>
    <row r="1429" spans="1:4">
      <c r="A1429" s="23" t="s">
        <v>562</v>
      </c>
      <c r="B1429" t="s">
        <v>545</v>
      </c>
      <c r="C1429" t="s">
        <v>1108</v>
      </c>
      <c r="D1429" s="29">
        <f>VALUE(LEFT(C1429,LEN(C1429)-3))</f>
        <v>9</v>
      </c>
    </row>
    <row r="1431" spans="1:4">
      <c r="A1431" s="23" t="s">
        <v>544</v>
      </c>
      <c r="B1431" t="s">
        <v>545</v>
      </c>
      <c r="C1431" t="s">
        <v>1077</v>
      </c>
      <c r="D1431" s="29">
        <f>VALUE(LEFT(C1431,LEN(C1431)-2))</f>
        <v>8.4</v>
      </c>
    </row>
    <row r="1432" spans="1:4">
      <c r="A1432" s="23" t="s">
        <v>547</v>
      </c>
      <c r="B1432" t="s">
        <v>545</v>
      </c>
      <c r="C1432" s="24">
        <v>0.69</v>
      </c>
      <c r="D1432" s="27">
        <f>VALUE(C1432*100)</f>
        <v>69</v>
      </c>
    </row>
    <row r="1433" spans="1:4">
      <c r="A1433" s="23" t="s">
        <v>548</v>
      </c>
      <c r="B1433" t="s">
        <v>545</v>
      </c>
      <c r="C1433" t="s">
        <v>622</v>
      </c>
      <c r="D1433" s="29">
        <f>VALUE(LEFT(C1433,LEN(C1433)-2))</f>
        <v>2.6</v>
      </c>
    </row>
    <row r="1434" spans="1:4">
      <c r="A1434" s="23" t="s">
        <v>550</v>
      </c>
      <c r="B1434" t="s">
        <v>545</v>
      </c>
      <c r="C1434" t="s">
        <v>1177</v>
      </c>
      <c r="D1434" s="28">
        <f>VALUE(LEFT(C1434,LEN(C1434)-4))</f>
        <v>1010.8</v>
      </c>
    </row>
    <row r="1435" spans="1:4">
      <c r="A1435" s="23" t="s">
        <v>552</v>
      </c>
      <c r="B1435" t="s">
        <v>545</v>
      </c>
      <c r="C1435" t="s">
        <v>630</v>
      </c>
      <c r="D1435" s="29">
        <f>VALUE(LEFT(C1435,LEN(C1435)-FIND("km/h",C1435)+1)/3.6)</f>
        <v>1.6666666666666665</v>
      </c>
    </row>
    <row r="1436" spans="1:4">
      <c r="A1436" s="23" t="s">
        <v>554</v>
      </c>
      <c r="B1436" t="s">
        <v>545</v>
      </c>
      <c r="C1436" t="s">
        <v>1353</v>
      </c>
      <c r="D1436" s="29">
        <f>VALUE(LEFT(C1436,LEN(C1436)-FIND("km/h",C1436)+1)/3.6)</f>
        <v>2.3333333333333335</v>
      </c>
    </row>
    <row r="1437" spans="1:4">
      <c r="A1437" s="23" t="s">
        <v>556</v>
      </c>
      <c r="B1437" t="s">
        <v>545</v>
      </c>
      <c r="C1437" t="s">
        <v>1354</v>
      </c>
      <c r="D1437" s="26">
        <f>VALUE(LEFT(C1437,LEN(C1437)-7))</f>
        <v>80</v>
      </c>
    </row>
    <row r="1438" spans="1:4">
      <c r="A1438" s="23" t="s">
        <v>558</v>
      </c>
      <c r="B1438" t="s">
        <v>545</v>
      </c>
      <c r="C1438" t="s">
        <v>1352</v>
      </c>
      <c r="D1438" s="29">
        <f>VALUE(LEFT(C1438,LEN(C1438)-3))</f>
        <v>16</v>
      </c>
    </row>
    <row r="1439" spans="1:4">
      <c r="A1439" s="23" t="s">
        <v>560</v>
      </c>
      <c r="B1439" t="s">
        <v>545</v>
      </c>
      <c r="C1439" t="s">
        <v>1232</v>
      </c>
      <c r="D1439" s="29">
        <f>VALUE(LEFT(C1439,LEN(C1439)-3))</f>
        <v>604.5</v>
      </c>
    </row>
    <row r="1440" spans="1:4">
      <c r="A1440" s="23" t="s">
        <v>562</v>
      </c>
      <c r="B1440" t="s">
        <v>545</v>
      </c>
      <c r="C1440" t="s">
        <v>604</v>
      </c>
      <c r="D1440" s="29">
        <f>VALUE(LEFT(C1440,LEN(C1440)-3))</f>
        <v>0</v>
      </c>
    </row>
    <row r="1442" spans="1:4">
      <c r="A1442" s="23" t="s">
        <v>544</v>
      </c>
      <c r="B1442" t="s">
        <v>545</v>
      </c>
      <c r="C1442" t="s">
        <v>1138</v>
      </c>
      <c r="D1442" s="29">
        <f>VALUE(LEFT(C1442,LEN(C1442)-2))</f>
        <v>6.1</v>
      </c>
    </row>
    <row r="1443" spans="1:4">
      <c r="A1443" s="23" t="s">
        <v>547</v>
      </c>
      <c r="B1443" t="s">
        <v>545</v>
      </c>
      <c r="C1443" s="24">
        <v>0.75</v>
      </c>
      <c r="D1443" s="27">
        <f>VALUE(C1443*100)</f>
        <v>75</v>
      </c>
    </row>
    <row r="1444" spans="1:4">
      <c r="A1444" s="23" t="s">
        <v>548</v>
      </c>
      <c r="B1444" t="s">
        <v>545</v>
      </c>
      <c r="C1444" t="s">
        <v>1246</v>
      </c>
      <c r="D1444" s="29">
        <f>VALUE(LEFT(C1444,LEN(C1444)-2))</f>
        <v>1.3</v>
      </c>
    </row>
    <row r="1445" spans="1:4">
      <c r="A1445" s="23" t="s">
        <v>550</v>
      </c>
      <c r="B1445" t="s">
        <v>545</v>
      </c>
      <c r="C1445" t="s">
        <v>872</v>
      </c>
      <c r="D1445" s="28">
        <f>VALUE(LEFT(C1445,LEN(C1445)-4))</f>
        <v>1015.4</v>
      </c>
    </row>
    <row r="1446" spans="1:4">
      <c r="A1446" s="23" t="s">
        <v>552</v>
      </c>
      <c r="B1446" t="s">
        <v>545</v>
      </c>
      <c r="C1446" t="s">
        <v>645</v>
      </c>
      <c r="D1446" s="29">
        <f>VALUE(LEFT(C1446,LEN(C1446)-FIND("km/h",C1446)+1)/3.6)</f>
        <v>1</v>
      </c>
    </row>
    <row r="1447" spans="1:4">
      <c r="A1447" s="23" t="s">
        <v>554</v>
      </c>
      <c r="B1447" t="s">
        <v>545</v>
      </c>
      <c r="C1447" t="s">
        <v>817</v>
      </c>
      <c r="D1447" s="29">
        <f>VALUE(LEFT(C1447,LEN(C1447)-FIND("km/h",C1447)+1)/3.6)</f>
        <v>1.3611111111111112</v>
      </c>
    </row>
    <row r="1448" spans="1:4">
      <c r="A1448" s="23" t="s">
        <v>556</v>
      </c>
      <c r="B1448" t="s">
        <v>545</v>
      </c>
      <c r="C1448" t="s">
        <v>1355</v>
      </c>
      <c r="D1448" s="26">
        <f>VALUE(LEFT(C1448,LEN(C1448)-7))</f>
        <v>5</v>
      </c>
    </row>
    <row r="1449" spans="1:4">
      <c r="A1449" s="23" t="s">
        <v>558</v>
      </c>
      <c r="B1449" t="s">
        <v>545</v>
      </c>
      <c r="C1449" t="s">
        <v>1352</v>
      </c>
      <c r="D1449" s="29">
        <f>VALUE(LEFT(C1449,LEN(C1449)-3))</f>
        <v>16</v>
      </c>
    </row>
    <row r="1450" spans="1:4">
      <c r="A1450" s="23" t="s">
        <v>560</v>
      </c>
      <c r="B1450" t="s">
        <v>545</v>
      </c>
      <c r="C1450" t="s">
        <v>1232</v>
      </c>
      <c r="D1450" s="29">
        <f>VALUE(LEFT(C1450,LEN(C1450)-3))</f>
        <v>604.5</v>
      </c>
    </row>
    <row r="1451" spans="1:4">
      <c r="A1451" s="23" t="s">
        <v>562</v>
      </c>
      <c r="B1451" t="s">
        <v>545</v>
      </c>
      <c r="C1451" t="s">
        <v>604</v>
      </c>
      <c r="D1451" s="29">
        <f>VALUE(LEFT(C1451,LEN(C1451)-3))</f>
        <v>0</v>
      </c>
    </row>
    <row r="1453" spans="1:4">
      <c r="A1453" s="23" t="s">
        <v>544</v>
      </c>
      <c r="B1453" t="s">
        <v>545</v>
      </c>
      <c r="C1453" t="s">
        <v>852</v>
      </c>
      <c r="D1453" s="29">
        <f>VALUE(LEFT(C1453,LEN(C1453)-2))</f>
        <v>6.7</v>
      </c>
    </row>
    <row r="1454" spans="1:4">
      <c r="A1454" s="23" t="s">
        <v>547</v>
      </c>
      <c r="B1454" t="s">
        <v>545</v>
      </c>
      <c r="C1454" s="24">
        <v>0.71</v>
      </c>
      <c r="D1454" s="27">
        <f>VALUE(C1454*100)</f>
        <v>71</v>
      </c>
    </row>
    <row r="1455" spans="1:4">
      <c r="A1455" s="23" t="s">
        <v>548</v>
      </c>
      <c r="B1455" t="s">
        <v>545</v>
      </c>
      <c r="C1455" t="s">
        <v>1356</v>
      </c>
      <c r="D1455" s="29">
        <f>VALUE(LEFT(C1455,LEN(C1455)-2))</f>
        <v>1.1000000000000001</v>
      </c>
    </row>
    <row r="1456" spans="1:4">
      <c r="A1456" s="23" t="s">
        <v>550</v>
      </c>
      <c r="B1456" t="s">
        <v>545</v>
      </c>
      <c r="C1456" t="s">
        <v>1163</v>
      </c>
      <c r="D1456" s="28">
        <f>VALUE(LEFT(C1456,LEN(C1456)-4))</f>
        <v>1019.7</v>
      </c>
    </row>
    <row r="1457" spans="1:4">
      <c r="A1457" s="23" t="s">
        <v>552</v>
      </c>
      <c r="B1457" t="s">
        <v>545</v>
      </c>
      <c r="C1457" t="s">
        <v>1357</v>
      </c>
      <c r="D1457" s="29">
        <f>VALUE(LEFT(C1457,LEN(C1457)-FIND("km/h",C1457)+1)/3.6)</f>
        <v>0.97222222222222221</v>
      </c>
    </row>
    <row r="1458" spans="1:4">
      <c r="A1458" s="23" t="s">
        <v>554</v>
      </c>
      <c r="B1458" t="s">
        <v>545</v>
      </c>
      <c r="C1458" t="s">
        <v>830</v>
      </c>
      <c r="D1458" s="29">
        <f>VALUE(LEFT(C1458,LEN(C1458)-FIND("km/h",C1458)+1)/3.6)</f>
        <v>1.5</v>
      </c>
    </row>
    <row r="1459" spans="1:4">
      <c r="A1459" s="23" t="s">
        <v>556</v>
      </c>
      <c r="B1459" t="s">
        <v>545</v>
      </c>
      <c r="C1459" t="s">
        <v>1197</v>
      </c>
      <c r="D1459" s="26">
        <f>VALUE(LEFT(C1459,LEN(C1459)-7))</f>
        <v>358</v>
      </c>
    </row>
    <row r="1460" spans="1:4">
      <c r="A1460" s="23" t="s">
        <v>558</v>
      </c>
      <c r="B1460" t="s">
        <v>545</v>
      </c>
      <c r="C1460" t="s">
        <v>1352</v>
      </c>
      <c r="D1460" s="29">
        <f>VALUE(LEFT(C1460,LEN(C1460)-3))</f>
        <v>16</v>
      </c>
    </row>
    <row r="1461" spans="1:4">
      <c r="A1461" s="23" t="s">
        <v>560</v>
      </c>
      <c r="B1461" t="s">
        <v>545</v>
      </c>
      <c r="C1461" t="s">
        <v>1232</v>
      </c>
      <c r="D1461" s="29">
        <f>VALUE(LEFT(C1461,LEN(C1461)-3))</f>
        <v>604.5</v>
      </c>
    </row>
    <row r="1462" spans="1:4">
      <c r="A1462" s="23" t="s">
        <v>562</v>
      </c>
      <c r="B1462" t="s">
        <v>545</v>
      </c>
      <c r="C1462" t="s">
        <v>604</v>
      </c>
      <c r="D1462" s="29">
        <f>VALUE(LEFT(C1462,LEN(C1462)-3))</f>
        <v>0</v>
      </c>
    </row>
    <row r="1464" spans="1:4">
      <c r="A1464" s="23" t="s">
        <v>544</v>
      </c>
      <c r="B1464" t="s">
        <v>545</v>
      </c>
      <c r="C1464" t="s">
        <v>612</v>
      </c>
      <c r="D1464" s="29">
        <f>VALUE(LEFT(C1464,LEN(C1464)-2))</f>
        <v>6.4</v>
      </c>
    </row>
    <row r="1465" spans="1:4">
      <c r="A1465" s="23" t="s">
        <v>547</v>
      </c>
      <c r="B1465" t="s">
        <v>545</v>
      </c>
      <c r="C1465" s="24">
        <v>0.69</v>
      </c>
      <c r="D1465" s="27">
        <f>VALUE(C1465*100)</f>
        <v>69</v>
      </c>
    </row>
    <row r="1466" spans="1:4">
      <c r="A1466" s="23" t="s">
        <v>548</v>
      </c>
      <c r="B1466" t="s">
        <v>545</v>
      </c>
      <c r="C1466" t="s">
        <v>1358</v>
      </c>
      <c r="D1466" s="29">
        <f>VALUE(LEFT(C1466,LEN(C1466)-2))</f>
        <v>0.3</v>
      </c>
    </row>
    <row r="1467" spans="1:4">
      <c r="A1467" s="23" t="s">
        <v>550</v>
      </c>
      <c r="B1467" t="s">
        <v>545</v>
      </c>
      <c r="C1467" t="s">
        <v>1191</v>
      </c>
      <c r="D1467" s="28">
        <f>VALUE(LEFT(C1467,LEN(C1467)-4))</f>
        <v>1019.2</v>
      </c>
    </row>
    <row r="1468" spans="1:4">
      <c r="A1468" s="23" t="s">
        <v>552</v>
      </c>
      <c r="B1468" t="s">
        <v>545</v>
      </c>
      <c r="C1468" t="s">
        <v>776</v>
      </c>
      <c r="D1468" s="29">
        <f>VALUE(LEFT(C1468,LEN(C1468)-FIND("km/h",C1468)+1)/3.6)</f>
        <v>0.77777777777777768</v>
      </c>
    </row>
    <row r="1469" spans="1:4">
      <c r="A1469" s="23" t="s">
        <v>554</v>
      </c>
      <c r="B1469" t="s">
        <v>545</v>
      </c>
      <c r="C1469" t="s">
        <v>777</v>
      </c>
      <c r="D1469" s="29">
        <f>VALUE(LEFT(C1469,LEN(C1469)-FIND("km/h",C1469)+1)/3.6)</f>
        <v>1.1388888888888888</v>
      </c>
    </row>
    <row r="1470" spans="1:4">
      <c r="A1470" s="23" t="s">
        <v>556</v>
      </c>
      <c r="B1470" t="s">
        <v>545</v>
      </c>
      <c r="C1470" t="s">
        <v>1359</v>
      </c>
      <c r="D1470" s="26">
        <f>VALUE(LEFT(C1470,LEN(C1470)-7))</f>
        <v>62</v>
      </c>
    </row>
    <row r="1471" spans="1:4">
      <c r="A1471" s="23" t="s">
        <v>558</v>
      </c>
      <c r="B1471" t="s">
        <v>545</v>
      </c>
      <c r="C1471" t="s">
        <v>1352</v>
      </c>
      <c r="D1471" s="29">
        <f>VALUE(LEFT(C1471,LEN(C1471)-3))</f>
        <v>16</v>
      </c>
    </row>
    <row r="1472" spans="1:4">
      <c r="A1472" s="23" t="s">
        <v>560</v>
      </c>
      <c r="B1472" t="s">
        <v>545</v>
      </c>
      <c r="C1472" t="s">
        <v>1232</v>
      </c>
      <c r="D1472" s="29">
        <f>VALUE(LEFT(C1472,LEN(C1472)-3))</f>
        <v>604.5</v>
      </c>
    </row>
    <row r="1473" spans="1:4">
      <c r="A1473" s="23" t="s">
        <v>562</v>
      </c>
      <c r="B1473" t="s">
        <v>545</v>
      </c>
      <c r="C1473" t="s">
        <v>604</v>
      </c>
      <c r="D1473" s="29">
        <f>VALUE(LEFT(C1473,LEN(C1473)-3))</f>
        <v>0</v>
      </c>
    </row>
    <row r="1475" spans="1:4">
      <c r="A1475" s="23" t="s">
        <v>544</v>
      </c>
      <c r="B1475" t="s">
        <v>545</v>
      </c>
      <c r="C1475" t="s">
        <v>612</v>
      </c>
      <c r="D1475" s="29">
        <f>VALUE(LEFT(C1475,LEN(C1475)-2))</f>
        <v>6.4</v>
      </c>
    </row>
    <row r="1476" spans="1:4">
      <c r="A1476" s="23" t="s">
        <v>547</v>
      </c>
      <c r="B1476" t="s">
        <v>545</v>
      </c>
      <c r="C1476" s="24">
        <v>0.61</v>
      </c>
      <c r="D1476" s="27">
        <f>VALUE(C1476*100)</f>
        <v>61</v>
      </c>
    </row>
    <row r="1477" spans="1:4">
      <c r="A1477" s="23" t="s">
        <v>548</v>
      </c>
      <c r="B1477" t="s">
        <v>545</v>
      </c>
      <c r="C1477" t="s">
        <v>1360</v>
      </c>
      <c r="D1477" s="29">
        <f>VALUE(LEFT(C1477,LEN(C1477)-2))</f>
        <v>-1.1000000000000001</v>
      </c>
    </row>
    <row r="1478" spans="1:4">
      <c r="A1478" s="23" t="s">
        <v>550</v>
      </c>
      <c r="B1478" t="s">
        <v>545</v>
      </c>
      <c r="C1478" t="s">
        <v>672</v>
      </c>
      <c r="D1478" s="28">
        <f>VALUE(LEFT(C1478,LEN(C1478)-4))</f>
        <v>1018</v>
      </c>
    </row>
    <row r="1479" spans="1:4">
      <c r="A1479" s="23" t="s">
        <v>552</v>
      </c>
      <c r="B1479" t="s">
        <v>545</v>
      </c>
      <c r="C1479" t="s">
        <v>795</v>
      </c>
      <c r="D1479" s="29">
        <f>VALUE(LEFT(C1479,LEN(C1479)-FIND("km/h",C1479)+1)/3.6)</f>
        <v>1.6111111111111109</v>
      </c>
    </row>
    <row r="1480" spans="1:4">
      <c r="A1480" s="23" t="s">
        <v>554</v>
      </c>
      <c r="B1480" t="s">
        <v>545</v>
      </c>
      <c r="C1480" t="s">
        <v>953</v>
      </c>
      <c r="D1480" s="29">
        <f>VALUE(LEFT(C1480,LEN(C1480)-FIND("km/h",C1480)+1)/3.6)</f>
        <v>2.1666666666666665</v>
      </c>
    </row>
    <row r="1481" spans="1:4">
      <c r="A1481" s="23" t="s">
        <v>556</v>
      </c>
      <c r="B1481" t="s">
        <v>545</v>
      </c>
      <c r="C1481" t="s">
        <v>1361</v>
      </c>
      <c r="D1481" s="26">
        <f>VALUE(LEFT(C1481,LEN(C1481)-7))</f>
        <v>76</v>
      </c>
    </row>
    <row r="1482" spans="1:4">
      <c r="A1482" s="23" t="s">
        <v>558</v>
      </c>
      <c r="B1482" t="s">
        <v>545</v>
      </c>
      <c r="C1482" t="s">
        <v>1352</v>
      </c>
      <c r="D1482" s="29">
        <f>VALUE(LEFT(C1482,LEN(C1482)-3))</f>
        <v>16</v>
      </c>
    </row>
    <row r="1483" spans="1:4">
      <c r="A1483" s="23" t="s">
        <v>560</v>
      </c>
      <c r="B1483" t="s">
        <v>545</v>
      </c>
      <c r="C1483" t="s">
        <v>1232</v>
      </c>
      <c r="D1483" s="29">
        <f>VALUE(LEFT(C1483,LEN(C1483)-3))</f>
        <v>604.5</v>
      </c>
    </row>
    <row r="1484" spans="1:4">
      <c r="A1484" s="23" t="s">
        <v>562</v>
      </c>
      <c r="B1484" t="s">
        <v>545</v>
      </c>
      <c r="C1484" t="s">
        <v>604</v>
      </c>
      <c r="D1484" s="29">
        <f>VALUE(LEFT(C1484,LEN(C1484)-3))</f>
        <v>0</v>
      </c>
    </row>
    <row r="1486" spans="1:4">
      <c r="A1486" s="23" t="s">
        <v>544</v>
      </c>
      <c r="B1486" t="s">
        <v>545</v>
      </c>
      <c r="C1486" t="s">
        <v>690</v>
      </c>
      <c r="D1486" s="29">
        <f>VALUE(LEFT(C1486,LEN(C1486)-2))</f>
        <v>6.9</v>
      </c>
    </row>
    <row r="1487" spans="1:4">
      <c r="A1487" s="23" t="s">
        <v>547</v>
      </c>
      <c r="B1487" t="s">
        <v>545</v>
      </c>
      <c r="C1487" s="24">
        <v>0.6</v>
      </c>
      <c r="D1487" s="27">
        <f>VALUE(C1487*100)</f>
        <v>60</v>
      </c>
    </row>
    <row r="1488" spans="1:4">
      <c r="A1488" s="23" t="s">
        <v>548</v>
      </c>
      <c r="B1488" t="s">
        <v>545</v>
      </c>
      <c r="C1488" t="s">
        <v>1362</v>
      </c>
      <c r="D1488" s="29">
        <f>VALUE(LEFT(C1488,LEN(C1488)-2))</f>
        <v>-1</v>
      </c>
    </row>
    <row r="1489" spans="1:4">
      <c r="A1489" s="23" t="s">
        <v>550</v>
      </c>
      <c r="B1489" t="s">
        <v>545</v>
      </c>
      <c r="C1489" t="s">
        <v>1363</v>
      </c>
      <c r="D1489" s="28">
        <f>VALUE(LEFT(C1489,LEN(C1489)-4))</f>
        <v>1019.9</v>
      </c>
    </row>
    <row r="1490" spans="1:4">
      <c r="A1490" s="23" t="s">
        <v>552</v>
      </c>
      <c r="B1490" t="s">
        <v>545</v>
      </c>
      <c r="C1490" t="s">
        <v>755</v>
      </c>
      <c r="D1490" s="29">
        <f>VALUE(LEFT(C1490,LEN(C1490)-FIND("km/h",C1490)+1)/3.6)</f>
        <v>2.1944444444444446</v>
      </c>
    </row>
    <row r="1491" spans="1:4">
      <c r="A1491" s="23" t="s">
        <v>554</v>
      </c>
      <c r="B1491" t="s">
        <v>545</v>
      </c>
      <c r="C1491" t="s">
        <v>1084</v>
      </c>
      <c r="D1491" s="29">
        <f>VALUE(LEFT(C1491,LEN(C1491)-FIND("km/h",C1491)+1)/3.6)</f>
        <v>2.9444444444444442</v>
      </c>
    </row>
    <row r="1492" spans="1:4">
      <c r="A1492" s="23" t="s">
        <v>556</v>
      </c>
      <c r="B1492" t="s">
        <v>545</v>
      </c>
      <c r="C1492" t="s">
        <v>1245</v>
      </c>
      <c r="D1492" s="26">
        <f>VALUE(LEFT(C1492,LEN(C1492)-7))</f>
        <v>77</v>
      </c>
    </row>
    <row r="1493" spans="1:4">
      <c r="A1493" s="23" t="s">
        <v>558</v>
      </c>
      <c r="B1493" t="s">
        <v>545</v>
      </c>
      <c r="C1493" t="s">
        <v>1352</v>
      </c>
      <c r="D1493" s="29">
        <f>VALUE(LEFT(C1493,LEN(C1493)-3))</f>
        <v>16</v>
      </c>
    </row>
    <row r="1494" spans="1:4">
      <c r="A1494" s="23" t="s">
        <v>560</v>
      </c>
      <c r="B1494" t="s">
        <v>545</v>
      </c>
      <c r="C1494" t="s">
        <v>1232</v>
      </c>
      <c r="D1494" s="29">
        <f>VALUE(LEFT(C1494,LEN(C1494)-3))</f>
        <v>604.5</v>
      </c>
    </row>
    <row r="1495" spans="1:4">
      <c r="A1495" s="23" t="s">
        <v>562</v>
      </c>
      <c r="B1495" t="s">
        <v>545</v>
      </c>
      <c r="C1495" t="s">
        <v>604</v>
      </c>
      <c r="D1495" s="29">
        <f>VALUE(LEFT(C1495,LEN(C1495)-3))</f>
        <v>0</v>
      </c>
    </row>
    <row r="1497" spans="1:4">
      <c r="A1497" s="23" t="s">
        <v>544</v>
      </c>
      <c r="B1497" t="s">
        <v>545</v>
      </c>
      <c r="C1497" t="s">
        <v>914</v>
      </c>
      <c r="D1497" s="29">
        <f>VALUE(LEFT(C1497,LEN(C1497)-2))</f>
        <v>7.7</v>
      </c>
    </row>
    <row r="1498" spans="1:4">
      <c r="A1498" s="23" t="s">
        <v>547</v>
      </c>
      <c r="B1498" t="s">
        <v>545</v>
      </c>
      <c r="C1498" s="24">
        <v>0.63</v>
      </c>
      <c r="D1498" s="27">
        <f>VALUE(C1498*100)</f>
        <v>63</v>
      </c>
    </row>
    <row r="1499" spans="1:4">
      <c r="A1499" s="23" t="s">
        <v>548</v>
      </c>
      <c r="B1499" t="s">
        <v>545</v>
      </c>
      <c r="C1499" t="s">
        <v>1364</v>
      </c>
      <c r="D1499" s="29">
        <f>VALUE(LEFT(C1499,LEN(C1499)-2))</f>
        <v>0.4</v>
      </c>
    </row>
    <row r="1500" spans="1:4">
      <c r="A1500" s="23" t="s">
        <v>550</v>
      </c>
      <c r="B1500" t="s">
        <v>545</v>
      </c>
      <c r="C1500" t="s">
        <v>1217</v>
      </c>
      <c r="D1500" s="28">
        <f>VALUE(LEFT(C1500,LEN(C1500)-4))</f>
        <v>1022.8</v>
      </c>
    </row>
    <row r="1501" spans="1:4">
      <c r="A1501" s="23" t="s">
        <v>552</v>
      </c>
      <c r="B1501" t="s">
        <v>545</v>
      </c>
      <c r="C1501" t="s">
        <v>601</v>
      </c>
      <c r="D1501" s="29">
        <f>VALUE(LEFT(C1501,LEN(C1501)-FIND("km/h",C1501)+1)/3.6)</f>
        <v>0.88888888888888895</v>
      </c>
    </row>
    <row r="1502" spans="1:4">
      <c r="A1502" s="23" t="s">
        <v>554</v>
      </c>
      <c r="B1502" t="s">
        <v>545</v>
      </c>
      <c r="C1502" t="s">
        <v>651</v>
      </c>
      <c r="D1502" s="29">
        <f>VALUE(LEFT(C1502,LEN(C1502)-FIND("km/h",C1502)+1)/3.6)</f>
        <v>1.2777777777777777</v>
      </c>
    </row>
    <row r="1503" spans="1:4">
      <c r="A1503" s="23" t="s">
        <v>556</v>
      </c>
      <c r="B1503" t="s">
        <v>545</v>
      </c>
      <c r="C1503" t="s">
        <v>1365</v>
      </c>
      <c r="D1503" s="26">
        <f>VALUE(LEFT(C1503,LEN(C1503)-7))</f>
        <v>43</v>
      </c>
    </row>
    <row r="1504" spans="1:4">
      <c r="A1504" s="23" t="s">
        <v>558</v>
      </c>
      <c r="B1504" t="s">
        <v>545</v>
      </c>
      <c r="C1504" t="s">
        <v>1352</v>
      </c>
      <c r="D1504" s="29">
        <f>VALUE(LEFT(C1504,LEN(C1504)-3))</f>
        <v>16</v>
      </c>
    </row>
    <row r="1505" spans="1:4">
      <c r="A1505" s="23" t="s">
        <v>560</v>
      </c>
      <c r="B1505" t="s">
        <v>545</v>
      </c>
      <c r="C1505" t="s">
        <v>1232</v>
      </c>
      <c r="D1505" s="29">
        <f>VALUE(LEFT(C1505,LEN(C1505)-3))</f>
        <v>604.5</v>
      </c>
    </row>
    <row r="1506" spans="1:4">
      <c r="A1506" s="23" t="s">
        <v>562</v>
      </c>
      <c r="B1506" t="s">
        <v>545</v>
      </c>
      <c r="C1506" t="s">
        <v>604</v>
      </c>
      <c r="D1506" s="29">
        <f>VALUE(LEFT(C1506,LEN(C1506)-3))</f>
        <v>0</v>
      </c>
    </row>
    <row r="1508" spans="1:4">
      <c r="A1508" s="23" t="s">
        <v>544</v>
      </c>
      <c r="B1508" t="s">
        <v>545</v>
      </c>
      <c r="C1508" t="s">
        <v>1056</v>
      </c>
      <c r="D1508" s="29">
        <f>VALUE(LEFT(C1508,LEN(C1508)-2))</f>
        <v>5.8</v>
      </c>
    </row>
    <row r="1509" spans="1:4">
      <c r="A1509" s="23" t="s">
        <v>547</v>
      </c>
      <c r="B1509" t="s">
        <v>545</v>
      </c>
      <c r="C1509" s="24">
        <v>0.75</v>
      </c>
      <c r="D1509" s="27">
        <f>VALUE(C1509*100)</f>
        <v>75</v>
      </c>
    </row>
    <row r="1510" spans="1:4">
      <c r="A1510" s="23" t="s">
        <v>548</v>
      </c>
      <c r="B1510" t="s">
        <v>545</v>
      </c>
      <c r="C1510" t="s">
        <v>1246</v>
      </c>
      <c r="D1510" s="29">
        <f>VALUE(LEFT(C1510,LEN(C1510)-2))</f>
        <v>1.3</v>
      </c>
    </row>
    <row r="1511" spans="1:4">
      <c r="A1511" s="23" t="s">
        <v>550</v>
      </c>
      <c r="B1511" t="s">
        <v>545</v>
      </c>
      <c r="C1511" t="s">
        <v>1278</v>
      </c>
      <c r="D1511" s="28">
        <f>VALUE(LEFT(C1511,LEN(C1511)-4))</f>
        <v>1018.3</v>
      </c>
    </row>
    <row r="1512" spans="1:4">
      <c r="A1512" s="23" t="s">
        <v>552</v>
      </c>
      <c r="B1512" t="s">
        <v>545</v>
      </c>
      <c r="C1512" t="s">
        <v>776</v>
      </c>
      <c r="D1512" s="29">
        <f>VALUE(LEFT(C1512,LEN(C1512)-FIND("km/h",C1512)+1)/3.6)</f>
        <v>0.77777777777777768</v>
      </c>
    </row>
    <row r="1513" spans="1:4">
      <c r="A1513" s="23" t="s">
        <v>554</v>
      </c>
      <c r="B1513" t="s">
        <v>545</v>
      </c>
      <c r="C1513" t="s">
        <v>777</v>
      </c>
      <c r="D1513" s="29">
        <f>VALUE(LEFT(C1513,LEN(C1513)-FIND("km/h",C1513)+1)/3.6)</f>
        <v>1.1388888888888888</v>
      </c>
    </row>
    <row r="1514" spans="1:4">
      <c r="A1514" s="23" t="s">
        <v>556</v>
      </c>
      <c r="B1514" t="s">
        <v>545</v>
      </c>
      <c r="C1514" t="s">
        <v>1366</v>
      </c>
      <c r="D1514" s="26">
        <f>VALUE(LEFT(C1514,LEN(C1514)-7))</f>
        <v>338</v>
      </c>
    </row>
    <row r="1515" spans="1:4">
      <c r="A1515" s="23" t="s">
        <v>558</v>
      </c>
      <c r="B1515" t="s">
        <v>545</v>
      </c>
      <c r="C1515" t="s">
        <v>1352</v>
      </c>
      <c r="D1515" s="29">
        <f>VALUE(LEFT(C1515,LEN(C1515)-3))</f>
        <v>16</v>
      </c>
    </row>
    <row r="1516" spans="1:4">
      <c r="A1516" s="23" t="s">
        <v>560</v>
      </c>
      <c r="B1516" t="s">
        <v>545</v>
      </c>
      <c r="C1516" t="s">
        <v>1232</v>
      </c>
      <c r="D1516" s="29">
        <f>VALUE(LEFT(C1516,LEN(C1516)-3))</f>
        <v>604.5</v>
      </c>
    </row>
    <row r="1517" spans="1:4">
      <c r="A1517" s="23" t="s">
        <v>562</v>
      </c>
      <c r="B1517" t="s">
        <v>545</v>
      </c>
      <c r="C1517" t="s">
        <v>604</v>
      </c>
      <c r="D1517" s="29">
        <f>VALUE(LEFT(C1517,LEN(C1517)-3))</f>
        <v>0</v>
      </c>
    </row>
    <row r="1518" spans="1:4" s="30" customFormat="1"/>
    <row r="1519" spans="1:4">
      <c r="A1519" s="23" t="s">
        <v>544</v>
      </c>
      <c r="B1519" t="s">
        <v>545</v>
      </c>
      <c r="C1519" t="s">
        <v>1154</v>
      </c>
      <c r="D1519" s="29">
        <f>VALUE(LEFT(C1519,LEN(C1519)-2))</f>
        <v>6</v>
      </c>
    </row>
    <row r="1520" spans="1:4">
      <c r="A1520" s="23" t="s">
        <v>547</v>
      </c>
      <c r="B1520" t="s">
        <v>545</v>
      </c>
      <c r="C1520" s="24">
        <v>0.69</v>
      </c>
      <c r="D1520" s="27">
        <f>VALUE(C1520*100)</f>
        <v>69</v>
      </c>
    </row>
    <row r="1521" spans="1:4">
      <c r="A1521" s="23" t="s">
        <v>548</v>
      </c>
      <c r="B1521" t="s">
        <v>545</v>
      </c>
      <c r="C1521" t="s">
        <v>1229</v>
      </c>
      <c r="D1521" s="29">
        <f>VALUE(LEFT(C1521,LEN(C1521)-2))</f>
        <v>-0.3</v>
      </c>
    </row>
    <row r="1522" spans="1:4">
      <c r="A1522" s="23" t="s">
        <v>550</v>
      </c>
      <c r="B1522" t="s">
        <v>545</v>
      </c>
      <c r="C1522" t="s">
        <v>1230</v>
      </c>
      <c r="D1522" s="28">
        <f>VALUE(LEFT(C1522,LEN(C1522)-4))</f>
        <v>1016.2</v>
      </c>
    </row>
    <row r="1523" spans="1:4">
      <c r="A1523" s="23" t="s">
        <v>552</v>
      </c>
      <c r="B1523" t="s">
        <v>545</v>
      </c>
      <c r="C1523" t="s">
        <v>1030</v>
      </c>
      <c r="D1523" s="29">
        <f>VALUE(LEFT(C1523,LEN(C1523)-FIND("km/h",C1523)+1)/3.6)</f>
        <v>0.66666666666666663</v>
      </c>
    </row>
    <row r="1524" spans="1:4">
      <c r="A1524" s="23" t="s">
        <v>554</v>
      </c>
      <c r="B1524" t="s">
        <v>545</v>
      </c>
      <c r="C1524" t="s">
        <v>645</v>
      </c>
      <c r="D1524" s="29">
        <f>VALUE(LEFT(C1524,LEN(C1524)-FIND("km/h",C1524)+1)/3.6)</f>
        <v>1</v>
      </c>
    </row>
    <row r="1525" spans="1:4">
      <c r="A1525" s="23" t="s">
        <v>556</v>
      </c>
      <c r="B1525" t="s">
        <v>545</v>
      </c>
      <c r="C1525" t="s">
        <v>1231</v>
      </c>
      <c r="D1525" s="26">
        <f>VALUE(LEFT(C1525,LEN(C1525)-7))</f>
        <v>96</v>
      </c>
    </row>
    <row r="1526" spans="1:4">
      <c r="A1526" s="23" t="s">
        <v>558</v>
      </c>
      <c r="B1526" t="s">
        <v>545</v>
      </c>
      <c r="C1526" t="s">
        <v>604</v>
      </c>
      <c r="D1526" s="29">
        <f>VALUE(LEFT(C1526,LEN(C1526)-3))</f>
        <v>0</v>
      </c>
    </row>
    <row r="1527" spans="1:4">
      <c r="A1527" s="23" t="s">
        <v>560</v>
      </c>
      <c r="B1527" t="s">
        <v>545</v>
      </c>
      <c r="C1527" t="s">
        <v>1232</v>
      </c>
      <c r="D1527" s="29">
        <f>VALUE(LEFT(C1527,LEN(C1527)-3))</f>
        <v>604.5</v>
      </c>
    </row>
    <row r="1528" spans="1:4">
      <c r="A1528" s="23" t="s">
        <v>562</v>
      </c>
      <c r="B1528" t="s">
        <v>545</v>
      </c>
      <c r="C1528" t="s">
        <v>604</v>
      </c>
      <c r="D1528" s="29">
        <f>VALUE(LEFT(C1528,LEN(C1528)-3))</f>
        <v>0</v>
      </c>
    </row>
    <row r="1530" spans="1:4">
      <c r="A1530" s="23" t="s">
        <v>544</v>
      </c>
      <c r="B1530" t="s">
        <v>545</v>
      </c>
      <c r="C1530" t="s">
        <v>574</v>
      </c>
      <c r="D1530" s="29">
        <f>VALUE(LEFT(C1530,LEN(C1530)-2))</f>
        <v>5.9</v>
      </c>
    </row>
    <row r="1531" spans="1:4">
      <c r="A1531" s="23" t="s">
        <v>547</v>
      </c>
      <c r="B1531" t="s">
        <v>545</v>
      </c>
      <c r="C1531" s="24">
        <v>0.65</v>
      </c>
      <c r="D1531" s="27">
        <f>VALUE(C1531*100)</f>
        <v>65</v>
      </c>
    </row>
    <row r="1532" spans="1:4">
      <c r="A1532" s="23" t="s">
        <v>548</v>
      </c>
      <c r="B1532" t="s">
        <v>545</v>
      </c>
      <c r="C1532" t="s">
        <v>1233</v>
      </c>
      <c r="D1532" s="29">
        <f>VALUE(LEFT(C1532,LEN(C1532)-2))</f>
        <v>-0.8</v>
      </c>
    </row>
    <row r="1533" spans="1:4">
      <c r="A1533" s="23" t="s">
        <v>550</v>
      </c>
      <c r="B1533" t="s">
        <v>545</v>
      </c>
      <c r="C1533" t="s">
        <v>664</v>
      </c>
      <c r="D1533" s="28">
        <f>VALUE(LEFT(C1533,LEN(C1533)-4))</f>
        <v>1016.9</v>
      </c>
    </row>
    <row r="1534" spans="1:4">
      <c r="A1534" s="23" t="s">
        <v>552</v>
      </c>
      <c r="B1534" t="s">
        <v>545</v>
      </c>
      <c r="C1534" t="s">
        <v>1234</v>
      </c>
      <c r="D1534" s="29">
        <f>VALUE(LEFT(C1534,LEN(C1534)-FIND("km/h",C1534)+1)/3.6)</f>
        <v>0.69444444444444442</v>
      </c>
    </row>
    <row r="1535" spans="1:4">
      <c r="A1535" s="23" t="s">
        <v>554</v>
      </c>
      <c r="B1535" t="s">
        <v>545</v>
      </c>
      <c r="C1535" t="s">
        <v>645</v>
      </c>
      <c r="D1535" s="29">
        <f>VALUE(LEFT(C1535,LEN(C1535)-FIND("km/h",C1535)+1)/3.6)</f>
        <v>1</v>
      </c>
    </row>
    <row r="1536" spans="1:4">
      <c r="A1536" s="23" t="s">
        <v>556</v>
      </c>
      <c r="B1536" t="s">
        <v>545</v>
      </c>
      <c r="C1536" t="s">
        <v>1235</v>
      </c>
      <c r="D1536" s="26">
        <f>VALUE(LEFT(C1536,LEN(C1536)-7))</f>
        <v>59</v>
      </c>
    </row>
    <row r="1537" spans="1:4">
      <c r="A1537" s="23" t="s">
        <v>558</v>
      </c>
      <c r="B1537" t="s">
        <v>545</v>
      </c>
      <c r="C1537" t="s">
        <v>604</v>
      </c>
      <c r="D1537" s="29">
        <f>VALUE(LEFT(C1537,LEN(C1537)-3))</f>
        <v>0</v>
      </c>
    </row>
    <row r="1538" spans="1:4">
      <c r="A1538" s="23" t="s">
        <v>560</v>
      </c>
      <c r="B1538" t="s">
        <v>545</v>
      </c>
      <c r="C1538" t="s">
        <v>1232</v>
      </c>
      <c r="D1538" s="29">
        <f>VALUE(LEFT(C1538,LEN(C1538)-3))</f>
        <v>604.5</v>
      </c>
    </row>
    <row r="1539" spans="1:4">
      <c r="A1539" s="23" t="s">
        <v>562</v>
      </c>
      <c r="B1539" t="s">
        <v>545</v>
      </c>
      <c r="C1539" t="s">
        <v>604</v>
      </c>
      <c r="D1539" s="29">
        <f>VALUE(LEFT(C1539,LEN(C1539)-3))</f>
        <v>0</v>
      </c>
    </row>
    <row r="1541" spans="1:4">
      <c r="A1541" s="23" t="s">
        <v>544</v>
      </c>
      <c r="B1541" t="s">
        <v>545</v>
      </c>
      <c r="C1541" t="s">
        <v>690</v>
      </c>
      <c r="D1541" s="29">
        <f>VALUE(LEFT(C1541,LEN(C1541)-2))</f>
        <v>6.9</v>
      </c>
    </row>
    <row r="1542" spans="1:4">
      <c r="A1542" s="23" t="s">
        <v>547</v>
      </c>
      <c r="B1542" t="s">
        <v>545</v>
      </c>
      <c r="C1542" s="24">
        <v>0.61</v>
      </c>
      <c r="D1542" s="27">
        <f>VALUE(C1542*100)</f>
        <v>61</v>
      </c>
    </row>
    <row r="1543" spans="1:4">
      <c r="A1543" s="23" t="s">
        <v>548</v>
      </c>
      <c r="B1543" t="s">
        <v>545</v>
      </c>
      <c r="C1543" t="s">
        <v>1236</v>
      </c>
      <c r="D1543" s="29">
        <f>VALUE(LEFT(C1543,LEN(C1543)-2))</f>
        <v>-0.9</v>
      </c>
    </row>
    <row r="1544" spans="1:4">
      <c r="A1544" s="23" t="s">
        <v>550</v>
      </c>
      <c r="B1544" t="s">
        <v>545</v>
      </c>
      <c r="C1544" t="s">
        <v>1145</v>
      </c>
      <c r="D1544" s="28">
        <f>VALUE(LEFT(C1544,LEN(C1544)-4))</f>
        <v>1020.1</v>
      </c>
    </row>
    <row r="1545" spans="1:4">
      <c r="A1545" s="23" t="s">
        <v>552</v>
      </c>
      <c r="B1545" t="s">
        <v>545</v>
      </c>
      <c r="C1545" t="s">
        <v>1008</v>
      </c>
      <c r="D1545" s="29">
        <f>VALUE(LEFT(C1545,LEN(C1545)-FIND("km/h",C1545)+1)/3.6)</f>
        <v>1.0277777777777779</v>
      </c>
    </row>
    <row r="1546" spans="1:4">
      <c r="A1546" s="23" t="s">
        <v>554</v>
      </c>
      <c r="B1546" t="s">
        <v>545</v>
      </c>
      <c r="C1546" t="s">
        <v>830</v>
      </c>
      <c r="D1546" s="29">
        <f>VALUE(LEFT(C1546,LEN(C1546)-FIND("km/h",C1546)+1)/3.6)</f>
        <v>1.5</v>
      </c>
    </row>
    <row r="1547" spans="1:4">
      <c r="A1547" s="23" t="s">
        <v>556</v>
      </c>
      <c r="B1547" t="s">
        <v>545</v>
      </c>
      <c r="C1547" t="s">
        <v>1237</v>
      </c>
      <c r="D1547" s="26">
        <f>VALUE(LEFT(C1547,LEN(C1547)-7))</f>
        <v>93</v>
      </c>
    </row>
    <row r="1548" spans="1:4">
      <c r="A1548" s="23" t="s">
        <v>558</v>
      </c>
      <c r="B1548" t="s">
        <v>545</v>
      </c>
      <c r="C1548" t="s">
        <v>604</v>
      </c>
      <c r="D1548" s="29">
        <f>VALUE(LEFT(C1548,LEN(C1548)-3))</f>
        <v>0</v>
      </c>
    </row>
    <row r="1549" spans="1:4">
      <c r="A1549" s="23" t="s">
        <v>560</v>
      </c>
      <c r="B1549" t="s">
        <v>545</v>
      </c>
      <c r="C1549" t="s">
        <v>1232</v>
      </c>
      <c r="D1549" s="29">
        <f>VALUE(LEFT(C1549,LEN(C1549)-3))</f>
        <v>604.5</v>
      </c>
    </row>
    <row r="1550" spans="1:4">
      <c r="A1550" s="23" t="s">
        <v>562</v>
      </c>
      <c r="B1550" t="s">
        <v>545</v>
      </c>
      <c r="C1550" t="s">
        <v>604</v>
      </c>
      <c r="D1550" s="29">
        <f>VALUE(LEFT(C1550,LEN(C1550)-3))</f>
        <v>0</v>
      </c>
    </row>
    <row r="1552" spans="1:4">
      <c r="A1552" s="23" t="s">
        <v>544</v>
      </c>
      <c r="B1552" t="s">
        <v>545</v>
      </c>
      <c r="C1552" t="s">
        <v>667</v>
      </c>
      <c r="D1552" s="29">
        <f>VALUE(LEFT(C1552,LEN(C1552)-2))</f>
        <v>9.6</v>
      </c>
    </row>
    <row r="1553" spans="1:4">
      <c r="A1553" s="23" t="s">
        <v>547</v>
      </c>
      <c r="B1553" t="s">
        <v>545</v>
      </c>
      <c r="C1553" s="24">
        <v>0.63</v>
      </c>
      <c r="D1553" s="27">
        <f>VALUE(C1553*100)</f>
        <v>63</v>
      </c>
    </row>
    <row r="1554" spans="1:4">
      <c r="A1554" s="23" t="s">
        <v>548</v>
      </c>
      <c r="B1554" t="s">
        <v>545</v>
      </c>
      <c r="C1554" t="s">
        <v>622</v>
      </c>
      <c r="D1554" s="29">
        <f>VALUE(LEFT(C1554,LEN(C1554)-2))</f>
        <v>2.6</v>
      </c>
    </row>
    <row r="1555" spans="1:4">
      <c r="A1555" s="23" t="s">
        <v>550</v>
      </c>
      <c r="B1555" t="s">
        <v>545</v>
      </c>
      <c r="C1555" t="s">
        <v>1238</v>
      </c>
      <c r="D1555" s="28">
        <f>VALUE(LEFT(C1555,LEN(C1555)-4))</f>
        <v>1022.5</v>
      </c>
    </row>
    <row r="1556" spans="1:4">
      <c r="A1556" s="23" t="s">
        <v>552</v>
      </c>
      <c r="B1556" t="s">
        <v>545</v>
      </c>
      <c r="C1556" t="s">
        <v>1239</v>
      </c>
      <c r="D1556" s="29">
        <f>VALUE(LEFT(C1556,LEN(C1556)-FIND("km/h",C1556)+1)/3.6)</f>
        <v>0.72222222222222221</v>
      </c>
    </row>
    <row r="1557" spans="1:4">
      <c r="A1557" s="23" t="s">
        <v>554</v>
      </c>
      <c r="B1557" t="s">
        <v>545</v>
      </c>
      <c r="C1557" t="s">
        <v>1141</v>
      </c>
      <c r="D1557" s="29">
        <f>VALUE(LEFT(C1557,LEN(C1557)-FIND("km/h",C1557)+1)/3.6)</f>
        <v>1.1111111111111112</v>
      </c>
    </row>
    <row r="1558" spans="1:4">
      <c r="A1558" s="23" t="s">
        <v>556</v>
      </c>
      <c r="B1558" t="s">
        <v>545</v>
      </c>
      <c r="C1558" t="s">
        <v>625</v>
      </c>
      <c r="D1558" s="26">
        <f>VALUE(LEFT(C1558,LEN(C1558)-7))</f>
        <v>74</v>
      </c>
    </row>
    <row r="1559" spans="1:4">
      <c r="A1559" s="23" t="s">
        <v>558</v>
      </c>
      <c r="B1559" t="s">
        <v>545</v>
      </c>
      <c r="C1559" t="s">
        <v>604</v>
      </c>
      <c r="D1559" s="29">
        <f>VALUE(LEFT(C1559,LEN(C1559)-3))</f>
        <v>0</v>
      </c>
    </row>
    <row r="1560" spans="1:4">
      <c r="A1560" s="23" t="s">
        <v>560</v>
      </c>
      <c r="B1560" t="s">
        <v>545</v>
      </c>
      <c r="C1560" t="s">
        <v>1232</v>
      </c>
      <c r="D1560" s="29">
        <f>VALUE(LEFT(C1560,LEN(C1560)-3))</f>
        <v>604.5</v>
      </c>
    </row>
    <row r="1561" spans="1:4">
      <c r="A1561" s="23" t="s">
        <v>562</v>
      </c>
      <c r="B1561" t="s">
        <v>545</v>
      </c>
      <c r="C1561" t="s">
        <v>604</v>
      </c>
      <c r="D1561" s="29">
        <f>VALUE(LEFT(C1561,LEN(C1561)-3))</f>
        <v>0</v>
      </c>
    </row>
    <row r="1563" spans="1:4">
      <c r="A1563" s="23" t="s">
        <v>544</v>
      </c>
      <c r="B1563" t="s">
        <v>545</v>
      </c>
      <c r="C1563" t="s">
        <v>828</v>
      </c>
      <c r="D1563" s="29">
        <f>VALUE(LEFT(C1563,LEN(C1563)-2))</f>
        <v>9.3000000000000007</v>
      </c>
    </row>
    <row r="1564" spans="1:4">
      <c r="A1564" s="23" t="s">
        <v>547</v>
      </c>
      <c r="B1564" t="s">
        <v>545</v>
      </c>
      <c r="C1564" s="24">
        <v>0.72</v>
      </c>
      <c r="D1564" s="27">
        <f>VALUE(C1564*100)</f>
        <v>72</v>
      </c>
    </row>
    <row r="1565" spans="1:4">
      <c r="A1565" s="23" t="s">
        <v>548</v>
      </c>
      <c r="B1565" t="s">
        <v>545</v>
      </c>
      <c r="C1565" t="s">
        <v>1240</v>
      </c>
      <c r="D1565" s="29">
        <f>VALUE(LEFT(C1565,LEN(C1565)-2))</f>
        <v>3.8</v>
      </c>
    </row>
    <row r="1566" spans="1:4">
      <c r="A1566" s="23" t="s">
        <v>550</v>
      </c>
      <c r="B1566" t="s">
        <v>545</v>
      </c>
      <c r="C1566" t="s">
        <v>638</v>
      </c>
      <c r="D1566" s="28">
        <f>VALUE(LEFT(C1566,LEN(C1566)-4))</f>
        <v>1023.7</v>
      </c>
    </row>
    <row r="1567" spans="1:4">
      <c r="A1567" s="23" t="s">
        <v>552</v>
      </c>
      <c r="B1567" t="s">
        <v>545</v>
      </c>
      <c r="C1567" t="s">
        <v>1241</v>
      </c>
      <c r="D1567" s="29">
        <f>VALUE(LEFT(C1567,LEN(C1567)-FIND("km/h",C1567)+1)/3.6)</f>
        <v>0.47222222222222221</v>
      </c>
    </row>
    <row r="1568" spans="1:4">
      <c r="A1568" s="23" t="s">
        <v>554</v>
      </c>
      <c r="B1568" t="s">
        <v>545</v>
      </c>
      <c r="C1568" t="s">
        <v>1234</v>
      </c>
      <c r="D1568" s="29">
        <f>VALUE(LEFT(C1568,LEN(C1568)-FIND("km/h",C1568)+1)/3.6)</f>
        <v>0.69444444444444442</v>
      </c>
    </row>
    <row r="1569" spans="1:4">
      <c r="A1569" s="23" t="s">
        <v>556</v>
      </c>
      <c r="B1569" t="s">
        <v>545</v>
      </c>
      <c r="C1569" t="s">
        <v>1242</v>
      </c>
      <c r="D1569" s="26">
        <f>VALUE(LEFT(C1569,LEN(C1569)-7))</f>
        <v>98</v>
      </c>
    </row>
    <row r="1570" spans="1:4">
      <c r="A1570" s="23" t="s">
        <v>558</v>
      </c>
      <c r="B1570" t="s">
        <v>545</v>
      </c>
      <c r="C1570" t="s">
        <v>604</v>
      </c>
      <c r="D1570" s="29">
        <f>VALUE(LEFT(C1570,LEN(C1570)-3))</f>
        <v>0</v>
      </c>
    </row>
    <row r="1571" spans="1:4">
      <c r="A1571" s="23" t="s">
        <v>560</v>
      </c>
      <c r="B1571" t="s">
        <v>545</v>
      </c>
      <c r="C1571" t="s">
        <v>1232</v>
      </c>
      <c r="D1571" s="29">
        <f>VALUE(LEFT(C1571,LEN(C1571)-3))</f>
        <v>604.5</v>
      </c>
    </row>
    <row r="1572" spans="1:4">
      <c r="A1572" s="23" t="s">
        <v>562</v>
      </c>
      <c r="B1572" t="s">
        <v>545</v>
      </c>
      <c r="C1572" t="s">
        <v>604</v>
      </c>
      <c r="D1572" s="29">
        <f>VALUE(LEFT(C1572,LEN(C1572)-3))</f>
        <v>0</v>
      </c>
    </row>
    <row r="1574" spans="1:4">
      <c r="A1574" s="23" t="s">
        <v>544</v>
      </c>
      <c r="B1574" t="s">
        <v>545</v>
      </c>
      <c r="C1574" t="s">
        <v>1131</v>
      </c>
      <c r="D1574" s="29">
        <f>VALUE(LEFT(C1574,LEN(C1574)-2))</f>
        <v>8.6</v>
      </c>
    </row>
    <row r="1575" spans="1:4">
      <c r="A1575" s="23" t="s">
        <v>547</v>
      </c>
      <c r="B1575" t="s">
        <v>545</v>
      </c>
      <c r="C1575" s="24">
        <v>0.67</v>
      </c>
      <c r="D1575" s="27">
        <f>VALUE(C1575*100)</f>
        <v>67</v>
      </c>
    </row>
    <row r="1576" spans="1:4">
      <c r="A1576" s="23" t="s">
        <v>548</v>
      </c>
      <c r="B1576" t="s">
        <v>545</v>
      </c>
      <c r="C1576" t="s">
        <v>1243</v>
      </c>
      <c r="D1576" s="29">
        <f>VALUE(LEFT(C1576,LEN(C1576)-2))</f>
        <v>2</v>
      </c>
    </row>
    <row r="1577" spans="1:4">
      <c r="A1577" s="23" t="s">
        <v>550</v>
      </c>
      <c r="B1577" t="s">
        <v>545</v>
      </c>
      <c r="C1577" t="s">
        <v>1244</v>
      </c>
      <c r="D1577" s="28">
        <f>VALUE(LEFT(C1577,LEN(C1577)-4))</f>
        <v>1021.3</v>
      </c>
    </row>
    <row r="1578" spans="1:4">
      <c r="A1578" s="23" t="s">
        <v>552</v>
      </c>
      <c r="B1578" t="s">
        <v>545</v>
      </c>
      <c r="C1578" t="s">
        <v>645</v>
      </c>
      <c r="D1578" s="29">
        <f>VALUE(LEFT(C1578,LEN(C1578)-FIND("km/h",C1578)+1)/3.6)</f>
        <v>1</v>
      </c>
    </row>
    <row r="1579" spans="1:4">
      <c r="A1579" s="23" t="s">
        <v>554</v>
      </c>
      <c r="B1579" t="s">
        <v>545</v>
      </c>
      <c r="C1579" t="s">
        <v>640</v>
      </c>
      <c r="D1579" s="29">
        <f>VALUE(LEFT(C1579,LEN(C1579)-FIND("km/h",C1579)+1)/3.6)</f>
        <v>1.4166666666666665</v>
      </c>
    </row>
    <row r="1580" spans="1:4">
      <c r="A1580" s="23" t="s">
        <v>556</v>
      </c>
      <c r="B1580" t="s">
        <v>545</v>
      </c>
      <c r="C1580" t="s">
        <v>1245</v>
      </c>
      <c r="D1580" s="26">
        <f>VALUE(LEFT(C1580,LEN(C1580)-7))</f>
        <v>77</v>
      </c>
    </row>
    <row r="1581" spans="1:4">
      <c r="A1581" s="23" t="s">
        <v>558</v>
      </c>
      <c r="B1581" t="s">
        <v>545</v>
      </c>
      <c r="C1581" t="s">
        <v>604</v>
      </c>
      <c r="D1581" s="29">
        <f>VALUE(LEFT(C1581,LEN(C1581)-3))</f>
        <v>0</v>
      </c>
    </row>
    <row r="1582" spans="1:4">
      <c r="A1582" s="23" t="s">
        <v>560</v>
      </c>
      <c r="B1582" t="s">
        <v>545</v>
      </c>
      <c r="C1582" t="s">
        <v>1232</v>
      </c>
      <c r="D1582" s="29">
        <f>VALUE(LEFT(C1582,LEN(C1582)-3))</f>
        <v>604.5</v>
      </c>
    </row>
    <row r="1583" spans="1:4">
      <c r="A1583" s="23" t="s">
        <v>562</v>
      </c>
      <c r="B1583" t="s">
        <v>545</v>
      </c>
      <c r="C1583" t="s">
        <v>604</v>
      </c>
      <c r="D1583" s="29">
        <f>VALUE(LEFT(C1583,LEN(C1583)-3))</f>
        <v>0</v>
      </c>
    </row>
    <row r="1585" spans="1:4">
      <c r="A1585" s="23" t="s">
        <v>544</v>
      </c>
      <c r="B1585" t="s">
        <v>545</v>
      </c>
      <c r="C1585" t="s">
        <v>882</v>
      </c>
      <c r="D1585" s="29">
        <f>VALUE(LEFT(C1585,LEN(C1585)-2))</f>
        <v>7.8</v>
      </c>
    </row>
    <row r="1586" spans="1:4">
      <c r="A1586" s="23" t="s">
        <v>547</v>
      </c>
      <c r="B1586" t="s">
        <v>545</v>
      </c>
      <c r="C1586" s="24">
        <v>0.66</v>
      </c>
      <c r="D1586" s="27">
        <f>VALUE(C1586*100)</f>
        <v>66</v>
      </c>
    </row>
    <row r="1587" spans="1:4">
      <c r="A1587" s="23" t="s">
        <v>548</v>
      </c>
      <c r="B1587" t="s">
        <v>545</v>
      </c>
      <c r="C1587" t="s">
        <v>1246</v>
      </c>
      <c r="D1587" s="29">
        <f>VALUE(LEFT(C1587,LEN(C1587)-2))</f>
        <v>1.3</v>
      </c>
    </row>
    <row r="1588" spans="1:4">
      <c r="A1588" s="23" t="s">
        <v>550</v>
      </c>
      <c r="B1588" t="s">
        <v>545</v>
      </c>
      <c r="C1588" t="s">
        <v>634</v>
      </c>
      <c r="D1588" s="28">
        <f>VALUE(LEFT(C1588,LEN(C1588)-4))</f>
        <v>1021</v>
      </c>
    </row>
    <row r="1589" spans="1:4">
      <c r="A1589" s="23" t="s">
        <v>552</v>
      </c>
      <c r="B1589" t="s">
        <v>545</v>
      </c>
      <c r="C1589" t="s">
        <v>807</v>
      </c>
      <c r="D1589" s="29">
        <f>VALUE(LEFT(C1589,LEN(C1589)-FIND("km/h",C1589)+1)/3.6)</f>
        <v>0.75</v>
      </c>
    </row>
    <row r="1590" spans="1:4">
      <c r="A1590" s="23" t="s">
        <v>554</v>
      </c>
      <c r="B1590" t="s">
        <v>545</v>
      </c>
      <c r="C1590" t="s">
        <v>777</v>
      </c>
      <c r="D1590" s="29">
        <f>VALUE(LEFT(C1590,LEN(C1590)-FIND("km/h",C1590)+1)/3.6)</f>
        <v>1.1388888888888888</v>
      </c>
    </row>
    <row r="1591" spans="1:4">
      <c r="A1591" s="23" t="s">
        <v>556</v>
      </c>
      <c r="B1591" t="s">
        <v>545</v>
      </c>
      <c r="C1591" t="s">
        <v>1247</v>
      </c>
      <c r="D1591" s="26">
        <f>VALUE(LEFT(C1591,LEN(C1591)-7))</f>
        <v>111</v>
      </c>
    </row>
    <row r="1592" spans="1:4">
      <c r="A1592" s="23" t="s">
        <v>558</v>
      </c>
      <c r="B1592" t="s">
        <v>545</v>
      </c>
      <c r="C1592" t="s">
        <v>604</v>
      </c>
      <c r="D1592" s="29">
        <f>VALUE(LEFT(C1592,LEN(C1592)-3))</f>
        <v>0</v>
      </c>
    </row>
    <row r="1593" spans="1:4">
      <c r="A1593" s="23" t="s">
        <v>560</v>
      </c>
      <c r="B1593" t="s">
        <v>545</v>
      </c>
      <c r="C1593" t="s">
        <v>1232</v>
      </c>
      <c r="D1593" s="29">
        <f>VALUE(LEFT(C1593,LEN(C1593)-3))</f>
        <v>604.5</v>
      </c>
    </row>
    <row r="1594" spans="1:4">
      <c r="A1594" s="23" t="s">
        <v>562</v>
      </c>
      <c r="B1594" t="s">
        <v>545</v>
      </c>
      <c r="C1594" t="s">
        <v>604</v>
      </c>
      <c r="D1594" s="29">
        <f>VALUE(LEFT(C1594,LEN(C1594)-3))</f>
        <v>0</v>
      </c>
    </row>
    <row r="1596" spans="1:4">
      <c r="A1596" s="23" t="s">
        <v>544</v>
      </c>
      <c r="B1596" t="s">
        <v>545</v>
      </c>
      <c r="C1596" t="s">
        <v>1248</v>
      </c>
      <c r="D1596" s="29">
        <f>VALUE(LEFT(C1596,LEN(C1596)-2))</f>
        <v>6.2</v>
      </c>
    </row>
    <row r="1597" spans="1:4">
      <c r="A1597" s="23" t="s">
        <v>547</v>
      </c>
      <c r="B1597" t="s">
        <v>545</v>
      </c>
      <c r="C1597" s="24">
        <v>0.76</v>
      </c>
      <c r="D1597" s="27">
        <f>VALUE(C1597*100)</f>
        <v>76</v>
      </c>
    </row>
    <row r="1598" spans="1:4">
      <c r="A1598" s="23" t="s">
        <v>548</v>
      </c>
      <c r="B1598" t="s">
        <v>545</v>
      </c>
      <c r="C1598" t="s">
        <v>1249</v>
      </c>
      <c r="D1598" s="29">
        <f>VALUE(LEFT(C1598,LEN(C1598)-2))</f>
        <v>1.7</v>
      </c>
    </row>
    <row r="1599" spans="1:4">
      <c r="A1599" s="23" t="s">
        <v>550</v>
      </c>
      <c r="B1599" t="s">
        <v>545</v>
      </c>
      <c r="C1599" t="s">
        <v>1250</v>
      </c>
      <c r="D1599" s="28">
        <f>VALUE(LEFT(C1599,LEN(C1599)-4))</f>
        <v>1022.3</v>
      </c>
    </row>
    <row r="1600" spans="1:4">
      <c r="A1600" s="23" t="s">
        <v>552</v>
      </c>
      <c r="B1600" t="s">
        <v>545</v>
      </c>
      <c r="C1600" t="s">
        <v>1129</v>
      </c>
      <c r="D1600" s="29">
        <f>VALUE(LEFT(C1600,LEN(C1600)-FIND("km/h",C1600)+1)/3.6)</f>
        <v>0.52777777777777779</v>
      </c>
    </row>
    <row r="1601" spans="1:4">
      <c r="A1601" s="23" t="s">
        <v>554</v>
      </c>
      <c r="B1601" t="s">
        <v>545</v>
      </c>
      <c r="C1601" t="s">
        <v>645</v>
      </c>
      <c r="D1601" s="29">
        <f>VALUE(LEFT(C1601,LEN(C1601)-FIND("km/h",C1601)+1)/3.6)</f>
        <v>1</v>
      </c>
    </row>
    <row r="1602" spans="1:4">
      <c r="A1602" s="23" t="s">
        <v>556</v>
      </c>
      <c r="B1602" t="s">
        <v>545</v>
      </c>
      <c r="C1602" t="s">
        <v>1130</v>
      </c>
      <c r="D1602" s="26">
        <f>VALUE(LEFT(C1602,LEN(C1602)-7))</f>
        <v>129</v>
      </c>
    </row>
    <row r="1603" spans="1:4">
      <c r="A1603" s="23" t="s">
        <v>558</v>
      </c>
      <c r="B1603" t="s">
        <v>545</v>
      </c>
      <c r="C1603" t="s">
        <v>604</v>
      </c>
      <c r="D1603" s="29">
        <f>VALUE(LEFT(C1603,LEN(C1603)-3))</f>
        <v>0</v>
      </c>
    </row>
    <row r="1604" spans="1:4">
      <c r="A1604" s="23" t="s">
        <v>560</v>
      </c>
      <c r="B1604" t="s">
        <v>545</v>
      </c>
      <c r="C1604" t="s">
        <v>1232</v>
      </c>
      <c r="D1604" s="29">
        <f>VALUE(LEFT(C1604,LEN(C1604)-3))</f>
        <v>604.5</v>
      </c>
    </row>
    <row r="1605" spans="1:4">
      <c r="A1605" s="23" t="s">
        <v>562</v>
      </c>
      <c r="B1605" t="s">
        <v>545</v>
      </c>
      <c r="C1605" t="s">
        <v>604</v>
      </c>
      <c r="D1605" s="29">
        <f>VALUE(LEFT(C1605,LEN(C1605)-3))</f>
        <v>0</v>
      </c>
    </row>
    <row r="1607" spans="1:4">
      <c r="A1607" s="23" t="s">
        <v>544</v>
      </c>
      <c r="B1607" t="s">
        <v>545</v>
      </c>
      <c r="C1607" t="s">
        <v>914</v>
      </c>
      <c r="D1607" s="29">
        <f>VALUE(LEFT(C1607,LEN(C1607)-2))</f>
        <v>7.7</v>
      </c>
    </row>
    <row r="1608" spans="1:4">
      <c r="A1608" s="23" t="s">
        <v>547</v>
      </c>
      <c r="B1608" t="s">
        <v>545</v>
      </c>
      <c r="C1608" s="24">
        <v>0.68</v>
      </c>
      <c r="D1608" s="27">
        <f>VALUE(C1608*100)</f>
        <v>68</v>
      </c>
    </row>
    <row r="1609" spans="1:4">
      <c r="A1609" s="23" t="s">
        <v>548</v>
      </c>
      <c r="B1609" t="s">
        <v>545</v>
      </c>
      <c r="C1609" t="s">
        <v>1251</v>
      </c>
      <c r="D1609" s="29">
        <f>VALUE(LEFT(C1609,LEN(C1609)-2))</f>
        <v>1.4</v>
      </c>
    </row>
    <row r="1610" spans="1:4">
      <c r="A1610" s="23" t="s">
        <v>550</v>
      </c>
      <c r="B1610" t="s">
        <v>545</v>
      </c>
      <c r="C1610" t="s">
        <v>1252</v>
      </c>
      <c r="D1610" s="28">
        <f>VALUE(LEFT(C1610,LEN(C1610)-4))</f>
        <v>1023.9</v>
      </c>
    </row>
    <row r="1611" spans="1:4">
      <c r="A1611" s="23" t="s">
        <v>552</v>
      </c>
      <c r="B1611" t="s">
        <v>545</v>
      </c>
      <c r="C1611" t="s">
        <v>1000</v>
      </c>
      <c r="D1611" s="29">
        <f>VALUE(LEFT(C1611,LEN(C1611)-FIND("km/h",C1611)+1)/3.6)</f>
        <v>1.2222222222222223</v>
      </c>
    </row>
    <row r="1612" spans="1:4">
      <c r="A1612" s="23" t="s">
        <v>554</v>
      </c>
      <c r="B1612" t="s">
        <v>545</v>
      </c>
      <c r="C1612" t="s">
        <v>781</v>
      </c>
      <c r="D1612" s="29">
        <f>VALUE(LEFT(C1612,LEN(C1612)-FIND("km/h",C1612)+1)/3.6)</f>
        <v>1.8333333333333333</v>
      </c>
    </row>
    <row r="1613" spans="1:4">
      <c r="A1613" s="23" t="s">
        <v>556</v>
      </c>
      <c r="B1613" t="s">
        <v>545</v>
      </c>
      <c r="C1613" t="s">
        <v>1253</v>
      </c>
      <c r="D1613" s="26">
        <f>VALUE(LEFT(C1613,LEN(C1613)-7))</f>
        <v>105</v>
      </c>
    </row>
    <row r="1614" spans="1:4">
      <c r="A1614" s="23" t="s">
        <v>558</v>
      </c>
      <c r="B1614" t="s">
        <v>545</v>
      </c>
      <c r="C1614" t="s">
        <v>604</v>
      </c>
      <c r="D1614" s="29">
        <f>VALUE(LEFT(C1614,LEN(C1614)-3))</f>
        <v>0</v>
      </c>
    </row>
    <row r="1615" spans="1:4">
      <c r="A1615" s="23" t="s">
        <v>560</v>
      </c>
      <c r="B1615" t="s">
        <v>545</v>
      </c>
      <c r="C1615" t="s">
        <v>1232</v>
      </c>
      <c r="D1615" s="29">
        <f>VALUE(LEFT(C1615,LEN(C1615)-3))</f>
        <v>604.5</v>
      </c>
    </row>
    <row r="1616" spans="1:4">
      <c r="A1616" s="23" t="s">
        <v>562</v>
      </c>
      <c r="B1616" t="s">
        <v>545</v>
      </c>
      <c r="C1616" t="s">
        <v>604</v>
      </c>
      <c r="D1616" s="29">
        <f>VALUE(LEFT(C1616,LEN(C1616)-3))</f>
        <v>0</v>
      </c>
    </row>
    <row r="1618" spans="1:4">
      <c r="A1618" s="23" t="s">
        <v>544</v>
      </c>
      <c r="B1618" t="s">
        <v>545</v>
      </c>
      <c r="C1618" t="s">
        <v>903</v>
      </c>
      <c r="D1618" s="29">
        <f>VALUE(LEFT(C1618,LEN(C1618)-2))</f>
        <v>10.9</v>
      </c>
    </row>
    <row r="1619" spans="1:4">
      <c r="A1619" s="23" t="s">
        <v>547</v>
      </c>
      <c r="B1619" t="s">
        <v>545</v>
      </c>
      <c r="C1619" s="24">
        <v>0.55000000000000004</v>
      </c>
      <c r="D1619" s="27">
        <f>VALUE(C1619*100)</f>
        <v>55.000000000000007</v>
      </c>
    </row>
    <row r="1620" spans="1:4">
      <c r="A1620" s="23" t="s">
        <v>548</v>
      </c>
      <c r="B1620" t="s">
        <v>545</v>
      </c>
      <c r="C1620" t="s">
        <v>1254</v>
      </c>
      <c r="D1620" s="29">
        <f>VALUE(LEFT(C1620,LEN(C1620)-2))</f>
        <v>1.9</v>
      </c>
    </row>
    <row r="1621" spans="1:4">
      <c r="A1621" s="23" t="s">
        <v>550</v>
      </c>
      <c r="B1621" t="s">
        <v>545</v>
      </c>
      <c r="C1621" t="s">
        <v>1255</v>
      </c>
      <c r="D1621" s="28">
        <f>VALUE(LEFT(C1621,LEN(C1621)-4))</f>
        <v>1021.7</v>
      </c>
    </row>
    <row r="1622" spans="1:4">
      <c r="A1622" s="23" t="s">
        <v>552</v>
      </c>
      <c r="B1622" t="s">
        <v>545</v>
      </c>
      <c r="C1622" t="s">
        <v>698</v>
      </c>
      <c r="D1622" s="29">
        <f>VALUE(LEFT(C1622,LEN(C1622)-FIND("km/h",C1622)+1)/3.6)</f>
        <v>3.0555555555555554</v>
      </c>
    </row>
    <row r="1623" spans="1:4">
      <c r="A1623" s="23" t="s">
        <v>554</v>
      </c>
      <c r="B1623" t="s">
        <v>545</v>
      </c>
      <c r="C1623" t="s">
        <v>1256</v>
      </c>
      <c r="D1623" s="29">
        <f>VALUE(LEFT(C1623,LEN(C1623)-FIND("km/h",C1623)+1)/3.6)</f>
        <v>4.2777777777777777</v>
      </c>
    </row>
    <row r="1624" spans="1:4">
      <c r="A1624" s="23" t="s">
        <v>556</v>
      </c>
      <c r="B1624" t="s">
        <v>545</v>
      </c>
      <c r="C1624" t="s">
        <v>1257</v>
      </c>
      <c r="D1624" s="26">
        <f>VALUE(LEFT(C1624,LEN(C1624)-7))</f>
        <v>104</v>
      </c>
    </row>
    <row r="1625" spans="1:4">
      <c r="A1625" s="23" t="s">
        <v>558</v>
      </c>
      <c r="B1625" t="s">
        <v>545</v>
      </c>
      <c r="C1625" t="s">
        <v>604</v>
      </c>
      <c r="D1625" s="29">
        <f>VALUE(LEFT(C1625,LEN(C1625)-3))</f>
        <v>0</v>
      </c>
    </row>
    <row r="1626" spans="1:4">
      <c r="A1626" s="23" t="s">
        <v>560</v>
      </c>
      <c r="B1626" t="s">
        <v>545</v>
      </c>
      <c r="C1626" t="s">
        <v>1232</v>
      </c>
      <c r="D1626" s="29">
        <f>VALUE(LEFT(C1626,LEN(C1626)-3))</f>
        <v>604.5</v>
      </c>
    </row>
    <row r="1627" spans="1:4">
      <c r="A1627" s="23" t="s">
        <v>562</v>
      </c>
      <c r="B1627" t="s">
        <v>545</v>
      </c>
      <c r="C1627" t="s">
        <v>604</v>
      </c>
      <c r="D1627" s="29">
        <f>VALUE(LEFT(C1627,LEN(C1627)-3))</f>
        <v>0</v>
      </c>
    </row>
    <row r="1629" spans="1:4">
      <c r="A1629" s="23" t="s">
        <v>544</v>
      </c>
      <c r="B1629" t="s">
        <v>545</v>
      </c>
      <c r="C1629" t="s">
        <v>564</v>
      </c>
      <c r="D1629" s="29">
        <f>VALUE(LEFT(C1629,LEN(C1629)-2))</f>
        <v>12.7</v>
      </c>
    </row>
    <row r="1630" spans="1:4">
      <c r="A1630" s="23" t="s">
        <v>547</v>
      </c>
      <c r="B1630" t="s">
        <v>545</v>
      </c>
      <c r="C1630" s="24">
        <v>0.51</v>
      </c>
      <c r="D1630" s="27">
        <f>VALUE(C1630*100)</f>
        <v>51</v>
      </c>
    </row>
    <row r="1631" spans="1:4">
      <c r="A1631" s="23" t="s">
        <v>548</v>
      </c>
      <c r="B1631" t="s">
        <v>545</v>
      </c>
      <c r="C1631" t="s">
        <v>1258</v>
      </c>
      <c r="D1631" s="29">
        <f>VALUE(LEFT(C1631,LEN(C1631)-2))</f>
        <v>2.7</v>
      </c>
    </row>
    <row r="1632" spans="1:4">
      <c r="A1632" s="23" t="s">
        <v>550</v>
      </c>
      <c r="B1632" t="s">
        <v>545</v>
      </c>
      <c r="C1632" t="s">
        <v>1259</v>
      </c>
      <c r="D1632" s="28">
        <f>VALUE(LEFT(C1632,LEN(C1632)-4))</f>
        <v>1020.3</v>
      </c>
    </row>
    <row r="1633" spans="1:4">
      <c r="A1633" s="23" t="s">
        <v>552</v>
      </c>
      <c r="B1633" t="s">
        <v>545</v>
      </c>
      <c r="C1633" t="s">
        <v>1085</v>
      </c>
      <c r="D1633" s="29">
        <f>VALUE(LEFT(C1633,LEN(C1633)-FIND("km/h",C1633)+1)/3.6)</f>
        <v>4.1944444444444446</v>
      </c>
    </row>
    <row r="1634" spans="1:4">
      <c r="A1634" s="23" t="s">
        <v>554</v>
      </c>
      <c r="B1634" t="s">
        <v>545</v>
      </c>
      <c r="C1634" t="s">
        <v>1260</v>
      </c>
      <c r="D1634" s="29">
        <f>VALUE(LEFT(C1634,LEN(C1634)-FIND("km/h",C1634)+1)/3.6)</f>
        <v>5.9722222222222223</v>
      </c>
    </row>
    <row r="1635" spans="1:4">
      <c r="A1635" s="23" t="s">
        <v>556</v>
      </c>
      <c r="B1635" t="s">
        <v>545</v>
      </c>
      <c r="C1635" t="s">
        <v>1261</v>
      </c>
      <c r="D1635" s="26">
        <f>VALUE(LEFT(C1635,LEN(C1635)-7))</f>
        <v>113</v>
      </c>
    </row>
    <row r="1636" spans="1:4">
      <c r="A1636" s="23" t="s">
        <v>558</v>
      </c>
      <c r="B1636" t="s">
        <v>545</v>
      </c>
      <c r="C1636" t="s">
        <v>604</v>
      </c>
      <c r="D1636" s="29">
        <f>VALUE(LEFT(C1636,LEN(C1636)-3))</f>
        <v>0</v>
      </c>
    </row>
    <row r="1637" spans="1:4">
      <c r="A1637" s="23" t="s">
        <v>560</v>
      </c>
      <c r="B1637" t="s">
        <v>545</v>
      </c>
      <c r="C1637" t="s">
        <v>1232</v>
      </c>
      <c r="D1637" s="29">
        <f>VALUE(LEFT(C1637,LEN(C1637)-3))</f>
        <v>604.5</v>
      </c>
    </row>
    <row r="1638" spans="1:4">
      <c r="A1638" s="23" t="s">
        <v>562</v>
      </c>
      <c r="B1638" t="s">
        <v>545</v>
      </c>
      <c r="C1638" t="s">
        <v>604</v>
      </c>
      <c r="D1638" s="29">
        <f>VALUE(LEFT(C1638,LEN(C1638)-3))</f>
        <v>0</v>
      </c>
    </row>
    <row r="1640" spans="1:4">
      <c r="A1640" s="23" t="s">
        <v>544</v>
      </c>
      <c r="B1640" t="s">
        <v>545</v>
      </c>
      <c r="C1640" t="s">
        <v>956</v>
      </c>
      <c r="D1640" s="29">
        <f>VALUE(LEFT(C1640,LEN(C1640)-2))</f>
        <v>14</v>
      </c>
    </row>
    <row r="1641" spans="1:4">
      <c r="A1641" s="23" t="s">
        <v>547</v>
      </c>
      <c r="B1641" t="s">
        <v>545</v>
      </c>
      <c r="C1641" s="24">
        <v>0.52</v>
      </c>
      <c r="D1641" s="27">
        <f>VALUE(C1641*100)</f>
        <v>52</v>
      </c>
    </row>
    <row r="1642" spans="1:4">
      <c r="A1642" s="23" t="s">
        <v>548</v>
      </c>
      <c r="B1642" t="s">
        <v>545</v>
      </c>
      <c r="C1642" t="s">
        <v>1125</v>
      </c>
      <c r="D1642" s="29">
        <f>VALUE(LEFT(C1642,LEN(C1642)-2))</f>
        <v>4.2</v>
      </c>
    </row>
    <row r="1643" spans="1:4">
      <c r="A1643" s="23" t="s">
        <v>550</v>
      </c>
      <c r="B1643" t="s">
        <v>545</v>
      </c>
      <c r="C1643" t="s">
        <v>1262</v>
      </c>
      <c r="D1643" s="28">
        <f>VALUE(LEFT(C1643,LEN(C1643)-4))</f>
        <v>1023</v>
      </c>
    </row>
    <row r="1644" spans="1:4">
      <c r="A1644" s="23" t="s">
        <v>552</v>
      </c>
      <c r="B1644" t="s">
        <v>545</v>
      </c>
      <c r="C1644" t="s">
        <v>1263</v>
      </c>
      <c r="D1644" s="29">
        <f>VALUE(LEFT(C1644,LEN(C1644)-FIND("km/h",C1644)+1)/3.6)</f>
        <v>2.6388888888888888</v>
      </c>
    </row>
    <row r="1645" spans="1:4">
      <c r="A1645" s="23" t="s">
        <v>554</v>
      </c>
      <c r="B1645" t="s">
        <v>545</v>
      </c>
      <c r="C1645" t="s">
        <v>979</v>
      </c>
      <c r="D1645" s="29">
        <f>VALUE(LEFT(C1645,LEN(C1645)-FIND("km/h",C1645)+1)/3.6)</f>
        <v>3.6944444444444446</v>
      </c>
    </row>
    <row r="1646" spans="1:4">
      <c r="A1646" s="23" t="s">
        <v>556</v>
      </c>
      <c r="B1646" t="s">
        <v>545</v>
      </c>
      <c r="C1646" t="s">
        <v>1264</v>
      </c>
      <c r="D1646" s="26">
        <f>VALUE(LEFT(C1646,LEN(C1646)-7))</f>
        <v>103</v>
      </c>
    </row>
    <row r="1647" spans="1:4">
      <c r="A1647" s="23" t="s">
        <v>558</v>
      </c>
      <c r="B1647" t="s">
        <v>545</v>
      </c>
      <c r="C1647" t="s">
        <v>604</v>
      </c>
      <c r="D1647" s="29">
        <f>VALUE(LEFT(C1647,LEN(C1647)-3))</f>
        <v>0</v>
      </c>
    </row>
    <row r="1648" spans="1:4">
      <c r="A1648" s="23" t="s">
        <v>560</v>
      </c>
      <c r="B1648" t="s">
        <v>545</v>
      </c>
      <c r="C1648" t="s">
        <v>1232</v>
      </c>
      <c r="D1648" s="29">
        <f>VALUE(LEFT(C1648,LEN(C1648)-3))</f>
        <v>604.5</v>
      </c>
    </row>
    <row r="1649" spans="1:4">
      <c r="A1649" s="23" t="s">
        <v>562</v>
      </c>
      <c r="B1649" t="s">
        <v>545</v>
      </c>
      <c r="C1649" t="s">
        <v>604</v>
      </c>
      <c r="D1649" s="29">
        <f>VALUE(LEFT(C1649,LEN(C1649)-3))</f>
        <v>0</v>
      </c>
    </row>
    <row r="1651" spans="1:4">
      <c r="A1651" s="23" t="s">
        <v>544</v>
      </c>
      <c r="B1651" t="s">
        <v>545</v>
      </c>
      <c r="C1651" t="s">
        <v>598</v>
      </c>
      <c r="D1651" s="29">
        <f>VALUE(LEFT(C1651,LEN(C1651)-2))</f>
        <v>13.4</v>
      </c>
    </row>
    <row r="1652" spans="1:4">
      <c r="A1652" s="23" t="s">
        <v>547</v>
      </c>
      <c r="B1652" t="s">
        <v>545</v>
      </c>
      <c r="C1652" s="24">
        <v>0.84</v>
      </c>
      <c r="D1652" s="27">
        <f>VALUE(C1652*100)</f>
        <v>84</v>
      </c>
    </row>
    <row r="1653" spans="1:4">
      <c r="A1653" s="23" t="s">
        <v>548</v>
      </c>
      <c r="B1653" t="s">
        <v>545</v>
      </c>
      <c r="C1653" t="s">
        <v>737</v>
      </c>
      <c r="D1653" s="29">
        <f>VALUE(LEFT(C1653,LEN(C1653)-2))</f>
        <v>10.6</v>
      </c>
    </row>
    <row r="1654" spans="1:4">
      <c r="A1654" s="23" t="s">
        <v>550</v>
      </c>
      <c r="B1654" t="s">
        <v>545</v>
      </c>
      <c r="C1654" t="s">
        <v>1265</v>
      </c>
      <c r="D1654" s="28">
        <f>VALUE(LEFT(C1654,LEN(C1654)-4))</f>
        <v>1024.3</v>
      </c>
    </row>
    <row r="1655" spans="1:4">
      <c r="A1655" s="23" t="s">
        <v>552</v>
      </c>
      <c r="B1655" t="s">
        <v>545</v>
      </c>
      <c r="C1655" t="s">
        <v>1008</v>
      </c>
      <c r="D1655" s="29">
        <f>VALUE(LEFT(C1655,LEN(C1655)-FIND("km/h",C1655)+1)/3.6)</f>
        <v>1.0277777777777779</v>
      </c>
    </row>
    <row r="1656" spans="1:4">
      <c r="A1656" s="23" t="s">
        <v>554</v>
      </c>
      <c r="B1656" t="s">
        <v>545</v>
      </c>
      <c r="C1656" t="s">
        <v>609</v>
      </c>
      <c r="D1656" s="29">
        <f>VALUE(LEFT(C1656,LEN(C1656)-FIND("km/h",C1656)+1)/3.6)</f>
        <v>1.5277777777777777</v>
      </c>
    </row>
    <row r="1657" spans="1:4">
      <c r="A1657" s="23" t="s">
        <v>556</v>
      </c>
      <c r="B1657" t="s">
        <v>545</v>
      </c>
      <c r="C1657" t="s">
        <v>1266</v>
      </c>
      <c r="D1657" s="26">
        <f>VALUE(LEFT(C1657,LEN(C1657)-7))</f>
        <v>83</v>
      </c>
    </row>
    <row r="1658" spans="1:4">
      <c r="A1658" s="23" t="s">
        <v>558</v>
      </c>
      <c r="B1658" t="s">
        <v>545</v>
      </c>
      <c r="C1658" t="s">
        <v>581</v>
      </c>
      <c r="D1658" s="29">
        <f>VALUE(LEFT(C1658,LEN(C1658)-3))</f>
        <v>1</v>
      </c>
    </row>
    <row r="1659" spans="1:4">
      <c r="A1659" s="23" t="s">
        <v>560</v>
      </c>
      <c r="B1659" t="s">
        <v>545</v>
      </c>
      <c r="C1659" t="s">
        <v>1267</v>
      </c>
      <c r="D1659" s="29">
        <f>VALUE(LEFT(C1659,LEN(C1659)-3))</f>
        <v>605.5</v>
      </c>
    </row>
    <row r="1660" spans="1:4">
      <c r="A1660" s="23" t="s">
        <v>562</v>
      </c>
      <c r="B1660" t="s">
        <v>545</v>
      </c>
      <c r="C1660" t="s">
        <v>581</v>
      </c>
      <c r="D1660" s="29">
        <f>VALUE(LEFT(C1660,LEN(C1660)-3))</f>
        <v>1</v>
      </c>
    </row>
    <row r="1662" spans="1:4">
      <c r="A1662" s="23" t="s">
        <v>544</v>
      </c>
      <c r="B1662" t="s">
        <v>545</v>
      </c>
      <c r="C1662" t="s">
        <v>696</v>
      </c>
      <c r="D1662" s="29">
        <f>VALUE(LEFT(C1662,LEN(C1662)-2))</f>
        <v>12.1</v>
      </c>
    </row>
    <row r="1663" spans="1:4">
      <c r="A1663" s="23" t="s">
        <v>547</v>
      </c>
      <c r="B1663" t="s">
        <v>545</v>
      </c>
      <c r="C1663" s="24">
        <v>0.78</v>
      </c>
      <c r="D1663" s="27">
        <f>VALUE(C1663*100)</f>
        <v>78</v>
      </c>
    </row>
    <row r="1664" spans="1:4">
      <c r="A1664" s="23" t="s">
        <v>548</v>
      </c>
      <c r="B1664" t="s">
        <v>545</v>
      </c>
      <c r="C1664" t="s">
        <v>643</v>
      </c>
      <c r="D1664" s="29">
        <f>VALUE(LEFT(C1664,LEN(C1664)-2))</f>
        <v>7.9</v>
      </c>
    </row>
    <row r="1665" spans="1:4">
      <c r="A1665" s="23" t="s">
        <v>550</v>
      </c>
      <c r="B1665" t="s">
        <v>545</v>
      </c>
      <c r="C1665" t="s">
        <v>1268</v>
      </c>
      <c r="D1665" s="28">
        <f>VALUE(LEFT(C1665,LEN(C1665)-4))</f>
        <v>1027.0999999999999</v>
      </c>
    </row>
    <row r="1666" spans="1:4">
      <c r="A1666" s="23" t="s">
        <v>552</v>
      </c>
      <c r="B1666" t="s">
        <v>545</v>
      </c>
      <c r="C1666" t="s">
        <v>1008</v>
      </c>
      <c r="D1666" s="29">
        <f>VALUE(LEFT(C1666,LEN(C1666)-FIND("km/h",C1666)+1)/3.6)</f>
        <v>1.0277777777777779</v>
      </c>
    </row>
    <row r="1667" spans="1:4">
      <c r="A1667" s="23" t="s">
        <v>554</v>
      </c>
      <c r="B1667" t="s">
        <v>545</v>
      </c>
      <c r="C1667" t="s">
        <v>830</v>
      </c>
      <c r="D1667" s="29">
        <f>VALUE(LEFT(C1667,LEN(C1667)-FIND("km/h",C1667)+1)/3.6)</f>
        <v>1.5</v>
      </c>
    </row>
    <row r="1668" spans="1:4">
      <c r="A1668" s="23" t="s">
        <v>556</v>
      </c>
      <c r="B1668" t="s">
        <v>545</v>
      </c>
      <c r="C1668" t="s">
        <v>808</v>
      </c>
      <c r="D1668" s="26">
        <f>VALUE(LEFT(C1668,LEN(C1668)-7))</f>
        <v>81</v>
      </c>
    </row>
    <row r="1669" spans="1:4">
      <c r="A1669" s="23" t="s">
        <v>558</v>
      </c>
      <c r="B1669" t="s">
        <v>545</v>
      </c>
      <c r="C1669" t="s">
        <v>581</v>
      </c>
      <c r="D1669" s="29">
        <f>VALUE(LEFT(C1669,LEN(C1669)-3))</f>
        <v>1</v>
      </c>
    </row>
    <row r="1670" spans="1:4">
      <c r="A1670" s="23" t="s">
        <v>560</v>
      </c>
      <c r="B1670" t="s">
        <v>545</v>
      </c>
      <c r="C1670" t="s">
        <v>1267</v>
      </c>
      <c r="D1670" s="29">
        <f>VALUE(LEFT(C1670,LEN(C1670)-3))</f>
        <v>605.5</v>
      </c>
    </row>
    <row r="1671" spans="1:4">
      <c r="A1671" s="23" t="s">
        <v>562</v>
      </c>
      <c r="B1671" t="s">
        <v>545</v>
      </c>
      <c r="C1671" t="s">
        <v>604</v>
      </c>
      <c r="D1671" s="29">
        <f>VALUE(LEFT(C1671,LEN(C1671)-3))</f>
        <v>0</v>
      </c>
    </row>
    <row r="1673" spans="1:4">
      <c r="A1673" s="23" t="s">
        <v>544</v>
      </c>
      <c r="B1673" t="s">
        <v>545</v>
      </c>
      <c r="C1673" t="s">
        <v>564</v>
      </c>
      <c r="D1673" s="29">
        <f>VALUE(LEFT(C1673,LEN(C1673)-2))</f>
        <v>12.7</v>
      </c>
    </row>
    <row r="1674" spans="1:4">
      <c r="A1674" s="23" t="s">
        <v>547</v>
      </c>
      <c r="B1674" t="s">
        <v>545</v>
      </c>
      <c r="C1674" s="24">
        <v>0.65</v>
      </c>
      <c r="D1674" s="27">
        <f>VALUE(C1674*100)</f>
        <v>65</v>
      </c>
    </row>
    <row r="1675" spans="1:4">
      <c r="A1675" s="23" t="s">
        <v>548</v>
      </c>
      <c r="B1675" t="s">
        <v>545</v>
      </c>
      <c r="C1675" t="s">
        <v>1154</v>
      </c>
      <c r="D1675" s="29">
        <f>VALUE(LEFT(C1675,LEN(C1675)-2))</f>
        <v>6</v>
      </c>
    </row>
    <row r="1676" spans="1:4">
      <c r="A1676" s="23" t="s">
        <v>550</v>
      </c>
      <c r="B1676" t="s">
        <v>545</v>
      </c>
      <c r="C1676" t="s">
        <v>1269</v>
      </c>
      <c r="D1676" s="28">
        <f>VALUE(LEFT(C1676,LEN(C1676)-4))</f>
        <v>1027.2</v>
      </c>
    </row>
    <row r="1677" spans="1:4">
      <c r="A1677" s="23" t="s">
        <v>552</v>
      </c>
      <c r="B1677" t="s">
        <v>545</v>
      </c>
      <c r="C1677" t="s">
        <v>789</v>
      </c>
      <c r="D1677" s="29">
        <f>VALUE(LEFT(C1677,LEN(C1677)-FIND("km/h",C1677)+1)/3.6)</f>
        <v>1.8055555555555556</v>
      </c>
    </row>
    <row r="1678" spans="1:4">
      <c r="A1678" s="23" t="s">
        <v>554</v>
      </c>
      <c r="B1678" t="s">
        <v>545</v>
      </c>
      <c r="C1678" t="s">
        <v>762</v>
      </c>
      <c r="D1678" s="29">
        <f>VALUE(LEFT(C1678,LEN(C1678)-FIND("km/h",C1678)+1)/3.6)</f>
        <v>2.4722222222222223</v>
      </c>
    </row>
    <row r="1679" spans="1:4">
      <c r="A1679" s="23" t="s">
        <v>556</v>
      </c>
      <c r="B1679" t="s">
        <v>545</v>
      </c>
      <c r="C1679" t="s">
        <v>1242</v>
      </c>
      <c r="D1679" s="26">
        <f>VALUE(LEFT(C1679,LEN(C1679)-7))</f>
        <v>98</v>
      </c>
    </row>
    <row r="1680" spans="1:4">
      <c r="A1680" s="23" t="s">
        <v>558</v>
      </c>
      <c r="B1680" t="s">
        <v>545</v>
      </c>
      <c r="C1680" t="s">
        <v>581</v>
      </c>
      <c r="D1680" s="29">
        <f>VALUE(LEFT(C1680,LEN(C1680)-3))</f>
        <v>1</v>
      </c>
    </row>
    <row r="1681" spans="1:4">
      <c r="A1681" s="23" t="s">
        <v>560</v>
      </c>
      <c r="B1681" t="s">
        <v>545</v>
      </c>
      <c r="C1681" t="s">
        <v>1267</v>
      </c>
      <c r="D1681" s="29">
        <f>VALUE(LEFT(C1681,LEN(C1681)-3))</f>
        <v>605.5</v>
      </c>
    </row>
    <row r="1682" spans="1:4">
      <c r="A1682" s="23" t="s">
        <v>562</v>
      </c>
      <c r="B1682" t="s">
        <v>545</v>
      </c>
      <c r="C1682" t="s">
        <v>604</v>
      </c>
      <c r="D1682" s="29">
        <f>VALUE(LEFT(C1682,LEN(C1682)-3))</f>
        <v>0</v>
      </c>
    </row>
    <row r="1684" spans="1:4">
      <c r="A1684" s="23" t="s">
        <v>544</v>
      </c>
      <c r="B1684" t="s">
        <v>545</v>
      </c>
      <c r="C1684" t="s">
        <v>793</v>
      </c>
      <c r="D1684" s="29">
        <f>VALUE(LEFT(C1684,LEN(C1684)-2))</f>
        <v>10.8</v>
      </c>
    </row>
    <row r="1685" spans="1:4">
      <c r="A1685" s="23" t="s">
        <v>547</v>
      </c>
      <c r="B1685" t="s">
        <v>545</v>
      </c>
      <c r="C1685" s="24">
        <v>0.73</v>
      </c>
      <c r="D1685" s="27">
        <f>VALUE(C1685*100)</f>
        <v>73</v>
      </c>
    </row>
    <row r="1686" spans="1:4">
      <c r="A1686" s="23" t="s">
        <v>548</v>
      </c>
      <c r="B1686" t="s">
        <v>545</v>
      </c>
      <c r="C1686" t="s">
        <v>574</v>
      </c>
      <c r="D1686" s="29">
        <f>VALUE(LEFT(C1686,LEN(C1686)-2))</f>
        <v>5.9</v>
      </c>
    </row>
    <row r="1687" spans="1:4">
      <c r="A1687" s="23" t="s">
        <v>550</v>
      </c>
      <c r="B1687" t="s">
        <v>545</v>
      </c>
      <c r="C1687" t="s">
        <v>1270</v>
      </c>
      <c r="D1687" s="28">
        <f>VALUE(LEFT(C1687,LEN(C1687)-4))</f>
        <v>1023.1</v>
      </c>
    </row>
    <row r="1688" spans="1:4">
      <c r="A1688" s="23" t="s">
        <v>552</v>
      </c>
      <c r="B1688" t="s">
        <v>545</v>
      </c>
      <c r="C1688" t="s">
        <v>1008</v>
      </c>
      <c r="D1688" s="29">
        <f>VALUE(LEFT(C1688,LEN(C1688)-FIND("km/h",C1688)+1)/3.6)</f>
        <v>1.0277777777777779</v>
      </c>
    </row>
    <row r="1689" spans="1:4">
      <c r="A1689" s="23" t="s">
        <v>554</v>
      </c>
      <c r="B1689" t="s">
        <v>545</v>
      </c>
      <c r="C1689" t="s">
        <v>669</v>
      </c>
      <c r="D1689" s="29">
        <f>VALUE(LEFT(C1689,LEN(C1689)-FIND("km/h",C1689)+1)/3.6)</f>
        <v>1.4722222222222221</v>
      </c>
    </row>
    <row r="1690" spans="1:4">
      <c r="A1690" s="23" t="s">
        <v>556</v>
      </c>
      <c r="B1690" t="s">
        <v>545</v>
      </c>
      <c r="C1690" t="s">
        <v>1271</v>
      </c>
      <c r="D1690" s="26">
        <f>VALUE(LEFT(C1690,LEN(C1690)-7))</f>
        <v>142</v>
      </c>
    </row>
    <row r="1691" spans="1:4">
      <c r="A1691" s="23" t="s">
        <v>558</v>
      </c>
      <c r="B1691" t="s">
        <v>545</v>
      </c>
      <c r="C1691" t="s">
        <v>581</v>
      </c>
      <c r="D1691" s="29">
        <f>VALUE(LEFT(C1691,LEN(C1691)-3))</f>
        <v>1</v>
      </c>
    </row>
    <row r="1692" spans="1:4">
      <c r="A1692" s="23" t="s">
        <v>560</v>
      </c>
      <c r="B1692" t="s">
        <v>545</v>
      </c>
      <c r="C1692" t="s">
        <v>1267</v>
      </c>
      <c r="D1692" s="29">
        <f>VALUE(LEFT(C1692,LEN(C1692)-3))</f>
        <v>605.5</v>
      </c>
    </row>
    <row r="1693" spans="1:4">
      <c r="A1693" s="23" t="s">
        <v>562</v>
      </c>
      <c r="B1693" t="s">
        <v>545</v>
      </c>
      <c r="C1693" t="s">
        <v>604</v>
      </c>
      <c r="D1693" s="29">
        <f>VALUE(LEFT(C1693,LEN(C1693)-3))</f>
        <v>0</v>
      </c>
    </row>
    <row r="1695" spans="1:4">
      <c r="A1695" s="23" t="s">
        <v>544</v>
      </c>
      <c r="B1695" t="s">
        <v>545</v>
      </c>
      <c r="C1695" t="s">
        <v>678</v>
      </c>
      <c r="D1695" s="29">
        <f>VALUE(LEFT(C1695,LEN(C1695)-2))</f>
        <v>11.2</v>
      </c>
    </row>
    <row r="1696" spans="1:4">
      <c r="A1696" s="23" t="s">
        <v>547</v>
      </c>
      <c r="B1696" t="s">
        <v>545</v>
      </c>
      <c r="C1696" s="24">
        <v>0.89</v>
      </c>
      <c r="D1696" s="27">
        <f>VALUE(C1696*100)</f>
        <v>89</v>
      </c>
    </row>
    <row r="1697" spans="1:4">
      <c r="A1697" s="23" t="s">
        <v>548</v>
      </c>
      <c r="B1697" t="s">
        <v>545</v>
      </c>
      <c r="C1697" t="s">
        <v>1121</v>
      </c>
      <c r="D1697" s="29">
        <f>VALUE(LEFT(C1697,LEN(C1697)-2))</f>
        <v>9.4</v>
      </c>
    </row>
    <row r="1698" spans="1:4">
      <c r="A1698" s="23" t="s">
        <v>550</v>
      </c>
      <c r="B1698" t="s">
        <v>545</v>
      </c>
      <c r="C1698" t="s">
        <v>1272</v>
      </c>
      <c r="D1698" s="28">
        <f>VALUE(LEFT(C1698,LEN(C1698)-4))</f>
        <v>1022.9</v>
      </c>
    </row>
    <row r="1699" spans="1:4">
      <c r="A1699" s="23" t="s">
        <v>552</v>
      </c>
      <c r="B1699" t="s">
        <v>545</v>
      </c>
      <c r="C1699" t="s">
        <v>635</v>
      </c>
      <c r="D1699" s="29">
        <f>VALUE(LEFT(C1699,LEN(C1699)-FIND("km/h",C1699)+1)/3.6)</f>
        <v>0.80555555555555547</v>
      </c>
    </row>
    <row r="1700" spans="1:4">
      <c r="A1700" s="23" t="s">
        <v>554</v>
      </c>
      <c r="B1700" t="s">
        <v>545</v>
      </c>
      <c r="C1700" t="s">
        <v>780</v>
      </c>
      <c r="D1700" s="29">
        <f>VALUE(LEFT(C1700,LEN(C1700)-FIND("km/h",C1700)+1)/3.6)</f>
        <v>1.1666666666666667</v>
      </c>
    </row>
    <row r="1701" spans="1:4">
      <c r="A1701" s="23" t="s">
        <v>556</v>
      </c>
      <c r="B1701" t="s">
        <v>545</v>
      </c>
      <c r="C1701" t="s">
        <v>1273</v>
      </c>
      <c r="D1701" s="26">
        <f>VALUE(LEFT(C1701,LEN(C1701)-7))</f>
        <v>182</v>
      </c>
    </row>
    <row r="1702" spans="1:4">
      <c r="A1702" s="23" t="s">
        <v>558</v>
      </c>
      <c r="B1702" t="s">
        <v>545</v>
      </c>
      <c r="C1702" t="s">
        <v>597</v>
      </c>
      <c r="D1702" s="29">
        <f>VALUE(LEFT(C1702,LEN(C1702)-3))</f>
        <v>3</v>
      </c>
    </row>
    <row r="1703" spans="1:4">
      <c r="A1703" s="23" t="s">
        <v>560</v>
      </c>
      <c r="B1703" t="s">
        <v>545</v>
      </c>
      <c r="C1703" t="s">
        <v>1274</v>
      </c>
      <c r="D1703" s="29">
        <f>VALUE(LEFT(C1703,LEN(C1703)-3))</f>
        <v>607.5</v>
      </c>
    </row>
    <row r="1704" spans="1:4">
      <c r="A1704" s="23" t="s">
        <v>562</v>
      </c>
      <c r="B1704" t="s">
        <v>545</v>
      </c>
      <c r="C1704" t="s">
        <v>685</v>
      </c>
      <c r="D1704" s="29">
        <f>VALUE(LEFT(C1704,LEN(C1704)-3))</f>
        <v>2</v>
      </c>
    </row>
    <row r="1706" spans="1:4">
      <c r="A1706" s="23" t="s">
        <v>544</v>
      </c>
      <c r="B1706" t="s">
        <v>545</v>
      </c>
      <c r="C1706" t="s">
        <v>1275</v>
      </c>
      <c r="D1706" s="29">
        <f>VALUE(LEFT(C1706,LEN(C1706)-2))</f>
        <v>10.1</v>
      </c>
    </row>
    <row r="1707" spans="1:4">
      <c r="A1707" s="23" t="s">
        <v>547</v>
      </c>
      <c r="B1707" t="s">
        <v>545</v>
      </c>
      <c r="C1707" s="24">
        <v>0.94</v>
      </c>
      <c r="D1707" s="27">
        <f>VALUE(C1707*100)</f>
        <v>94</v>
      </c>
    </row>
    <row r="1708" spans="1:4">
      <c r="A1708" s="23" t="s">
        <v>548</v>
      </c>
      <c r="B1708" t="s">
        <v>545</v>
      </c>
      <c r="C1708" t="s">
        <v>837</v>
      </c>
      <c r="D1708" s="29">
        <f>VALUE(LEFT(C1708,LEN(C1708)-2))</f>
        <v>9.1999999999999993</v>
      </c>
    </row>
    <row r="1709" spans="1:4">
      <c r="A1709" s="23" t="s">
        <v>550</v>
      </c>
      <c r="B1709" t="s">
        <v>545</v>
      </c>
      <c r="C1709" t="s">
        <v>1238</v>
      </c>
      <c r="D1709" s="28">
        <f>VALUE(LEFT(C1709,LEN(C1709)-4))</f>
        <v>1022.5</v>
      </c>
    </row>
    <row r="1710" spans="1:4">
      <c r="A1710" s="23" t="s">
        <v>552</v>
      </c>
      <c r="B1710" t="s">
        <v>545</v>
      </c>
      <c r="C1710" t="s">
        <v>825</v>
      </c>
      <c r="D1710" s="29">
        <f>VALUE(LEFT(C1710,LEN(C1710)-FIND("km/h",C1710)+1)/3.6)</f>
        <v>1.7777777777777779</v>
      </c>
    </row>
    <row r="1711" spans="1:4">
      <c r="A1711" s="23" t="s">
        <v>554</v>
      </c>
      <c r="B1711" t="s">
        <v>545</v>
      </c>
      <c r="C1711" t="s">
        <v>893</v>
      </c>
      <c r="D1711" s="29">
        <f>VALUE(LEFT(C1711,LEN(C1711)-FIND("km/h",C1711)+1)/3.6)</f>
        <v>2.5277777777777777</v>
      </c>
    </row>
    <row r="1712" spans="1:4">
      <c r="A1712" s="23" t="s">
        <v>556</v>
      </c>
      <c r="B1712" t="s">
        <v>545</v>
      </c>
      <c r="C1712" t="s">
        <v>1276</v>
      </c>
      <c r="D1712" s="26">
        <f>VALUE(LEFT(C1712,LEN(C1712)-7))</f>
        <v>186</v>
      </c>
    </row>
    <row r="1713" spans="1:4">
      <c r="A1713" s="23" t="s">
        <v>558</v>
      </c>
      <c r="B1713" t="s">
        <v>545</v>
      </c>
      <c r="C1713" t="s">
        <v>677</v>
      </c>
      <c r="D1713" s="29">
        <f>VALUE(LEFT(C1713,LEN(C1713)-3))</f>
        <v>5</v>
      </c>
    </row>
    <row r="1714" spans="1:4">
      <c r="A1714" s="23" t="s">
        <v>560</v>
      </c>
      <c r="B1714" t="s">
        <v>545</v>
      </c>
      <c r="C1714" t="s">
        <v>1277</v>
      </c>
      <c r="D1714" s="29">
        <f>VALUE(LEFT(C1714,LEN(C1714)-3))</f>
        <v>609.5</v>
      </c>
    </row>
    <row r="1715" spans="1:4">
      <c r="A1715" s="23" t="s">
        <v>562</v>
      </c>
      <c r="B1715" t="s">
        <v>545</v>
      </c>
      <c r="C1715" t="s">
        <v>685</v>
      </c>
      <c r="D1715" s="29">
        <f>VALUE(LEFT(C1715,LEN(C1715)-3))</f>
        <v>2</v>
      </c>
    </row>
    <row r="1717" spans="1:4">
      <c r="A1717" s="23" t="s">
        <v>544</v>
      </c>
      <c r="B1717" t="s">
        <v>545</v>
      </c>
      <c r="C1717" t="s">
        <v>895</v>
      </c>
      <c r="D1717" s="29">
        <f>VALUE(LEFT(C1717,LEN(C1717)-2))</f>
        <v>11.6</v>
      </c>
    </row>
    <row r="1718" spans="1:4">
      <c r="A1718" s="23" t="s">
        <v>547</v>
      </c>
      <c r="B1718" t="s">
        <v>545</v>
      </c>
      <c r="C1718" s="24">
        <v>0.9</v>
      </c>
      <c r="D1718" s="27">
        <f>VALUE(C1718*100)</f>
        <v>90</v>
      </c>
    </row>
    <row r="1719" spans="1:4">
      <c r="A1719" s="23" t="s">
        <v>548</v>
      </c>
      <c r="B1719" t="s">
        <v>545</v>
      </c>
      <c r="C1719" t="s">
        <v>1148</v>
      </c>
      <c r="D1719" s="29">
        <f>VALUE(LEFT(C1719,LEN(C1719)-2))</f>
        <v>9.9</v>
      </c>
    </row>
    <row r="1720" spans="1:4">
      <c r="A1720" s="23" t="s">
        <v>550</v>
      </c>
      <c r="B1720" t="s">
        <v>545</v>
      </c>
      <c r="C1720" t="s">
        <v>1278</v>
      </c>
      <c r="D1720" s="28">
        <f>VALUE(LEFT(C1720,LEN(C1720)-4))</f>
        <v>1018.3</v>
      </c>
    </row>
    <row r="1721" spans="1:4">
      <c r="A1721" s="23" t="s">
        <v>552</v>
      </c>
      <c r="B1721" t="s">
        <v>545</v>
      </c>
      <c r="C1721" t="s">
        <v>748</v>
      </c>
      <c r="D1721" s="29">
        <f>VALUE(LEFT(C1721,LEN(C1721)-FIND("km/h",C1721)+1)/3.6)</f>
        <v>2.8611111111111112</v>
      </c>
    </row>
    <row r="1722" spans="1:4">
      <c r="A1722" s="23" t="s">
        <v>554</v>
      </c>
      <c r="B1722" t="s">
        <v>545</v>
      </c>
      <c r="C1722" t="s">
        <v>1279</v>
      </c>
      <c r="D1722" s="29">
        <f>VALUE(LEFT(C1722,LEN(C1722)-FIND("km/h",C1722)+1)/3.6)</f>
        <v>4.2222222222222223</v>
      </c>
    </row>
    <row r="1723" spans="1:4">
      <c r="A1723" s="23" t="s">
        <v>556</v>
      </c>
      <c r="B1723" t="s">
        <v>545</v>
      </c>
      <c r="C1723" t="s">
        <v>1280</v>
      </c>
      <c r="D1723" s="26">
        <f>VALUE(LEFT(C1723,LEN(C1723)-7))</f>
        <v>266</v>
      </c>
    </row>
    <row r="1724" spans="1:4">
      <c r="A1724" s="23" t="s">
        <v>558</v>
      </c>
      <c r="B1724" t="s">
        <v>545</v>
      </c>
      <c r="C1724" t="s">
        <v>1281</v>
      </c>
      <c r="D1724" s="29">
        <f>VALUE(LEFT(C1724,LEN(C1724)-3))</f>
        <v>40.9</v>
      </c>
    </row>
    <row r="1725" spans="1:4">
      <c r="A1725" s="23" t="s">
        <v>560</v>
      </c>
      <c r="B1725" t="s">
        <v>545</v>
      </c>
      <c r="C1725" t="s">
        <v>1282</v>
      </c>
      <c r="D1725" s="29">
        <f>VALUE(LEFT(C1725,LEN(C1725)-3))</f>
        <v>645.4</v>
      </c>
    </row>
    <row r="1726" spans="1:4">
      <c r="A1726" s="23" t="s">
        <v>562</v>
      </c>
      <c r="B1726" t="s">
        <v>545</v>
      </c>
      <c r="C1726" t="s">
        <v>942</v>
      </c>
      <c r="D1726" s="29">
        <f>VALUE(LEFT(C1726,LEN(C1726)-3))</f>
        <v>35.9</v>
      </c>
    </row>
    <row r="1728" spans="1:4">
      <c r="A1728" s="23" t="s">
        <v>544</v>
      </c>
      <c r="B1728" t="s">
        <v>545</v>
      </c>
      <c r="C1728" t="s">
        <v>690</v>
      </c>
      <c r="D1728" s="29">
        <f>VALUE(LEFT(C1728,LEN(C1728)-2))</f>
        <v>6.9</v>
      </c>
    </row>
    <row r="1729" spans="1:4">
      <c r="A1729" s="23" t="s">
        <v>547</v>
      </c>
      <c r="B1729" t="s">
        <v>545</v>
      </c>
      <c r="C1729" s="24">
        <v>0.8</v>
      </c>
      <c r="D1729" s="27">
        <f>VALUE(C1729*100)</f>
        <v>80</v>
      </c>
    </row>
    <row r="1730" spans="1:4">
      <c r="A1730" s="23" t="s">
        <v>548</v>
      </c>
      <c r="B1730" t="s">
        <v>545</v>
      </c>
      <c r="C1730" t="s">
        <v>1283</v>
      </c>
      <c r="D1730" s="29">
        <f>VALUE(LEFT(C1730,LEN(C1730)-2))</f>
        <v>3.1</v>
      </c>
    </row>
    <row r="1731" spans="1:4">
      <c r="A1731" s="23" t="s">
        <v>550</v>
      </c>
      <c r="B1731" t="s">
        <v>545</v>
      </c>
      <c r="C1731" t="s">
        <v>1284</v>
      </c>
      <c r="D1731" s="28">
        <f>VALUE(LEFT(C1731,LEN(C1731)-4))</f>
        <v>1028.3</v>
      </c>
    </row>
    <row r="1732" spans="1:4">
      <c r="A1732" s="23" t="s">
        <v>552</v>
      </c>
      <c r="B1732" t="s">
        <v>545</v>
      </c>
      <c r="C1732" t="s">
        <v>807</v>
      </c>
      <c r="D1732" s="29">
        <f>VALUE(LEFT(C1732,LEN(C1732)-FIND("km/h",C1732)+1)/3.6)</f>
        <v>0.75</v>
      </c>
    </row>
    <row r="1733" spans="1:4">
      <c r="A1733" s="23" t="s">
        <v>554</v>
      </c>
      <c r="B1733" t="s">
        <v>545</v>
      </c>
      <c r="C1733" t="s">
        <v>1141</v>
      </c>
      <c r="D1733" s="29">
        <f>VALUE(LEFT(C1733,LEN(C1733)-FIND("km/h",C1733)+1)/3.6)</f>
        <v>1.1111111111111112</v>
      </c>
    </row>
    <row r="1734" spans="1:4">
      <c r="A1734" s="23" t="s">
        <v>556</v>
      </c>
      <c r="B1734" t="s">
        <v>545</v>
      </c>
      <c r="C1734" t="s">
        <v>1285</v>
      </c>
      <c r="D1734" s="26">
        <f>VALUE(LEFT(C1734,LEN(C1734)-7))</f>
        <v>342</v>
      </c>
    </row>
    <row r="1735" spans="1:4">
      <c r="A1735" s="23" t="s">
        <v>558</v>
      </c>
      <c r="B1735" t="s">
        <v>545</v>
      </c>
      <c r="C1735" t="s">
        <v>1281</v>
      </c>
      <c r="D1735" s="29">
        <f>VALUE(LEFT(C1735,LEN(C1735)-3))</f>
        <v>40.9</v>
      </c>
    </row>
    <row r="1736" spans="1:4">
      <c r="A1736" s="23" t="s">
        <v>560</v>
      </c>
      <c r="B1736" t="s">
        <v>545</v>
      </c>
      <c r="C1736" t="s">
        <v>1282</v>
      </c>
      <c r="D1736" s="29">
        <f>VALUE(LEFT(C1736,LEN(C1736)-3))</f>
        <v>645.4</v>
      </c>
    </row>
    <row r="1737" spans="1:4">
      <c r="A1737" s="23" t="s">
        <v>562</v>
      </c>
      <c r="B1737" t="s">
        <v>545</v>
      </c>
      <c r="C1737" t="s">
        <v>604</v>
      </c>
      <c r="D1737" s="29">
        <f>VALUE(LEFT(C1737,LEN(C1737)-3))</f>
        <v>0</v>
      </c>
    </row>
    <row r="1739" spans="1:4">
      <c r="A1739" s="23" t="s">
        <v>544</v>
      </c>
      <c r="B1739" t="s">
        <v>545</v>
      </c>
      <c r="C1739" t="s">
        <v>951</v>
      </c>
      <c r="D1739" s="29">
        <f>VALUE(LEFT(C1739,LEN(C1739)-2))</f>
        <v>5.4</v>
      </c>
    </row>
    <row r="1740" spans="1:4">
      <c r="A1740" s="23" t="s">
        <v>547</v>
      </c>
      <c r="B1740" t="s">
        <v>545</v>
      </c>
      <c r="C1740" s="24">
        <v>0.81</v>
      </c>
      <c r="D1740" s="27">
        <f>VALUE(C1740*100)</f>
        <v>81</v>
      </c>
    </row>
    <row r="1741" spans="1:4">
      <c r="A1741" s="23" t="s">
        <v>548</v>
      </c>
      <c r="B1741" t="s">
        <v>545</v>
      </c>
      <c r="C1741" t="s">
        <v>1243</v>
      </c>
      <c r="D1741" s="29">
        <f>VALUE(LEFT(C1741,LEN(C1741)-2))</f>
        <v>2</v>
      </c>
    </row>
    <row r="1742" spans="1:4">
      <c r="A1742" s="23" t="s">
        <v>550</v>
      </c>
      <c r="B1742" t="s">
        <v>545</v>
      </c>
      <c r="C1742" t="s">
        <v>1286</v>
      </c>
      <c r="D1742" s="28">
        <f>VALUE(LEFT(C1742,LEN(C1742)-4))</f>
        <v>1029.4000000000001</v>
      </c>
    </row>
    <row r="1743" spans="1:4">
      <c r="A1743" s="23" t="s">
        <v>552</v>
      </c>
      <c r="B1743" t="s">
        <v>545</v>
      </c>
      <c r="C1743" t="s">
        <v>1241</v>
      </c>
      <c r="D1743" s="29">
        <f>VALUE(LEFT(C1743,LEN(C1743)-FIND("km/h",C1743)+1)/3.6)</f>
        <v>0.47222222222222221</v>
      </c>
    </row>
    <row r="1744" spans="1:4">
      <c r="A1744" s="23" t="s">
        <v>554</v>
      </c>
      <c r="B1744" t="s">
        <v>545</v>
      </c>
      <c r="C1744" t="s">
        <v>1239</v>
      </c>
      <c r="D1744" s="29">
        <f>VALUE(LEFT(C1744,LEN(C1744)-FIND("km/h",C1744)+1)/3.6)</f>
        <v>0.72222222222222221</v>
      </c>
    </row>
    <row r="1745" spans="1:4">
      <c r="A1745" s="23" t="s">
        <v>556</v>
      </c>
      <c r="B1745" t="s">
        <v>545</v>
      </c>
      <c r="C1745" t="s">
        <v>1287</v>
      </c>
      <c r="D1745" s="26">
        <f>VALUE(LEFT(C1745,LEN(C1745)-7))</f>
        <v>131</v>
      </c>
    </row>
    <row r="1746" spans="1:4">
      <c r="A1746" s="23" t="s">
        <v>558</v>
      </c>
      <c r="B1746" t="s">
        <v>545</v>
      </c>
      <c r="C1746" t="s">
        <v>1281</v>
      </c>
      <c r="D1746" s="29">
        <f>VALUE(LEFT(C1746,LEN(C1746)-3))</f>
        <v>40.9</v>
      </c>
    </row>
    <row r="1747" spans="1:4">
      <c r="A1747" s="23" t="s">
        <v>560</v>
      </c>
      <c r="B1747" t="s">
        <v>545</v>
      </c>
      <c r="C1747" t="s">
        <v>1282</v>
      </c>
      <c r="D1747" s="29">
        <f>VALUE(LEFT(C1747,LEN(C1747)-3))</f>
        <v>645.4</v>
      </c>
    </row>
    <row r="1748" spans="1:4">
      <c r="A1748" s="23" t="s">
        <v>562</v>
      </c>
      <c r="B1748" t="s">
        <v>545</v>
      </c>
      <c r="C1748" t="s">
        <v>604</v>
      </c>
      <c r="D1748" s="29">
        <f>VALUE(LEFT(C1748,LEN(C1748)-3))</f>
        <v>0</v>
      </c>
    </row>
    <row r="1750" spans="1:4">
      <c r="A1750" s="23" t="s">
        <v>544</v>
      </c>
      <c r="B1750" t="s">
        <v>545</v>
      </c>
      <c r="C1750" t="s">
        <v>658</v>
      </c>
      <c r="D1750" s="29">
        <f>VALUE(LEFT(C1750,LEN(C1750)-2))</f>
        <v>7.4</v>
      </c>
    </row>
    <row r="1751" spans="1:4">
      <c r="A1751" s="23" t="s">
        <v>547</v>
      </c>
      <c r="B1751" t="s">
        <v>545</v>
      </c>
      <c r="C1751" s="24">
        <v>0.8</v>
      </c>
      <c r="D1751" s="27">
        <f>VALUE(C1751*100)</f>
        <v>80</v>
      </c>
    </row>
    <row r="1752" spans="1:4">
      <c r="A1752" s="23" t="s">
        <v>548</v>
      </c>
      <c r="B1752" t="s">
        <v>545</v>
      </c>
      <c r="C1752" t="s">
        <v>1288</v>
      </c>
      <c r="D1752" s="29">
        <f>VALUE(LEFT(C1752,LEN(C1752)-2))</f>
        <v>4.0999999999999996</v>
      </c>
    </row>
    <row r="1753" spans="1:4">
      <c r="A1753" s="23" t="s">
        <v>550</v>
      </c>
      <c r="B1753" t="s">
        <v>545</v>
      </c>
      <c r="C1753" t="s">
        <v>1289</v>
      </c>
      <c r="D1753" s="28">
        <f>VALUE(LEFT(C1753,LEN(C1753)-4))</f>
        <v>1028</v>
      </c>
    </row>
    <row r="1754" spans="1:4">
      <c r="A1754" s="23" t="s">
        <v>552</v>
      </c>
      <c r="B1754" t="s">
        <v>545</v>
      </c>
      <c r="C1754" t="s">
        <v>1234</v>
      </c>
      <c r="D1754" s="29">
        <f>VALUE(LEFT(C1754,LEN(C1754)-FIND("km/h",C1754)+1)/3.6)</f>
        <v>0.69444444444444442</v>
      </c>
    </row>
    <row r="1755" spans="1:4">
      <c r="A1755" s="23" t="s">
        <v>554</v>
      </c>
      <c r="B1755" t="s">
        <v>545</v>
      </c>
      <c r="C1755" t="s">
        <v>645</v>
      </c>
      <c r="D1755" s="29">
        <f>VALUE(LEFT(C1755,LEN(C1755)-FIND("km/h",C1755)+1)/3.6)</f>
        <v>1</v>
      </c>
    </row>
    <row r="1756" spans="1:4">
      <c r="A1756" s="23" t="s">
        <v>556</v>
      </c>
      <c r="B1756" t="s">
        <v>545</v>
      </c>
      <c r="C1756" t="s">
        <v>1290</v>
      </c>
      <c r="D1756" s="26">
        <f>VALUE(LEFT(C1756,LEN(C1756)-7))</f>
        <v>97</v>
      </c>
    </row>
    <row r="1757" spans="1:4">
      <c r="A1757" s="23" t="s">
        <v>558</v>
      </c>
      <c r="B1757" t="s">
        <v>545</v>
      </c>
      <c r="C1757" t="s">
        <v>1291</v>
      </c>
      <c r="D1757" s="29">
        <f>VALUE(LEFT(C1757,LEN(C1757)-3))</f>
        <v>41.9</v>
      </c>
    </row>
    <row r="1758" spans="1:4">
      <c r="A1758" s="23" t="s">
        <v>560</v>
      </c>
      <c r="B1758" t="s">
        <v>545</v>
      </c>
      <c r="C1758" t="s">
        <v>1292</v>
      </c>
      <c r="D1758" s="29">
        <f>VALUE(LEFT(C1758,LEN(C1758)-3))</f>
        <v>646.4</v>
      </c>
    </row>
    <row r="1759" spans="1:4">
      <c r="A1759" s="23" t="s">
        <v>562</v>
      </c>
      <c r="B1759" t="s">
        <v>545</v>
      </c>
      <c r="C1759" t="s">
        <v>581</v>
      </c>
      <c r="D1759" s="29">
        <f>VALUE(LEFT(C1759,LEN(C1759)-3))</f>
        <v>1</v>
      </c>
    </row>
    <row r="1761" spans="1:4">
      <c r="A1761" s="23" t="s">
        <v>544</v>
      </c>
      <c r="B1761" t="s">
        <v>545</v>
      </c>
      <c r="C1761" t="s">
        <v>678</v>
      </c>
      <c r="D1761" s="29">
        <f>VALUE(LEFT(C1761,LEN(C1761)-2))</f>
        <v>11.2</v>
      </c>
    </row>
    <row r="1762" spans="1:4">
      <c r="A1762" s="23" t="s">
        <v>547</v>
      </c>
      <c r="B1762" t="s">
        <v>545</v>
      </c>
      <c r="C1762" s="24">
        <v>0.95</v>
      </c>
      <c r="D1762" s="27">
        <f>VALUE(C1762*100)</f>
        <v>95</v>
      </c>
    </row>
    <row r="1763" spans="1:4">
      <c r="A1763" s="23" t="s">
        <v>548</v>
      </c>
      <c r="B1763" t="s">
        <v>545</v>
      </c>
      <c r="C1763" t="s">
        <v>888</v>
      </c>
      <c r="D1763" s="29">
        <f>VALUE(LEFT(C1763,LEN(C1763)-2))</f>
        <v>10.3</v>
      </c>
    </row>
    <row r="1764" spans="1:4">
      <c r="A1764" s="23" t="s">
        <v>550</v>
      </c>
      <c r="B1764" t="s">
        <v>545</v>
      </c>
      <c r="C1764" t="s">
        <v>1293</v>
      </c>
      <c r="D1764" s="28">
        <f>VALUE(LEFT(C1764,LEN(C1764)-4))</f>
        <v>1020.8</v>
      </c>
    </row>
    <row r="1765" spans="1:4">
      <c r="A1765" s="23" t="s">
        <v>552</v>
      </c>
      <c r="B1765" t="s">
        <v>545</v>
      </c>
      <c r="C1765" t="s">
        <v>592</v>
      </c>
      <c r="D1765" s="29">
        <f>VALUE(LEFT(C1765,LEN(C1765)-FIND("km/h",C1765)+1)/3.6)</f>
        <v>2.7222222222222223</v>
      </c>
    </row>
    <row r="1766" spans="1:4">
      <c r="A1766" s="23" t="s">
        <v>554</v>
      </c>
      <c r="B1766" t="s">
        <v>545</v>
      </c>
      <c r="C1766" t="s">
        <v>979</v>
      </c>
      <c r="D1766" s="29">
        <f>VALUE(LEFT(C1766,LEN(C1766)-FIND("km/h",C1766)+1)/3.6)</f>
        <v>3.6944444444444446</v>
      </c>
    </row>
    <row r="1767" spans="1:4">
      <c r="A1767" s="23" t="s">
        <v>556</v>
      </c>
      <c r="B1767" t="s">
        <v>545</v>
      </c>
      <c r="C1767" t="s">
        <v>1294</v>
      </c>
      <c r="D1767" s="26">
        <f>VALUE(LEFT(C1767,LEN(C1767)-7))</f>
        <v>156</v>
      </c>
    </row>
    <row r="1768" spans="1:4">
      <c r="A1768" s="23" t="s">
        <v>558</v>
      </c>
      <c r="B1768" t="s">
        <v>545</v>
      </c>
      <c r="C1768" t="s">
        <v>1295</v>
      </c>
      <c r="D1768" s="29">
        <f>VALUE(LEFT(C1768,LEN(C1768)-3))</f>
        <v>48.9</v>
      </c>
    </row>
    <row r="1769" spans="1:4">
      <c r="A1769" s="23" t="s">
        <v>560</v>
      </c>
      <c r="B1769" t="s">
        <v>545</v>
      </c>
      <c r="C1769" t="s">
        <v>1296</v>
      </c>
      <c r="D1769" s="29">
        <f>VALUE(LEFT(C1769,LEN(C1769)-3))</f>
        <v>653.4</v>
      </c>
    </row>
    <row r="1770" spans="1:4">
      <c r="A1770" s="23" t="s">
        <v>562</v>
      </c>
      <c r="B1770" t="s">
        <v>545</v>
      </c>
      <c r="C1770" t="s">
        <v>572</v>
      </c>
      <c r="D1770" s="29">
        <f>VALUE(LEFT(C1770,LEN(C1770)-3))</f>
        <v>7</v>
      </c>
    </row>
    <row r="1772" spans="1:4">
      <c r="A1772" s="23" t="s">
        <v>544</v>
      </c>
      <c r="B1772" t="s">
        <v>545</v>
      </c>
      <c r="C1772" t="s">
        <v>626</v>
      </c>
      <c r="D1772" s="29">
        <f>VALUE(LEFT(C1772,LEN(C1772)-2))</f>
        <v>14.2</v>
      </c>
    </row>
    <row r="1773" spans="1:4">
      <c r="A1773" s="23" t="s">
        <v>547</v>
      </c>
      <c r="B1773" t="s">
        <v>545</v>
      </c>
      <c r="C1773" s="24">
        <v>0.96</v>
      </c>
      <c r="D1773" s="27">
        <f>VALUE(C1773*100)</f>
        <v>96</v>
      </c>
    </row>
    <row r="1774" spans="1:4">
      <c r="A1774" s="23" t="s">
        <v>548</v>
      </c>
      <c r="B1774" t="s">
        <v>545</v>
      </c>
      <c r="C1774" t="s">
        <v>857</v>
      </c>
      <c r="D1774" s="29">
        <f>VALUE(LEFT(C1774,LEN(C1774)-2))</f>
        <v>13.6</v>
      </c>
    </row>
    <row r="1775" spans="1:4">
      <c r="A1775" s="23" t="s">
        <v>550</v>
      </c>
      <c r="B1775" t="s">
        <v>545</v>
      </c>
      <c r="C1775" t="s">
        <v>1297</v>
      </c>
      <c r="D1775" s="28">
        <f>VALUE(LEFT(C1775,LEN(C1775)-4))</f>
        <v>1005.1</v>
      </c>
    </row>
    <row r="1776" spans="1:4">
      <c r="A1776" s="23" t="s">
        <v>552</v>
      </c>
      <c r="B1776" t="s">
        <v>545</v>
      </c>
      <c r="C1776" t="s">
        <v>1298</v>
      </c>
      <c r="D1776" s="29">
        <f>VALUE(LEFT(C1776,LEN(C1776)-FIND("km/h",C1776)+1)/3.6)</f>
        <v>8.1388888888888893</v>
      </c>
    </row>
    <row r="1777" spans="1:4">
      <c r="A1777" s="23" t="s">
        <v>554</v>
      </c>
      <c r="B1777" t="s">
        <v>545</v>
      </c>
      <c r="C1777" t="s">
        <v>1299</v>
      </c>
      <c r="D1777" s="29">
        <f>VALUE(LEFT(C1777,LEN(C1777)-FIND("km/h",C1777)+1)/3.6)</f>
        <v>9.3333333333333339</v>
      </c>
    </row>
    <row r="1778" spans="1:4">
      <c r="A1778" s="23" t="s">
        <v>556</v>
      </c>
      <c r="B1778" t="s">
        <v>545</v>
      </c>
      <c r="C1778" t="s">
        <v>1300</v>
      </c>
      <c r="D1778" s="26">
        <f>VALUE(LEFT(C1778,LEN(C1778)-7))</f>
        <v>205</v>
      </c>
    </row>
    <row r="1779" spans="1:4">
      <c r="A1779" s="23" t="s">
        <v>558</v>
      </c>
      <c r="B1779" t="s">
        <v>545</v>
      </c>
      <c r="C1779" t="s">
        <v>1301</v>
      </c>
      <c r="D1779" s="29">
        <f>VALUE(LEFT(C1779,LEN(C1779)-3))</f>
        <v>97.1</v>
      </c>
    </row>
    <row r="1780" spans="1:4">
      <c r="A1780" s="23" t="s">
        <v>560</v>
      </c>
      <c r="B1780" t="s">
        <v>545</v>
      </c>
      <c r="C1780" t="s">
        <v>1302</v>
      </c>
      <c r="D1780" s="29">
        <f>VALUE(LEFT(C1780,LEN(C1780)-3))</f>
        <v>701.6</v>
      </c>
    </row>
    <row r="1781" spans="1:4">
      <c r="A1781" s="23" t="s">
        <v>562</v>
      </c>
      <c r="B1781" t="s">
        <v>545</v>
      </c>
      <c r="C1781" t="s">
        <v>1303</v>
      </c>
      <c r="D1781" s="29">
        <f>VALUE(LEFT(C1781,LEN(C1781)-3))</f>
        <v>48.2</v>
      </c>
    </row>
    <row r="1783" spans="1:4">
      <c r="A1783" s="23" t="s">
        <v>544</v>
      </c>
      <c r="B1783" t="s">
        <v>545</v>
      </c>
      <c r="C1783" t="s">
        <v>737</v>
      </c>
      <c r="D1783" s="29">
        <f>VALUE(LEFT(C1783,LEN(C1783)-2))</f>
        <v>10.6</v>
      </c>
    </row>
    <row r="1784" spans="1:4">
      <c r="A1784" s="23" t="s">
        <v>547</v>
      </c>
      <c r="B1784" t="s">
        <v>545</v>
      </c>
      <c r="C1784" s="24">
        <v>0.88</v>
      </c>
      <c r="D1784" s="27">
        <f>VALUE(C1784*100)</f>
        <v>88</v>
      </c>
    </row>
    <row r="1785" spans="1:4">
      <c r="A1785" s="23" t="s">
        <v>548</v>
      </c>
      <c r="B1785" t="s">
        <v>545</v>
      </c>
      <c r="C1785" t="s">
        <v>906</v>
      </c>
      <c r="D1785" s="29">
        <f>VALUE(LEFT(C1785,LEN(C1785)-2))</f>
        <v>8.5</v>
      </c>
    </row>
    <row r="1786" spans="1:4">
      <c r="A1786" s="23" t="s">
        <v>550</v>
      </c>
      <c r="B1786" t="s">
        <v>545</v>
      </c>
      <c r="C1786" t="s">
        <v>1304</v>
      </c>
      <c r="D1786" s="28">
        <f>VALUE(LEFT(C1786,LEN(C1786)-4))</f>
        <v>1002.8</v>
      </c>
    </row>
    <row r="1787" spans="1:4">
      <c r="A1787" s="23" t="s">
        <v>552</v>
      </c>
      <c r="B1787" t="s">
        <v>545</v>
      </c>
      <c r="C1787" t="s">
        <v>635</v>
      </c>
      <c r="D1787" s="29">
        <f>VALUE(LEFT(C1787,LEN(C1787)-FIND("km/h",C1787)+1)/3.6)</f>
        <v>0.80555555555555547</v>
      </c>
    </row>
    <row r="1788" spans="1:4">
      <c r="A1788" s="23" t="s">
        <v>554</v>
      </c>
      <c r="B1788" t="s">
        <v>545</v>
      </c>
      <c r="C1788" t="s">
        <v>776</v>
      </c>
      <c r="D1788" s="29">
        <f>VALUE(LEFT(C1788,LEN(C1788)-FIND("km/h",C1788)+1)/3.6)</f>
        <v>0.77777777777777768</v>
      </c>
    </row>
    <row r="1789" spans="1:4">
      <c r="A1789" s="23" t="s">
        <v>556</v>
      </c>
      <c r="B1789" t="s">
        <v>545</v>
      </c>
      <c r="C1789" t="s">
        <v>1305</v>
      </c>
      <c r="D1789" s="26">
        <f>VALUE(LEFT(C1789,LEN(C1789)-7))</f>
        <v>229</v>
      </c>
    </row>
    <row r="1790" spans="1:4">
      <c r="A1790" s="23" t="s">
        <v>558</v>
      </c>
      <c r="B1790" t="s">
        <v>545</v>
      </c>
      <c r="C1790" t="s">
        <v>1306</v>
      </c>
      <c r="D1790" s="29">
        <f>VALUE(LEFT(C1790,LEN(C1790)-3))</f>
        <v>122</v>
      </c>
    </row>
    <row r="1791" spans="1:4">
      <c r="A1791" s="23" t="s">
        <v>560</v>
      </c>
      <c r="B1791" t="s">
        <v>545</v>
      </c>
      <c r="C1791" t="s">
        <v>1307</v>
      </c>
      <c r="D1791" s="29">
        <f>VALUE(LEFT(C1791,LEN(C1791)-3))</f>
        <v>726.5</v>
      </c>
    </row>
    <row r="1792" spans="1:4">
      <c r="A1792" s="23" t="s">
        <v>562</v>
      </c>
      <c r="B1792" t="s">
        <v>545</v>
      </c>
      <c r="C1792" t="s">
        <v>1308</v>
      </c>
      <c r="D1792" s="29">
        <f>VALUE(LEFT(C1792,LEN(C1792)-3))</f>
        <v>24.9</v>
      </c>
    </row>
    <row r="1794" spans="1:4">
      <c r="A1794" s="23" t="s">
        <v>544</v>
      </c>
      <c r="B1794" t="s">
        <v>545</v>
      </c>
      <c r="C1794" t="s">
        <v>565</v>
      </c>
      <c r="D1794" s="29">
        <f>VALUE(LEFT(C1794,LEN(C1794)-2))</f>
        <v>12.4</v>
      </c>
    </row>
    <row r="1795" spans="1:4">
      <c r="A1795" s="23" t="s">
        <v>547</v>
      </c>
      <c r="B1795" t="s">
        <v>545</v>
      </c>
      <c r="C1795" s="24">
        <v>0.86</v>
      </c>
      <c r="D1795" s="27">
        <f>VALUE(C1795*100)</f>
        <v>86</v>
      </c>
    </row>
    <row r="1796" spans="1:4">
      <c r="A1796" s="23" t="s">
        <v>548</v>
      </c>
      <c r="B1796" t="s">
        <v>545</v>
      </c>
      <c r="C1796" t="s">
        <v>1069</v>
      </c>
      <c r="D1796" s="29">
        <f>VALUE(LEFT(C1796,LEN(C1796)-2))</f>
        <v>10</v>
      </c>
    </row>
    <row r="1797" spans="1:4">
      <c r="A1797" s="23" t="s">
        <v>550</v>
      </c>
      <c r="B1797" t="s">
        <v>545</v>
      </c>
      <c r="C1797" t="s">
        <v>613</v>
      </c>
      <c r="D1797" s="28">
        <f>VALUE(LEFT(C1797,LEN(C1797)-4))</f>
        <v>1014.9</v>
      </c>
    </row>
    <row r="1798" spans="1:4">
      <c r="A1798" s="23" t="s">
        <v>552</v>
      </c>
      <c r="B1798" t="s">
        <v>545</v>
      </c>
      <c r="C1798" t="s">
        <v>1048</v>
      </c>
      <c r="D1798" s="29">
        <f>VALUE(LEFT(C1798,LEN(C1798)-FIND("km/h",C1798)+1)/3.6)</f>
        <v>0</v>
      </c>
    </row>
    <row r="1799" spans="1:4">
      <c r="A1799" s="23" t="s">
        <v>554</v>
      </c>
      <c r="B1799" t="s">
        <v>545</v>
      </c>
      <c r="C1799" t="s">
        <v>1048</v>
      </c>
      <c r="D1799" s="29">
        <f>VALUE(LEFT(C1799,LEN(C1799)-FIND("km/h",C1799)+1)/3.6)</f>
        <v>0</v>
      </c>
    </row>
    <row r="1800" spans="1:4">
      <c r="A1800" s="23" t="s">
        <v>556</v>
      </c>
      <c r="B1800" t="s">
        <v>545</v>
      </c>
      <c r="C1800" t="s">
        <v>1174</v>
      </c>
      <c r="D1800" s="26">
        <f>VALUE(LEFT(C1800,LEN(C1800)-7))</f>
        <v>0</v>
      </c>
    </row>
    <row r="1801" spans="1:4">
      <c r="A1801" s="23" t="s">
        <v>558</v>
      </c>
      <c r="B1801" t="s">
        <v>545</v>
      </c>
      <c r="C1801" t="s">
        <v>1309</v>
      </c>
      <c r="D1801" s="29">
        <f>VALUE(LEFT(C1801,LEN(C1801)-3))</f>
        <v>123</v>
      </c>
    </row>
    <row r="1802" spans="1:4">
      <c r="A1802" s="23" t="s">
        <v>560</v>
      </c>
      <c r="B1802" t="s">
        <v>545</v>
      </c>
      <c r="C1802" t="s">
        <v>1310</v>
      </c>
      <c r="D1802" s="29">
        <f>VALUE(LEFT(C1802,LEN(C1802)-3))</f>
        <v>727.5</v>
      </c>
    </row>
    <row r="1803" spans="1:4">
      <c r="A1803" s="23" t="s">
        <v>562</v>
      </c>
      <c r="B1803" t="s">
        <v>545</v>
      </c>
      <c r="C1803" t="s">
        <v>581</v>
      </c>
      <c r="D1803" s="29">
        <f>VALUE(LEFT(C1803,LEN(C1803)-3))</f>
        <v>1</v>
      </c>
    </row>
    <row r="1805" spans="1:4">
      <c r="A1805" s="23" t="s">
        <v>544</v>
      </c>
      <c r="B1805" t="s">
        <v>545</v>
      </c>
      <c r="C1805" t="s">
        <v>1038</v>
      </c>
      <c r="D1805" s="29">
        <f>VALUE(LEFT(C1805,LEN(C1805)-2))</f>
        <v>14.4</v>
      </c>
    </row>
    <row r="1806" spans="1:4">
      <c r="A1806" s="23" t="s">
        <v>547</v>
      </c>
      <c r="B1806" t="s">
        <v>545</v>
      </c>
      <c r="C1806" s="24">
        <v>0.93</v>
      </c>
      <c r="D1806" s="27">
        <f>VALUE(C1806*100)</f>
        <v>93</v>
      </c>
    </row>
    <row r="1807" spans="1:4">
      <c r="A1807" s="23" t="s">
        <v>548</v>
      </c>
      <c r="B1807" t="s">
        <v>545</v>
      </c>
      <c r="C1807" t="s">
        <v>851</v>
      </c>
      <c r="D1807" s="29">
        <f>VALUE(LEFT(C1807,LEN(C1807)-2))</f>
        <v>13.3</v>
      </c>
    </row>
    <row r="1808" spans="1:4">
      <c r="A1808" s="23" t="s">
        <v>550</v>
      </c>
      <c r="B1808" t="s">
        <v>545</v>
      </c>
      <c r="C1808" t="s">
        <v>885</v>
      </c>
      <c r="D1808" s="28">
        <f>VALUE(LEFT(C1808,LEN(C1808)-4))</f>
        <v>1011.3</v>
      </c>
    </row>
    <row r="1809" spans="1:4">
      <c r="A1809" s="23" t="s">
        <v>552</v>
      </c>
      <c r="B1809" t="s">
        <v>545</v>
      </c>
      <c r="C1809" t="s">
        <v>1048</v>
      </c>
      <c r="D1809" s="29">
        <f>VALUE(LEFT(C1809,LEN(C1809)-FIND("km/h",C1809)+1)/3.6)</f>
        <v>0</v>
      </c>
    </row>
    <row r="1810" spans="1:4">
      <c r="A1810" s="23" t="s">
        <v>554</v>
      </c>
      <c r="B1810" t="s">
        <v>545</v>
      </c>
      <c r="C1810" t="s">
        <v>1048</v>
      </c>
      <c r="D1810" s="29">
        <f>VALUE(LEFT(C1810,LEN(C1810)-FIND("km/h",C1810)+1)/3.6)</f>
        <v>0</v>
      </c>
    </row>
    <row r="1811" spans="1:4">
      <c r="A1811" s="23" t="s">
        <v>556</v>
      </c>
      <c r="B1811" t="s">
        <v>545</v>
      </c>
      <c r="C1811" t="s">
        <v>1174</v>
      </c>
      <c r="D1811" s="26">
        <f>VALUE(LEFT(C1811,LEN(C1811)-7))</f>
        <v>0</v>
      </c>
    </row>
    <row r="1812" spans="1:4">
      <c r="A1812" s="23" t="s">
        <v>558</v>
      </c>
      <c r="B1812" t="s">
        <v>545</v>
      </c>
      <c r="C1812" t="s">
        <v>1311</v>
      </c>
      <c r="D1812" s="29">
        <f>VALUE(LEFT(C1812,LEN(C1812)-3))</f>
        <v>136.30000000000001</v>
      </c>
    </row>
    <row r="1813" spans="1:4">
      <c r="A1813" s="23" t="s">
        <v>560</v>
      </c>
      <c r="B1813" t="s">
        <v>545</v>
      </c>
      <c r="C1813" t="s">
        <v>1312</v>
      </c>
      <c r="D1813" s="29">
        <f>VALUE(LEFT(C1813,LEN(C1813)-3))</f>
        <v>740.8</v>
      </c>
    </row>
    <row r="1814" spans="1:4">
      <c r="A1814" s="23" t="s">
        <v>562</v>
      </c>
      <c r="B1814" t="s">
        <v>545</v>
      </c>
      <c r="C1814" t="s">
        <v>1313</v>
      </c>
      <c r="D1814" s="29">
        <f>VALUE(LEFT(C1814,LEN(C1814)-3))</f>
        <v>13.3</v>
      </c>
    </row>
    <row r="1816" spans="1:4">
      <c r="A1816" s="23" t="s">
        <v>544</v>
      </c>
      <c r="B1816" t="s">
        <v>545</v>
      </c>
      <c r="C1816" t="s">
        <v>1275</v>
      </c>
      <c r="D1816" s="29">
        <f>VALUE(LEFT(C1816,LEN(C1816)-2))</f>
        <v>10.1</v>
      </c>
    </row>
    <row r="1817" spans="1:4">
      <c r="A1817" s="23" t="s">
        <v>547</v>
      </c>
      <c r="B1817" t="s">
        <v>545</v>
      </c>
      <c r="C1817" s="24">
        <v>0.69</v>
      </c>
      <c r="D1817" s="27">
        <f>VALUE(C1817*100)</f>
        <v>69</v>
      </c>
    </row>
    <row r="1818" spans="1:4">
      <c r="A1818" s="23" t="s">
        <v>548</v>
      </c>
      <c r="B1818" t="s">
        <v>545</v>
      </c>
      <c r="C1818" t="s">
        <v>703</v>
      </c>
      <c r="D1818" s="29">
        <f>VALUE(LEFT(C1818,LEN(C1818)-2))</f>
        <v>4.5</v>
      </c>
    </row>
    <row r="1819" spans="1:4">
      <c r="A1819" s="23" t="s">
        <v>550</v>
      </c>
      <c r="B1819" t="s">
        <v>545</v>
      </c>
      <c r="C1819" t="s">
        <v>672</v>
      </c>
      <c r="D1819" s="28">
        <f>VALUE(LEFT(C1819,LEN(C1819)-4))</f>
        <v>1018</v>
      </c>
    </row>
    <row r="1820" spans="1:4">
      <c r="A1820" s="23" t="s">
        <v>552</v>
      </c>
      <c r="B1820" t="s">
        <v>545</v>
      </c>
      <c r="C1820" t="s">
        <v>1048</v>
      </c>
      <c r="D1820" s="29">
        <f>VALUE(LEFT(C1820,LEN(C1820)-FIND("km/h",C1820)+1)/3.6)</f>
        <v>0</v>
      </c>
    </row>
    <row r="1821" spans="1:4">
      <c r="A1821" s="23" t="s">
        <v>554</v>
      </c>
      <c r="B1821" t="s">
        <v>545</v>
      </c>
      <c r="C1821" t="s">
        <v>1048</v>
      </c>
      <c r="D1821" s="29">
        <f>VALUE(LEFT(C1821,LEN(C1821)-FIND("km/h",C1821)+1)/3.6)</f>
        <v>0</v>
      </c>
    </row>
    <row r="1822" spans="1:4">
      <c r="A1822" s="23" t="s">
        <v>556</v>
      </c>
      <c r="B1822" t="s">
        <v>545</v>
      </c>
      <c r="C1822" t="s">
        <v>1174</v>
      </c>
      <c r="D1822" s="26">
        <f>VALUE(LEFT(C1822,LEN(C1822)-7))</f>
        <v>0</v>
      </c>
    </row>
    <row r="1823" spans="1:4">
      <c r="A1823" s="23" t="s">
        <v>558</v>
      </c>
      <c r="B1823" t="s">
        <v>545</v>
      </c>
      <c r="C1823" t="s">
        <v>1311</v>
      </c>
      <c r="D1823" s="29">
        <f>VALUE(LEFT(C1823,LEN(C1823)-3))</f>
        <v>136.30000000000001</v>
      </c>
    </row>
    <row r="1824" spans="1:4">
      <c r="A1824" s="23" t="s">
        <v>560</v>
      </c>
      <c r="B1824" t="s">
        <v>545</v>
      </c>
      <c r="C1824" t="s">
        <v>1312</v>
      </c>
      <c r="D1824" s="29">
        <f>VALUE(LEFT(C1824,LEN(C1824)-3))</f>
        <v>740.8</v>
      </c>
    </row>
    <row r="1825" spans="1:4">
      <c r="A1825" s="23" t="s">
        <v>562</v>
      </c>
      <c r="B1825" t="s">
        <v>545</v>
      </c>
      <c r="C1825" t="s">
        <v>604</v>
      </c>
      <c r="D1825" s="29">
        <f>VALUE(LEFT(C1825,LEN(C1825)-3))</f>
        <v>0</v>
      </c>
    </row>
    <row r="1827" spans="1:4">
      <c r="A1827" s="23" t="s">
        <v>544</v>
      </c>
      <c r="B1827" t="s">
        <v>545</v>
      </c>
      <c r="C1827" t="s">
        <v>723</v>
      </c>
      <c r="D1827" s="29">
        <f>VALUE(LEFT(C1827,LEN(C1827)-2))</f>
        <v>7.6</v>
      </c>
    </row>
    <row r="1828" spans="1:4">
      <c r="A1828" s="23" t="s">
        <v>547</v>
      </c>
      <c r="B1828" t="s">
        <v>545</v>
      </c>
      <c r="C1828" s="24">
        <v>0.84</v>
      </c>
      <c r="D1828" s="27">
        <f>VALUE(C1828*100)</f>
        <v>84</v>
      </c>
    </row>
    <row r="1829" spans="1:4">
      <c r="A1829" s="23" t="s">
        <v>548</v>
      </c>
      <c r="B1829" t="s">
        <v>545</v>
      </c>
      <c r="C1829" t="s">
        <v>1314</v>
      </c>
      <c r="D1829" s="29">
        <f>VALUE(LEFT(C1829,LEN(C1829)-2))</f>
        <v>4.8</v>
      </c>
    </row>
    <row r="1830" spans="1:4">
      <c r="A1830" s="23" t="s">
        <v>550</v>
      </c>
      <c r="B1830" t="s">
        <v>545</v>
      </c>
      <c r="C1830" t="s">
        <v>1315</v>
      </c>
      <c r="D1830" s="28">
        <f>VALUE(LEFT(C1830,LEN(C1830)-4))</f>
        <v>1026.2</v>
      </c>
    </row>
    <row r="1831" spans="1:4">
      <c r="A1831" s="23" t="s">
        <v>552</v>
      </c>
      <c r="B1831" t="s">
        <v>545</v>
      </c>
      <c r="C1831" t="s">
        <v>1048</v>
      </c>
      <c r="D1831" s="29">
        <f>VALUE(LEFT(C1831,LEN(C1831)-FIND("km/h",C1831)+1)/3.6)</f>
        <v>0</v>
      </c>
    </row>
    <row r="1832" spans="1:4">
      <c r="A1832" s="23" t="s">
        <v>554</v>
      </c>
      <c r="B1832" t="s">
        <v>545</v>
      </c>
      <c r="C1832" t="s">
        <v>1048</v>
      </c>
      <c r="D1832" s="29">
        <f>VALUE(LEFT(C1832,LEN(C1832)-FIND("km/h",C1832)+1)/3.6)</f>
        <v>0</v>
      </c>
    </row>
    <row r="1833" spans="1:4">
      <c r="A1833" s="23" t="s">
        <v>556</v>
      </c>
      <c r="B1833" t="s">
        <v>545</v>
      </c>
      <c r="C1833" t="s">
        <v>1174</v>
      </c>
      <c r="D1833" s="26">
        <f>VALUE(LEFT(C1833,LEN(C1833)-7))</f>
        <v>0</v>
      </c>
    </row>
    <row r="1834" spans="1:4">
      <c r="A1834" s="23" t="s">
        <v>558</v>
      </c>
      <c r="B1834" t="s">
        <v>545</v>
      </c>
      <c r="C1834" t="s">
        <v>1316</v>
      </c>
      <c r="D1834" s="29">
        <f>VALUE(LEFT(C1834,LEN(C1834)-3))</f>
        <v>137.30000000000001</v>
      </c>
    </row>
    <row r="1835" spans="1:4">
      <c r="A1835" s="23" t="s">
        <v>560</v>
      </c>
      <c r="B1835" t="s">
        <v>545</v>
      </c>
      <c r="C1835" t="s">
        <v>1317</v>
      </c>
      <c r="D1835" s="29">
        <f>VALUE(LEFT(C1835,LEN(C1835)-3))</f>
        <v>741.8</v>
      </c>
    </row>
    <row r="1836" spans="1:4">
      <c r="A1836" s="23" t="s">
        <v>562</v>
      </c>
      <c r="B1836" t="s">
        <v>545</v>
      </c>
      <c r="C1836" t="s">
        <v>581</v>
      </c>
      <c r="D1836" s="29">
        <f>VALUE(LEFT(C1836,LEN(C1836)-3))</f>
        <v>1</v>
      </c>
    </row>
    <row r="1838" spans="1:4">
      <c r="A1838" s="23" t="s">
        <v>544</v>
      </c>
      <c r="B1838" t="s">
        <v>545</v>
      </c>
      <c r="C1838" t="s">
        <v>1131</v>
      </c>
      <c r="D1838" s="29">
        <f>VALUE(LEFT(C1838,LEN(C1838)-2))</f>
        <v>8.6</v>
      </c>
    </row>
    <row r="1839" spans="1:4">
      <c r="A1839" s="23" t="s">
        <v>547</v>
      </c>
      <c r="B1839" t="s">
        <v>545</v>
      </c>
      <c r="C1839" s="24">
        <v>0.83</v>
      </c>
      <c r="D1839" s="27">
        <f>VALUE(C1839*100)</f>
        <v>83</v>
      </c>
    </row>
    <row r="1840" spans="1:4">
      <c r="A1840" s="23" t="s">
        <v>548</v>
      </c>
      <c r="B1840" t="s">
        <v>545</v>
      </c>
      <c r="C1840" t="s">
        <v>715</v>
      </c>
      <c r="D1840" s="29">
        <f>VALUE(LEFT(C1840,LEN(C1840)-2))</f>
        <v>5.7</v>
      </c>
    </row>
    <row r="1841" spans="1:4">
      <c r="A1841" s="23" t="s">
        <v>550</v>
      </c>
      <c r="B1841" t="s">
        <v>545</v>
      </c>
      <c r="C1841" t="s">
        <v>1318</v>
      </c>
      <c r="D1841" s="28">
        <f>VALUE(LEFT(C1841,LEN(C1841)-4))</f>
        <v>1023.5</v>
      </c>
    </row>
    <row r="1842" spans="1:4">
      <c r="A1842" s="23" t="s">
        <v>552</v>
      </c>
      <c r="B1842" t="s">
        <v>545</v>
      </c>
      <c r="C1842" t="s">
        <v>1048</v>
      </c>
      <c r="D1842" s="29">
        <f>VALUE(LEFT(C1842,LEN(C1842)-FIND("km/h",C1842)+1)/3.6)</f>
        <v>0</v>
      </c>
    </row>
    <row r="1843" spans="1:4">
      <c r="A1843" s="23" t="s">
        <v>554</v>
      </c>
      <c r="B1843" t="s">
        <v>545</v>
      </c>
      <c r="C1843" t="s">
        <v>1048</v>
      </c>
      <c r="D1843" s="29">
        <f>VALUE(LEFT(C1843,LEN(C1843)-FIND("km/h",C1843)+1)/3.6)</f>
        <v>0</v>
      </c>
    </row>
    <row r="1844" spans="1:4">
      <c r="A1844" s="23" t="s">
        <v>556</v>
      </c>
      <c r="B1844" t="s">
        <v>545</v>
      </c>
      <c r="C1844" t="s">
        <v>1174</v>
      </c>
      <c r="D1844" s="26">
        <f>VALUE(LEFT(C1844,LEN(C1844)-7))</f>
        <v>0</v>
      </c>
    </row>
    <row r="1845" spans="1:4">
      <c r="A1845" s="23" t="s">
        <v>558</v>
      </c>
      <c r="B1845" t="s">
        <v>545</v>
      </c>
      <c r="C1845" t="s">
        <v>1319</v>
      </c>
      <c r="D1845" s="29">
        <f>VALUE(LEFT(C1845,LEN(C1845)-3))</f>
        <v>139.30000000000001</v>
      </c>
    </row>
    <row r="1846" spans="1:4">
      <c r="A1846" s="23" t="s">
        <v>560</v>
      </c>
      <c r="B1846" t="s">
        <v>545</v>
      </c>
      <c r="C1846" t="s">
        <v>1320</v>
      </c>
      <c r="D1846" s="29">
        <f>VALUE(LEFT(C1846,LEN(C1846)-3))</f>
        <v>743.8</v>
      </c>
    </row>
    <row r="1847" spans="1:4">
      <c r="A1847" s="23" t="s">
        <v>562</v>
      </c>
      <c r="B1847" t="s">
        <v>545</v>
      </c>
      <c r="C1847" t="s">
        <v>685</v>
      </c>
      <c r="D1847" s="29">
        <f>VALUE(LEFT(C1847,LEN(C1847)-3))</f>
        <v>2</v>
      </c>
    </row>
    <row r="1849" spans="1:4">
      <c r="A1849" s="23" t="s">
        <v>544</v>
      </c>
      <c r="B1849" t="s">
        <v>545</v>
      </c>
      <c r="C1849" t="s">
        <v>783</v>
      </c>
      <c r="D1849" s="29">
        <f>VALUE(LEFT(C1849,LEN(C1849)-2))</f>
        <v>12.6</v>
      </c>
    </row>
    <row r="1850" spans="1:4">
      <c r="A1850" s="23" t="s">
        <v>547</v>
      </c>
      <c r="B1850" t="s">
        <v>545</v>
      </c>
      <c r="C1850" s="24">
        <v>0.89</v>
      </c>
      <c r="D1850" s="27">
        <f>VALUE(C1850*100)</f>
        <v>89</v>
      </c>
    </row>
    <row r="1851" spans="1:4">
      <c r="A1851" s="23" t="s">
        <v>548</v>
      </c>
      <c r="B1851" t="s">
        <v>545</v>
      </c>
      <c r="C1851" t="s">
        <v>737</v>
      </c>
      <c r="D1851" s="29">
        <f>VALUE(LEFT(C1851,LEN(C1851)-2))</f>
        <v>10.6</v>
      </c>
    </row>
    <row r="1852" spans="1:4">
      <c r="A1852" s="23" t="s">
        <v>550</v>
      </c>
      <c r="B1852" t="s">
        <v>545</v>
      </c>
      <c r="C1852" t="s">
        <v>964</v>
      </c>
      <c r="D1852" s="28">
        <f>VALUE(LEFT(C1852,LEN(C1852)-4))</f>
        <v>1017.2</v>
      </c>
    </row>
    <row r="1853" spans="1:4">
      <c r="A1853" s="23" t="s">
        <v>552</v>
      </c>
      <c r="B1853" t="s">
        <v>545</v>
      </c>
      <c r="C1853" t="s">
        <v>1048</v>
      </c>
      <c r="D1853" s="29">
        <f>VALUE(LEFT(C1853,LEN(C1853)-FIND("km/h",C1853)+1)/3.6)</f>
        <v>0</v>
      </c>
    </row>
    <row r="1854" spans="1:4">
      <c r="A1854" s="23" t="s">
        <v>554</v>
      </c>
      <c r="B1854" t="s">
        <v>545</v>
      </c>
      <c r="C1854" t="s">
        <v>1048</v>
      </c>
      <c r="D1854" s="29">
        <f>VALUE(LEFT(C1854,LEN(C1854)-FIND("km/h",C1854)+1)/3.6)</f>
        <v>0</v>
      </c>
    </row>
    <row r="1855" spans="1:4">
      <c r="A1855" s="23" t="s">
        <v>556</v>
      </c>
      <c r="B1855" t="s">
        <v>545</v>
      </c>
      <c r="C1855" t="s">
        <v>1174</v>
      </c>
      <c r="D1855" s="26">
        <f>VALUE(LEFT(C1855,LEN(C1855)-7))</f>
        <v>0</v>
      </c>
    </row>
    <row r="1856" spans="1:4">
      <c r="A1856" s="23" t="s">
        <v>558</v>
      </c>
      <c r="B1856" t="s">
        <v>545</v>
      </c>
      <c r="C1856" t="s">
        <v>1321</v>
      </c>
      <c r="D1856" s="29">
        <f>VALUE(LEFT(C1856,LEN(C1856)-3))</f>
        <v>155.69999999999999</v>
      </c>
    </row>
    <row r="1857" spans="1:4">
      <c r="A1857" s="23" t="s">
        <v>560</v>
      </c>
      <c r="B1857" t="s">
        <v>545</v>
      </c>
      <c r="C1857" t="s">
        <v>1322</v>
      </c>
      <c r="D1857" s="29">
        <f>VALUE(LEFT(C1857,LEN(C1857)-3))</f>
        <v>760.2</v>
      </c>
    </row>
    <row r="1858" spans="1:4">
      <c r="A1858" s="23" t="s">
        <v>562</v>
      </c>
      <c r="B1858" t="s">
        <v>545</v>
      </c>
      <c r="C1858" t="s">
        <v>1323</v>
      </c>
      <c r="D1858" s="29">
        <f>VALUE(LEFT(C1858,LEN(C1858)-3))</f>
        <v>16.399999999999999</v>
      </c>
    </row>
    <row r="1859" spans="1:4">
      <c r="D1859" s="30"/>
    </row>
    <row r="1860" spans="1:4">
      <c r="A1860" s="23" t="s">
        <v>544</v>
      </c>
      <c r="B1860" t="s">
        <v>545</v>
      </c>
      <c r="C1860" t="s">
        <v>621</v>
      </c>
      <c r="D1860" s="29">
        <f>VALUE(LEFT(C1860,LEN(C1860)-2))</f>
        <v>13.8</v>
      </c>
    </row>
    <row r="1861" spans="1:4">
      <c r="A1861" s="23" t="s">
        <v>547</v>
      </c>
      <c r="B1861" t="s">
        <v>545</v>
      </c>
      <c r="C1861" s="24">
        <v>0.96</v>
      </c>
      <c r="D1861" s="27">
        <f>VALUE(C1861*100)</f>
        <v>96</v>
      </c>
    </row>
    <row r="1862" spans="1:4">
      <c r="A1862" s="23" t="s">
        <v>548</v>
      </c>
      <c r="B1862" t="s">
        <v>545</v>
      </c>
      <c r="C1862" t="s">
        <v>632</v>
      </c>
      <c r="D1862" s="29">
        <f>VALUE(LEFT(C1862,LEN(C1862)-2))</f>
        <v>13.1</v>
      </c>
    </row>
    <row r="1863" spans="1:4">
      <c r="A1863" s="23" t="s">
        <v>550</v>
      </c>
      <c r="B1863" t="s">
        <v>545</v>
      </c>
      <c r="C1863" t="s">
        <v>1007</v>
      </c>
      <c r="D1863" s="28">
        <f>VALUE(LEFT(C1863,LEN(C1863)-4))</f>
        <v>1013.5</v>
      </c>
    </row>
    <row r="1864" spans="1:4">
      <c r="A1864" s="23" t="s">
        <v>552</v>
      </c>
      <c r="B1864" t="s">
        <v>545</v>
      </c>
      <c r="C1864" t="s">
        <v>1048</v>
      </c>
      <c r="D1864" s="29">
        <f>VALUE(LEFT(C1864,LEN(C1864)-FIND("km/h",C1864)+1)/3.6)</f>
        <v>0</v>
      </c>
    </row>
    <row r="1865" spans="1:4">
      <c r="A1865" s="23" t="s">
        <v>554</v>
      </c>
      <c r="B1865" t="s">
        <v>545</v>
      </c>
      <c r="C1865" t="s">
        <v>1048</v>
      </c>
      <c r="D1865" s="29">
        <f>VALUE(LEFT(C1865,LEN(C1865)-FIND("km/h",C1865)+1)/3.6)</f>
        <v>0</v>
      </c>
    </row>
    <row r="1866" spans="1:4">
      <c r="A1866" s="23" t="s">
        <v>556</v>
      </c>
      <c r="B1866" t="s">
        <v>545</v>
      </c>
      <c r="C1866" t="s">
        <v>1174</v>
      </c>
      <c r="D1866" s="26">
        <f>VALUE(LEFT(C1866,LEN(C1866)-7))</f>
        <v>0</v>
      </c>
    </row>
    <row r="1867" spans="1:4">
      <c r="A1867" s="23" t="s">
        <v>558</v>
      </c>
      <c r="B1867" t="s">
        <v>545</v>
      </c>
      <c r="C1867" t="s">
        <v>1175</v>
      </c>
      <c r="D1867" s="29">
        <f>VALUE(LEFT(C1867,LEN(C1867)-3))</f>
        <v>33.200000000000003</v>
      </c>
    </row>
    <row r="1868" spans="1:4">
      <c r="A1868" s="23" t="s">
        <v>560</v>
      </c>
      <c r="B1868" t="s">
        <v>545</v>
      </c>
      <c r="C1868" t="s">
        <v>1175</v>
      </c>
      <c r="D1868" s="29">
        <f>VALUE(LEFT(C1868,LEN(C1868)-3))</f>
        <v>33.200000000000003</v>
      </c>
    </row>
    <row r="1869" spans="1:4">
      <c r="A1869" s="23" t="s">
        <v>562</v>
      </c>
      <c r="B1869" t="s">
        <v>545</v>
      </c>
      <c r="C1869" t="s">
        <v>1175</v>
      </c>
      <c r="D1869" s="29">
        <f>VALUE(LEFT(C1869,LEN(C1869)-3))</f>
        <v>33.200000000000003</v>
      </c>
    </row>
    <row r="1871" spans="1:4">
      <c r="A1871" s="23" t="s">
        <v>544</v>
      </c>
      <c r="B1871" t="s">
        <v>545</v>
      </c>
      <c r="C1871" t="s">
        <v>836</v>
      </c>
      <c r="D1871" s="29">
        <f>VALUE(LEFT(C1871,LEN(C1871)-2))</f>
        <v>15.1</v>
      </c>
    </row>
    <row r="1872" spans="1:4">
      <c r="A1872" s="23" t="s">
        <v>547</v>
      </c>
      <c r="B1872" t="s">
        <v>545</v>
      </c>
      <c r="C1872" s="24">
        <v>0.97</v>
      </c>
      <c r="D1872" s="27">
        <f>VALUE(C1872*100)</f>
        <v>97</v>
      </c>
    </row>
    <row r="1873" spans="1:4">
      <c r="A1873" s="23" t="s">
        <v>548</v>
      </c>
      <c r="B1873" t="s">
        <v>545</v>
      </c>
      <c r="C1873" t="s">
        <v>1176</v>
      </c>
      <c r="D1873" s="29">
        <f>VALUE(LEFT(C1873,LEN(C1873)-2))</f>
        <v>14.6</v>
      </c>
    </row>
    <row r="1874" spans="1:4">
      <c r="A1874" s="23" t="s">
        <v>550</v>
      </c>
      <c r="B1874" t="s">
        <v>545</v>
      </c>
      <c r="C1874" t="s">
        <v>1177</v>
      </c>
      <c r="D1874" s="28">
        <f>VALUE(LEFT(C1874,LEN(C1874)-4))</f>
        <v>1010.8</v>
      </c>
    </row>
    <row r="1875" spans="1:4">
      <c r="A1875" s="23" t="s">
        <v>552</v>
      </c>
      <c r="B1875" t="s">
        <v>545</v>
      </c>
      <c r="C1875" t="s">
        <v>1048</v>
      </c>
      <c r="D1875" s="29">
        <f>VALUE(LEFT(C1875,LEN(C1875)-FIND("km/h",C1875)+1)/3.6)</f>
        <v>0</v>
      </c>
    </row>
    <row r="1876" spans="1:4">
      <c r="A1876" s="23" t="s">
        <v>554</v>
      </c>
      <c r="B1876" t="s">
        <v>545</v>
      </c>
      <c r="C1876" t="s">
        <v>1048</v>
      </c>
      <c r="D1876" s="29">
        <f>VALUE(LEFT(C1876,LEN(C1876)-FIND("km/h",C1876)+1)/3.6)</f>
        <v>0</v>
      </c>
    </row>
    <row r="1877" spans="1:4">
      <c r="A1877" s="23" t="s">
        <v>556</v>
      </c>
      <c r="B1877" t="s">
        <v>545</v>
      </c>
      <c r="C1877" t="s">
        <v>1174</v>
      </c>
      <c r="D1877" s="26">
        <f>VALUE(LEFT(C1877,LEN(C1877)-7))</f>
        <v>0</v>
      </c>
    </row>
    <row r="1878" spans="1:4">
      <c r="A1878" s="23" t="s">
        <v>558</v>
      </c>
      <c r="B1878" t="s">
        <v>545</v>
      </c>
      <c r="C1878" t="s">
        <v>1178</v>
      </c>
      <c r="D1878" s="29">
        <f>VALUE(LEFT(C1878,LEN(C1878)-3))</f>
        <v>63.1</v>
      </c>
    </row>
    <row r="1879" spans="1:4">
      <c r="A1879" s="23" t="s">
        <v>560</v>
      </c>
      <c r="B1879" t="s">
        <v>545</v>
      </c>
      <c r="C1879" t="s">
        <v>1178</v>
      </c>
      <c r="D1879" s="29">
        <f>VALUE(LEFT(C1879,LEN(C1879)-3))</f>
        <v>63.1</v>
      </c>
    </row>
    <row r="1880" spans="1:4">
      <c r="A1880" s="23" t="s">
        <v>562</v>
      </c>
      <c r="B1880" t="s">
        <v>545</v>
      </c>
      <c r="C1880" t="s">
        <v>1179</v>
      </c>
      <c r="D1880" s="29">
        <f>VALUE(LEFT(C1880,LEN(C1880)-3))</f>
        <v>29.9</v>
      </c>
    </row>
    <row r="1882" spans="1:4">
      <c r="A1882" s="23" t="s">
        <v>544</v>
      </c>
      <c r="B1882" t="s">
        <v>545</v>
      </c>
      <c r="C1882" t="s">
        <v>900</v>
      </c>
      <c r="D1882" s="29">
        <f>VALUE(LEFT(C1882,LEN(C1882)-2))</f>
        <v>13.5</v>
      </c>
    </row>
    <row r="1883" spans="1:4">
      <c r="A1883" s="23" t="s">
        <v>547</v>
      </c>
      <c r="B1883" t="s">
        <v>545</v>
      </c>
      <c r="C1883" s="24">
        <v>0.98</v>
      </c>
      <c r="D1883" s="27">
        <f>VALUE(C1883*100)</f>
        <v>98</v>
      </c>
    </row>
    <row r="1884" spans="1:4">
      <c r="A1884" s="23" t="s">
        <v>548</v>
      </c>
      <c r="B1884" t="s">
        <v>545</v>
      </c>
      <c r="C1884" t="s">
        <v>632</v>
      </c>
      <c r="D1884" s="29">
        <f>VALUE(LEFT(C1884,LEN(C1884)-2))</f>
        <v>13.1</v>
      </c>
    </row>
    <row r="1885" spans="1:4">
      <c r="A1885" s="23" t="s">
        <v>550</v>
      </c>
      <c r="B1885" t="s">
        <v>545</v>
      </c>
      <c r="C1885" t="s">
        <v>872</v>
      </c>
      <c r="D1885" s="28">
        <f>VALUE(LEFT(C1885,LEN(C1885)-4))</f>
        <v>1015.4</v>
      </c>
    </row>
    <row r="1886" spans="1:4">
      <c r="A1886" s="23" t="s">
        <v>552</v>
      </c>
      <c r="B1886" t="s">
        <v>545</v>
      </c>
      <c r="C1886" t="s">
        <v>1048</v>
      </c>
      <c r="D1886" s="29">
        <f>VALUE(LEFT(C1886,LEN(C1886)-FIND("km/h",C1886)+1)/3.6)</f>
        <v>0</v>
      </c>
    </row>
    <row r="1887" spans="1:4">
      <c r="A1887" s="23" t="s">
        <v>554</v>
      </c>
      <c r="B1887" t="s">
        <v>545</v>
      </c>
      <c r="C1887" t="s">
        <v>1048</v>
      </c>
      <c r="D1887" s="29">
        <f>VALUE(LEFT(C1887,LEN(C1887)-FIND("km/h",C1887)+1)/3.6)</f>
        <v>0</v>
      </c>
    </row>
    <row r="1888" spans="1:4">
      <c r="A1888" s="23" t="s">
        <v>556</v>
      </c>
      <c r="B1888" t="s">
        <v>545</v>
      </c>
      <c r="C1888" t="s">
        <v>1174</v>
      </c>
      <c r="D1888" s="26">
        <f>VALUE(LEFT(C1888,LEN(C1888)-7))</f>
        <v>0</v>
      </c>
    </row>
    <row r="1889" spans="1:4">
      <c r="A1889" s="23" t="s">
        <v>558</v>
      </c>
      <c r="B1889" t="s">
        <v>545</v>
      </c>
      <c r="C1889" t="s">
        <v>1180</v>
      </c>
      <c r="D1889" s="29">
        <f>VALUE(LEFT(C1889,LEN(C1889)-3))</f>
        <v>80.7</v>
      </c>
    </row>
    <row r="1890" spans="1:4">
      <c r="A1890" s="23" t="s">
        <v>560</v>
      </c>
      <c r="B1890" t="s">
        <v>545</v>
      </c>
      <c r="C1890" t="s">
        <v>1180</v>
      </c>
      <c r="D1890" s="29">
        <f>VALUE(LEFT(C1890,LEN(C1890)-3))</f>
        <v>80.7</v>
      </c>
    </row>
    <row r="1891" spans="1:4">
      <c r="A1891" s="23" t="s">
        <v>562</v>
      </c>
      <c r="B1891" t="s">
        <v>545</v>
      </c>
      <c r="C1891" t="s">
        <v>1181</v>
      </c>
      <c r="D1891" s="29">
        <f>VALUE(LEFT(C1891,LEN(C1891)-3))</f>
        <v>17.600000000000001</v>
      </c>
    </row>
    <row r="1893" spans="1:4">
      <c r="A1893" s="23" t="s">
        <v>544</v>
      </c>
      <c r="B1893" t="s">
        <v>545</v>
      </c>
      <c r="C1893" t="s">
        <v>903</v>
      </c>
      <c r="D1893" s="29">
        <f>VALUE(LEFT(C1893,LEN(C1893)-2))</f>
        <v>10.9</v>
      </c>
    </row>
    <row r="1894" spans="1:4">
      <c r="A1894" s="23" t="s">
        <v>547</v>
      </c>
      <c r="B1894" t="s">
        <v>545</v>
      </c>
      <c r="C1894" s="24">
        <v>0.83</v>
      </c>
      <c r="D1894" s="27">
        <f>VALUE(C1894*100)</f>
        <v>83</v>
      </c>
    </row>
    <row r="1895" spans="1:4">
      <c r="A1895" s="23" t="s">
        <v>548</v>
      </c>
      <c r="B1895" t="s">
        <v>545</v>
      </c>
      <c r="C1895" t="s">
        <v>754</v>
      </c>
      <c r="D1895" s="29">
        <f>VALUE(LEFT(C1895,LEN(C1895)-2))</f>
        <v>8.1</v>
      </c>
    </row>
    <row r="1896" spans="1:4">
      <c r="A1896" s="23" t="s">
        <v>550</v>
      </c>
      <c r="B1896" t="s">
        <v>545</v>
      </c>
      <c r="C1896" t="s">
        <v>613</v>
      </c>
      <c r="D1896" s="28">
        <f>VALUE(LEFT(C1896,LEN(C1896)-4))</f>
        <v>1014.9</v>
      </c>
    </row>
    <row r="1897" spans="1:4">
      <c r="A1897" s="23" t="s">
        <v>552</v>
      </c>
      <c r="B1897" t="s">
        <v>545</v>
      </c>
      <c r="C1897" t="s">
        <v>1048</v>
      </c>
      <c r="D1897" s="29">
        <f>VALUE(LEFT(C1897,LEN(C1897)-FIND("km/h",C1897)+1)/3.6)</f>
        <v>0</v>
      </c>
    </row>
    <row r="1898" spans="1:4">
      <c r="A1898" s="23" t="s">
        <v>554</v>
      </c>
      <c r="B1898" t="s">
        <v>545</v>
      </c>
      <c r="C1898" t="s">
        <v>1048</v>
      </c>
      <c r="D1898" s="29">
        <f>VALUE(LEFT(C1898,LEN(C1898)-FIND("km/h",C1898)+1)/3.6)</f>
        <v>0</v>
      </c>
    </row>
    <row r="1899" spans="1:4">
      <c r="A1899" s="23" t="s">
        <v>556</v>
      </c>
      <c r="B1899" t="s">
        <v>545</v>
      </c>
      <c r="C1899" t="s">
        <v>1174</v>
      </c>
      <c r="D1899" s="26">
        <f>VALUE(LEFT(C1899,LEN(C1899)-7))</f>
        <v>0</v>
      </c>
    </row>
    <row r="1900" spans="1:4">
      <c r="A1900" s="23" t="s">
        <v>558</v>
      </c>
      <c r="B1900" t="s">
        <v>545</v>
      </c>
      <c r="C1900" t="s">
        <v>1182</v>
      </c>
      <c r="D1900" s="29">
        <f>VALUE(LEFT(C1900,LEN(C1900)-3))</f>
        <v>98.6</v>
      </c>
    </row>
    <row r="1901" spans="1:4">
      <c r="A1901" s="23" t="s">
        <v>560</v>
      </c>
      <c r="B1901" t="s">
        <v>545</v>
      </c>
      <c r="C1901" t="s">
        <v>1182</v>
      </c>
      <c r="D1901" s="29">
        <f>VALUE(LEFT(C1901,LEN(C1901)-3))</f>
        <v>98.6</v>
      </c>
    </row>
    <row r="1902" spans="1:4">
      <c r="A1902" s="23" t="s">
        <v>562</v>
      </c>
      <c r="B1902" t="s">
        <v>545</v>
      </c>
      <c r="C1902" t="s">
        <v>1183</v>
      </c>
      <c r="D1902" s="29">
        <f>VALUE(LEFT(C1902,LEN(C1902)-3))</f>
        <v>17.899999999999999</v>
      </c>
    </row>
    <row r="1904" spans="1:4">
      <c r="A1904" s="23" t="s">
        <v>544</v>
      </c>
      <c r="B1904" t="s">
        <v>545</v>
      </c>
      <c r="C1904" t="s">
        <v>863</v>
      </c>
      <c r="D1904" s="29">
        <f>VALUE(LEFT(C1904,LEN(C1904)-2))</f>
        <v>13.9</v>
      </c>
    </row>
    <row r="1905" spans="1:4">
      <c r="A1905" s="23" t="s">
        <v>547</v>
      </c>
      <c r="B1905" t="s">
        <v>545</v>
      </c>
      <c r="C1905" s="24">
        <v>0.8</v>
      </c>
      <c r="D1905" s="27">
        <f>VALUE(C1905*100)</f>
        <v>80</v>
      </c>
    </row>
    <row r="1906" spans="1:4">
      <c r="A1906" s="23" t="s">
        <v>548</v>
      </c>
      <c r="B1906" t="s">
        <v>545</v>
      </c>
      <c r="C1906" t="s">
        <v>671</v>
      </c>
      <c r="D1906" s="29">
        <f>VALUE(LEFT(C1906,LEN(C1906)-2))</f>
        <v>10.5</v>
      </c>
    </row>
    <row r="1907" spans="1:4">
      <c r="A1907" s="23" t="s">
        <v>550</v>
      </c>
      <c r="B1907" t="s">
        <v>545</v>
      </c>
      <c r="C1907" t="s">
        <v>583</v>
      </c>
      <c r="D1907" s="28">
        <f>VALUE(LEFT(C1907,LEN(C1907)-4))</f>
        <v>1018.9</v>
      </c>
    </row>
    <row r="1908" spans="1:4">
      <c r="A1908" s="23" t="s">
        <v>552</v>
      </c>
      <c r="B1908" t="s">
        <v>545</v>
      </c>
      <c r="C1908" t="s">
        <v>1048</v>
      </c>
      <c r="D1908" s="29">
        <f>VALUE(LEFT(C1908,LEN(C1908)-FIND("km/h",C1908)+1)/3.6)</f>
        <v>0</v>
      </c>
    </row>
    <row r="1909" spans="1:4">
      <c r="A1909" s="23" t="s">
        <v>554</v>
      </c>
      <c r="B1909" t="s">
        <v>545</v>
      </c>
      <c r="C1909" t="s">
        <v>1048</v>
      </c>
      <c r="D1909" s="29">
        <f>VALUE(LEFT(C1909,LEN(C1909)-FIND("km/h",C1909)+1)/3.6)</f>
        <v>0</v>
      </c>
    </row>
    <row r="1910" spans="1:4">
      <c r="A1910" s="23" t="s">
        <v>556</v>
      </c>
      <c r="B1910" t="s">
        <v>545</v>
      </c>
      <c r="C1910" t="s">
        <v>1174</v>
      </c>
      <c r="D1910" s="26">
        <f>VALUE(LEFT(C1910,LEN(C1910)-7))</f>
        <v>0</v>
      </c>
    </row>
    <row r="1911" spans="1:4">
      <c r="A1911" s="23" t="s">
        <v>558</v>
      </c>
      <c r="B1911" t="s">
        <v>545</v>
      </c>
      <c r="C1911" t="s">
        <v>1182</v>
      </c>
      <c r="D1911" s="29">
        <f>VALUE(LEFT(C1911,LEN(C1911)-3))</f>
        <v>98.6</v>
      </c>
    </row>
    <row r="1912" spans="1:4">
      <c r="A1912" s="23" t="s">
        <v>560</v>
      </c>
      <c r="B1912" t="s">
        <v>545</v>
      </c>
      <c r="C1912" t="s">
        <v>1182</v>
      </c>
      <c r="D1912" s="29">
        <f>VALUE(LEFT(C1912,LEN(C1912)-3))</f>
        <v>98.6</v>
      </c>
    </row>
    <row r="1913" spans="1:4">
      <c r="A1913" s="23" t="s">
        <v>562</v>
      </c>
      <c r="B1913" t="s">
        <v>545</v>
      </c>
      <c r="C1913" t="s">
        <v>604</v>
      </c>
      <c r="D1913" s="29">
        <f>VALUE(LEFT(C1913,LEN(C1913)-3))</f>
        <v>0</v>
      </c>
    </row>
    <row r="1915" spans="1:4">
      <c r="A1915" s="23" t="s">
        <v>544</v>
      </c>
      <c r="B1915" t="s">
        <v>545</v>
      </c>
      <c r="C1915" t="s">
        <v>863</v>
      </c>
      <c r="D1915" s="29">
        <f>VALUE(LEFT(C1915,LEN(C1915)-2))</f>
        <v>13.9</v>
      </c>
    </row>
    <row r="1916" spans="1:4">
      <c r="A1916" s="23" t="s">
        <v>547</v>
      </c>
      <c r="B1916" t="s">
        <v>545</v>
      </c>
      <c r="C1916" s="24">
        <v>0.92</v>
      </c>
      <c r="D1916" s="27">
        <f>VALUE(C1916*100)</f>
        <v>92</v>
      </c>
    </row>
    <row r="1917" spans="1:4">
      <c r="A1917" s="23" t="s">
        <v>548</v>
      </c>
      <c r="B1917" t="s">
        <v>545</v>
      </c>
      <c r="C1917" t="s">
        <v>783</v>
      </c>
      <c r="D1917" s="29">
        <f>VALUE(LEFT(C1917,LEN(C1917)-2))</f>
        <v>12.6</v>
      </c>
    </row>
    <row r="1918" spans="1:4">
      <c r="A1918" s="23" t="s">
        <v>550</v>
      </c>
      <c r="B1918" t="s">
        <v>545</v>
      </c>
      <c r="C1918" t="s">
        <v>788</v>
      </c>
      <c r="D1918" s="28">
        <f>VALUE(LEFT(C1918,LEN(C1918)-4))</f>
        <v>1013.3</v>
      </c>
    </row>
    <row r="1919" spans="1:4">
      <c r="A1919" s="23" t="s">
        <v>552</v>
      </c>
      <c r="B1919" t="s">
        <v>545</v>
      </c>
      <c r="C1919" t="s">
        <v>1048</v>
      </c>
      <c r="D1919" s="29">
        <f>VALUE(LEFT(C1919,LEN(C1919)-FIND("km/h",C1919)+1)/3.6)</f>
        <v>0</v>
      </c>
    </row>
    <row r="1920" spans="1:4">
      <c r="A1920" s="23" t="s">
        <v>554</v>
      </c>
      <c r="B1920" t="s">
        <v>545</v>
      </c>
      <c r="C1920" t="s">
        <v>1048</v>
      </c>
      <c r="D1920" s="29">
        <f>VALUE(LEFT(C1920,LEN(C1920)-FIND("km/h",C1920)+1)/3.6)</f>
        <v>0</v>
      </c>
    </row>
    <row r="1921" spans="1:4">
      <c r="A1921" s="23" t="s">
        <v>556</v>
      </c>
      <c r="B1921" t="s">
        <v>545</v>
      </c>
      <c r="C1921" t="s">
        <v>1174</v>
      </c>
      <c r="D1921" s="26">
        <f>VALUE(LEFT(C1921,LEN(C1921)-7))</f>
        <v>0</v>
      </c>
    </row>
    <row r="1922" spans="1:4">
      <c r="A1922" s="23" t="s">
        <v>558</v>
      </c>
      <c r="B1922" t="s">
        <v>545</v>
      </c>
      <c r="C1922" t="s">
        <v>1184</v>
      </c>
      <c r="D1922" s="29">
        <f>VALUE(LEFT(C1922,LEN(C1922)-3))</f>
        <v>130.6</v>
      </c>
    </row>
    <row r="1923" spans="1:4">
      <c r="A1923" s="23" t="s">
        <v>560</v>
      </c>
      <c r="B1923" t="s">
        <v>545</v>
      </c>
      <c r="C1923" t="s">
        <v>1184</v>
      </c>
      <c r="D1923" s="29">
        <f>VALUE(LEFT(C1923,LEN(C1923)-3))</f>
        <v>130.6</v>
      </c>
    </row>
    <row r="1924" spans="1:4">
      <c r="A1924" s="23" t="s">
        <v>562</v>
      </c>
      <c r="B1924" t="s">
        <v>545</v>
      </c>
      <c r="C1924" t="s">
        <v>1185</v>
      </c>
      <c r="D1924" s="29">
        <f>VALUE(LEFT(C1924,LEN(C1924)-3))</f>
        <v>32</v>
      </c>
    </row>
    <row r="1926" spans="1:4">
      <c r="A1926" s="23" t="s">
        <v>544</v>
      </c>
      <c r="B1926" t="s">
        <v>545</v>
      </c>
      <c r="C1926" t="s">
        <v>642</v>
      </c>
      <c r="D1926" s="29">
        <f>VALUE(LEFT(C1926,LEN(C1926)-2))</f>
        <v>13.7</v>
      </c>
    </row>
    <row r="1927" spans="1:4">
      <c r="A1927" s="23" t="s">
        <v>547</v>
      </c>
      <c r="B1927" t="s">
        <v>545</v>
      </c>
      <c r="C1927" s="24">
        <v>0.94</v>
      </c>
      <c r="D1927" s="27">
        <f>VALUE(C1927*100)</f>
        <v>94</v>
      </c>
    </row>
    <row r="1928" spans="1:4">
      <c r="A1928" s="23" t="s">
        <v>548</v>
      </c>
      <c r="B1928" t="s">
        <v>545</v>
      </c>
      <c r="C1928" t="s">
        <v>564</v>
      </c>
      <c r="D1928" s="29">
        <f>VALUE(LEFT(C1928,LEN(C1928)-2))</f>
        <v>12.7</v>
      </c>
    </row>
    <row r="1929" spans="1:4">
      <c r="A1929" s="23" t="s">
        <v>550</v>
      </c>
      <c r="B1929" t="s">
        <v>545</v>
      </c>
      <c r="C1929" t="s">
        <v>1186</v>
      </c>
      <c r="D1929" s="28">
        <f>VALUE(LEFT(C1929,LEN(C1929)-4))</f>
        <v>1013.8</v>
      </c>
    </row>
    <row r="1930" spans="1:4">
      <c r="A1930" s="23" t="s">
        <v>552</v>
      </c>
      <c r="B1930" t="s">
        <v>545</v>
      </c>
      <c r="C1930" t="s">
        <v>1048</v>
      </c>
      <c r="D1930" s="29">
        <f>VALUE(LEFT(C1930,LEN(C1930)-FIND("km/h",C1930)+1)/3.6)</f>
        <v>0</v>
      </c>
    </row>
    <row r="1931" spans="1:4">
      <c r="A1931" s="23" t="s">
        <v>554</v>
      </c>
      <c r="B1931" t="s">
        <v>545</v>
      </c>
      <c r="C1931" t="s">
        <v>1048</v>
      </c>
      <c r="D1931" s="29">
        <f>VALUE(LEFT(C1931,LEN(C1931)-FIND("km/h",C1931)+1)/3.6)</f>
        <v>0</v>
      </c>
    </row>
    <row r="1932" spans="1:4">
      <c r="A1932" s="23" t="s">
        <v>556</v>
      </c>
      <c r="B1932" t="s">
        <v>545</v>
      </c>
      <c r="C1932" t="s">
        <v>1174</v>
      </c>
      <c r="D1932" s="26">
        <f>VALUE(LEFT(C1932,LEN(C1932)-7))</f>
        <v>0</v>
      </c>
    </row>
    <row r="1933" spans="1:4">
      <c r="A1933" s="23" t="s">
        <v>558</v>
      </c>
      <c r="B1933" t="s">
        <v>545</v>
      </c>
      <c r="C1933" t="s">
        <v>1187</v>
      </c>
      <c r="D1933" s="29">
        <f>VALUE(LEFT(C1933,LEN(C1933)-3))</f>
        <v>137.9</v>
      </c>
    </row>
    <row r="1934" spans="1:4">
      <c r="A1934" s="23" t="s">
        <v>560</v>
      </c>
      <c r="B1934" t="s">
        <v>545</v>
      </c>
      <c r="C1934" t="s">
        <v>1187</v>
      </c>
      <c r="D1934" s="29">
        <f>VALUE(LEFT(C1934,LEN(C1934)-3))</f>
        <v>137.9</v>
      </c>
    </row>
    <row r="1935" spans="1:4">
      <c r="A1935" s="23" t="s">
        <v>562</v>
      </c>
      <c r="B1935" t="s">
        <v>545</v>
      </c>
      <c r="C1935" t="s">
        <v>918</v>
      </c>
      <c r="D1935" s="29">
        <f>VALUE(LEFT(C1935,LEN(C1935)-3))</f>
        <v>7.3</v>
      </c>
    </row>
    <row r="1937" spans="1:4">
      <c r="A1937" s="23" t="s">
        <v>544</v>
      </c>
      <c r="B1937" t="s">
        <v>545</v>
      </c>
      <c r="C1937" t="s">
        <v>642</v>
      </c>
      <c r="D1937" s="29">
        <f>VALUE(LEFT(C1937,LEN(C1937)-2))</f>
        <v>13.7</v>
      </c>
    </row>
    <row r="1938" spans="1:4">
      <c r="A1938" s="23" t="s">
        <v>547</v>
      </c>
      <c r="B1938" t="s">
        <v>545</v>
      </c>
      <c r="C1938" s="24">
        <v>0.78</v>
      </c>
      <c r="D1938" s="27">
        <f>VALUE(C1938*100)</f>
        <v>78</v>
      </c>
    </row>
    <row r="1939" spans="1:4">
      <c r="A1939" s="23" t="s">
        <v>548</v>
      </c>
      <c r="B1939" t="s">
        <v>545</v>
      </c>
      <c r="C1939" t="s">
        <v>606</v>
      </c>
      <c r="D1939" s="29">
        <f>VALUE(LEFT(C1939,LEN(C1939)-2))</f>
        <v>9.8000000000000007</v>
      </c>
    </row>
    <row r="1940" spans="1:4">
      <c r="A1940" s="23" t="s">
        <v>550</v>
      </c>
      <c r="B1940" t="s">
        <v>545</v>
      </c>
      <c r="C1940" t="s">
        <v>1188</v>
      </c>
      <c r="D1940" s="28">
        <f>VALUE(LEFT(C1940,LEN(C1940)-4))</f>
        <v>1013.4</v>
      </c>
    </row>
    <row r="1941" spans="1:4">
      <c r="A1941" s="23" t="s">
        <v>552</v>
      </c>
      <c r="B1941" t="s">
        <v>545</v>
      </c>
      <c r="C1941" t="s">
        <v>1048</v>
      </c>
      <c r="D1941" s="29">
        <f>VALUE(LEFT(C1941,LEN(C1941)-FIND("km/h",C1941)+1)/3.6)</f>
        <v>0</v>
      </c>
    </row>
    <row r="1942" spans="1:4">
      <c r="A1942" s="23" t="s">
        <v>554</v>
      </c>
      <c r="B1942" t="s">
        <v>545</v>
      </c>
      <c r="C1942" t="s">
        <v>1048</v>
      </c>
      <c r="D1942" s="29">
        <f>VALUE(LEFT(C1942,LEN(C1942)-FIND("km/h",C1942)+1)/3.6)</f>
        <v>0</v>
      </c>
    </row>
    <row r="1943" spans="1:4">
      <c r="A1943" s="23" t="s">
        <v>556</v>
      </c>
      <c r="B1943" t="s">
        <v>545</v>
      </c>
      <c r="C1943" t="s">
        <v>1174</v>
      </c>
      <c r="D1943" s="26">
        <f>VALUE(LEFT(C1943,LEN(C1943)-7))</f>
        <v>0</v>
      </c>
    </row>
    <row r="1944" spans="1:4">
      <c r="A1944" s="23" t="s">
        <v>558</v>
      </c>
      <c r="B1944" t="s">
        <v>545</v>
      </c>
      <c r="C1944" t="s">
        <v>1187</v>
      </c>
      <c r="D1944" s="29">
        <f>VALUE(LEFT(C1944,LEN(C1944)-3))</f>
        <v>137.9</v>
      </c>
    </row>
    <row r="1945" spans="1:4">
      <c r="A1945" s="23" t="s">
        <v>560</v>
      </c>
      <c r="B1945" t="s">
        <v>545</v>
      </c>
      <c r="C1945" t="s">
        <v>1187</v>
      </c>
      <c r="D1945" s="29">
        <f>VALUE(LEFT(C1945,LEN(C1945)-3))</f>
        <v>137.9</v>
      </c>
    </row>
    <row r="1946" spans="1:4">
      <c r="A1946" s="23" t="s">
        <v>562</v>
      </c>
      <c r="B1946" t="s">
        <v>545</v>
      </c>
      <c r="C1946" t="s">
        <v>604</v>
      </c>
      <c r="D1946" s="29">
        <f>VALUE(LEFT(C1946,LEN(C1946)-3))</f>
        <v>0</v>
      </c>
    </row>
    <row r="1948" spans="1:4">
      <c r="A1948" s="23" t="s">
        <v>544</v>
      </c>
      <c r="B1948" t="s">
        <v>545</v>
      </c>
      <c r="C1948" t="s">
        <v>605</v>
      </c>
      <c r="D1948" s="29">
        <f>VALUE(LEFT(C1948,LEN(C1948)-2))</f>
        <v>14.5</v>
      </c>
    </row>
    <row r="1949" spans="1:4">
      <c r="A1949" s="23" t="s">
        <v>547</v>
      </c>
      <c r="B1949" t="s">
        <v>545</v>
      </c>
      <c r="C1949" s="24">
        <v>0.57999999999999996</v>
      </c>
      <c r="D1949" s="27">
        <f>VALUE(C1949*100)</f>
        <v>57.999999999999993</v>
      </c>
    </row>
    <row r="1950" spans="1:4">
      <c r="A1950" s="23" t="s">
        <v>548</v>
      </c>
      <c r="B1950" t="s">
        <v>545</v>
      </c>
      <c r="C1950" t="s">
        <v>1154</v>
      </c>
      <c r="D1950" s="29">
        <f>VALUE(LEFT(C1950,LEN(C1950)-2))</f>
        <v>6</v>
      </c>
    </row>
    <row r="1951" spans="1:4">
      <c r="A1951" s="23" t="s">
        <v>550</v>
      </c>
      <c r="B1951" t="s">
        <v>545</v>
      </c>
      <c r="C1951" t="s">
        <v>1007</v>
      </c>
      <c r="D1951" s="28">
        <f>VALUE(LEFT(C1951,LEN(C1951)-4))</f>
        <v>1013.5</v>
      </c>
    </row>
    <row r="1952" spans="1:4">
      <c r="A1952" s="23" t="s">
        <v>552</v>
      </c>
      <c r="B1952" t="s">
        <v>545</v>
      </c>
      <c r="C1952" t="s">
        <v>1048</v>
      </c>
      <c r="D1952" s="29">
        <f>VALUE(LEFT(C1952,LEN(C1952)-FIND("km/h",C1952)+1)/3.6)</f>
        <v>0</v>
      </c>
    </row>
    <row r="1953" spans="1:4">
      <c r="A1953" s="23" t="s">
        <v>554</v>
      </c>
      <c r="B1953" t="s">
        <v>545</v>
      </c>
      <c r="C1953" t="s">
        <v>1048</v>
      </c>
      <c r="D1953" s="29">
        <f>VALUE(LEFT(C1953,LEN(C1953)-FIND("km/h",C1953)+1)/3.6)</f>
        <v>0</v>
      </c>
    </row>
    <row r="1954" spans="1:4">
      <c r="A1954" s="23" t="s">
        <v>556</v>
      </c>
      <c r="B1954" t="s">
        <v>545</v>
      </c>
      <c r="C1954" t="s">
        <v>1174</v>
      </c>
      <c r="D1954" s="26">
        <f>VALUE(LEFT(C1954,LEN(C1954)-7))</f>
        <v>0</v>
      </c>
    </row>
    <row r="1955" spans="1:4">
      <c r="A1955" s="23" t="s">
        <v>558</v>
      </c>
      <c r="B1955" t="s">
        <v>545</v>
      </c>
      <c r="C1955" t="s">
        <v>1187</v>
      </c>
      <c r="D1955" s="29">
        <f>VALUE(LEFT(C1955,LEN(C1955)-3))</f>
        <v>137.9</v>
      </c>
    </row>
    <row r="1956" spans="1:4">
      <c r="A1956" s="23" t="s">
        <v>560</v>
      </c>
      <c r="B1956" t="s">
        <v>545</v>
      </c>
      <c r="C1956" t="s">
        <v>1187</v>
      </c>
      <c r="D1956" s="29">
        <f>VALUE(LEFT(C1956,LEN(C1956)-3))</f>
        <v>137.9</v>
      </c>
    </row>
    <row r="1957" spans="1:4">
      <c r="A1957" s="23" t="s">
        <v>562</v>
      </c>
      <c r="B1957" t="s">
        <v>545</v>
      </c>
      <c r="C1957" t="s">
        <v>604</v>
      </c>
      <c r="D1957" s="29">
        <f>VALUE(LEFT(C1957,LEN(C1957)-3))</f>
        <v>0</v>
      </c>
    </row>
    <row r="1959" spans="1:4">
      <c r="A1959" s="23" t="s">
        <v>544</v>
      </c>
      <c r="B1959" t="s">
        <v>545</v>
      </c>
      <c r="C1959" t="s">
        <v>895</v>
      </c>
      <c r="D1959" s="29">
        <f>VALUE(LEFT(C1959,LEN(C1959)-2))</f>
        <v>11.6</v>
      </c>
    </row>
    <row r="1960" spans="1:4">
      <c r="A1960" s="23" t="s">
        <v>547</v>
      </c>
      <c r="B1960" t="s">
        <v>545</v>
      </c>
      <c r="C1960" s="24">
        <v>0.81</v>
      </c>
      <c r="D1960" s="27">
        <f>VALUE(C1960*100)</f>
        <v>81</v>
      </c>
    </row>
    <row r="1961" spans="1:4">
      <c r="A1961" s="23" t="s">
        <v>548</v>
      </c>
      <c r="B1961" t="s">
        <v>545</v>
      </c>
      <c r="C1961" t="s">
        <v>1077</v>
      </c>
      <c r="D1961" s="29">
        <f>VALUE(LEFT(C1961,LEN(C1961)-2))</f>
        <v>8.4</v>
      </c>
    </row>
    <row r="1962" spans="1:4">
      <c r="A1962" s="23" t="s">
        <v>550</v>
      </c>
      <c r="B1962" t="s">
        <v>545</v>
      </c>
      <c r="C1962" t="s">
        <v>1189</v>
      </c>
      <c r="D1962" s="28">
        <f>VALUE(LEFT(C1962,LEN(C1962)-4))</f>
        <v>1012.3</v>
      </c>
    </row>
    <row r="1963" spans="1:4">
      <c r="A1963" s="23" t="s">
        <v>552</v>
      </c>
      <c r="B1963" t="s">
        <v>545</v>
      </c>
      <c r="C1963" t="s">
        <v>1048</v>
      </c>
      <c r="D1963" s="29">
        <f>VALUE(LEFT(C1963,LEN(C1963)-FIND("km/h",C1963)+1)/3.6)</f>
        <v>0</v>
      </c>
    </row>
    <row r="1964" spans="1:4">
      <c r="A1964" s="23" t="s">
        <v>554</v>
      </c>
      <c r="B1964" t="s">
        <v>545</v>
      </c>
      <c r="C1964" t="s">
        <v>1048</v>
      </c>
      <c r="D1964" s="29">
        <f>VALUE(LEFT(C1964,LEN(C1964)-FIND("km/h",C1964)+1)/3.6)</f>
        <v>0</v>
      </c>
    </row>
    <row r="1965" spans="1:4">
      <c r="A1965" s="23" t="s">
        <v>556</v>
      </c>
      <c r="B1965" t="s">
        <v>545</v>
      </c>
      <c r="C1965" t="s">
        <v>1174</v>
      </c>
      <c r="D1965" s="26">
        <f>VALUE(LEFT(C1965,LEN(C1965)-7))</f>
        <v>0</v>
      </c>
    </row>
    <row r="1966" spans="1:4">
      <c r="A1966" s="23" t="s">
        <v>558</v>
      </c>
      <c r="B1966" t="s">
        <v>545</v>
      </c>
      <c r="C1966" t="s">
        <v>1187</v>
      </c>
      <c r="D1966" s="29">
        <f>VALUE(LEFT(C1966,LEN(C1966)-3))</f>
        <v>137.9</v>
      </c>
    </row>
    <row r="1967" spans="1:4">
      <c r="A1967" s="23" t="s">
        <v>560</v>
      </c>
      <c r="B1967" t="s">
        <v>545</v>
      </c>
      <c r="C1967" t="s">
        <v>1187</v>
      </c>
      <c r="D1967" s="29">
        <f>VALUE(LEFT(C1967,LEN(C1967)-3))</f>
        <v>137.9</v>
      </c>
    </row>
    <row r="1968" spans="1:4">
      <c r="A1968" s="23" t="s">
        <v>562</v>
      </c>
      <c r="B1968" t="s">
        <v>545</v>
      </c>
      <c r="C1968" t="s">
        <v>604</v>
      </c>
      <c r="D1968" s="29">
        <f>VALUE(LEFT(C1968,LEN(C1968)-3))</f>
        <v>0</v>
      </c>
    </row>
    <row r="1970" spans="1:4">
      <c r="A1970" s="23" t="s">
        <v>544</v>
      </c>
      <c r="B1970" t="s">
        <v>545</v>
      </c>
      <c r="C1970" t="s">
        <v>714</v>
      </c>
      <c r="D1970" s="29">
        <f>VALUE(LEFT(C1970,LEN(C1970)-2))</f>
        <v>10.4</v>
      </c>
    </row>
    <row r="1971" spans="1:4">
      <c r="A1971" s="23" t="s">
        <v>547</v>
      </c>
      <c r="B1971" t="s">
        <v>545</v>
      </c>
      <c r="C1971" s="24">
        <v>0.88</v>
      </c>
      <c r="D1971" s="27">
        <f>VALUE(C1971*100)</f>
        <v>88</v>
      </c>
    </row>
    <row r="1972" spans="1:4">
      <c r="A1972" s="23" t="s">
        <v>548</v>
      </c>
      <c r="B1972" t="s">
        <v>545</v>
      </c>
      <c r="C1972" t="s">
        <v>908</v>
      </c>
      <c r="D1972" s="29">
        <f>VALUE(LEFT(C1972,LEN(C1972)-2))</f>
        <v>8.1999999999999993</v>
      </c>
    </row>
    <row r="1973" spans="1:4">
      <c r="A1973" s="23" t="s">
        <v>550</v>
      </c>
      <c r="B1973" t="s">
        <v>545</v>
      </c>
      <c r="C1973" t="s">
        <v>1190</v>
      </c>
      <c r="D1973" s="28">
        <f>VALUE(LEFT(C1973,LEN(C1973)-4))</f>
        <v>1014.6</v>
      </c>
    </row>
    <row r="1974" spans="1:4">
      <c r="A1974" s="23" t="s">
        <v>552</v>
      </c>
      <c r="B1974" t="s">
        <v>545</v>
      </c>
      <c r="C1974" t="s">
        <v>1048</v>
      </c>
      <c r="D1974" s="29">
        <f>VALUE(LEFT(C1974,LEN(C1974)-FIND("km/h",C1974)+1)/3.6)</f>
        <v>0</v>
      </c>
    </row>
    <row r="1975" spans="1:4">
      <c r="A1975" s="23" t="s">
        <v>554</v>
      </c>
      <c r="B1975" t="s">
        <v>545</v>
      </c>
      <c r="C1975" t="s">
        <v>1048</v>
      </c>
      <c r="D1975" s="29">
        <f>VALUE(LEFT(C1975,LEN(C1975)-FIND("km/h",C1975)+1)/3.6)</f>
        <v>0</v>
      </c>
    </row>
    <row r="1976" spans="1:4">
      <c r="A1976" s="23" t="s">
        <v>556</v>
      </c>
      <c r="B1976" t="s">
        <v>545</v>
      </c>
      <c r="C1976" t="s">
        <v>1174</v>
      </c>
      <c r="D1976" s="26">
        <f>VALUE(LEFT(C1976,LEN(C1976)-7))</f>
        <v>0</v>
      </c>
    </row>
    <row r="1977" spans="1:4">
      <c r="A1977" s="23" t="s">
        <v>558</v>
      </c>
      <c r="B1977" t="s">
        <v>545</v>
      </c>
      <c r="C1977" t="s">
        <v>1187</v>
      </c>
      <c r="D1977" s="29">
        <f>VALUE(LEFT(C1977,LEN(C1977)-3))</f>
        <v>137.9</v>
      </c>
    </row>
    <row r="1978" spans="1:4">
      <c r="A1978" s="23" t="s">
        <v>560</v>
      </c>
      <c r="B1978" t="s">
        <v>545</v>
      </c>
      <c r="C1978" t="s">
        <v>1187</v>
      </c>
      <c r="D1978" s="29">
        <f>VALUE(LEFT(C1978,LEN(C1978)-3))</f>
        <v>137.9</v>
      </c>
    </row>
    <row r="1979" spans="1:4">
      <c r="A1979" s="23" t="s">
        <v>562</v>
      </c>
      <c r="B1979" t="s">
        <v>545</v>
      </c>
      <c r="C1979" t="s">
        <v>604</v>
      </c>
      <c r="D1979" s="29">
        <f>VALUE(LEFT(C1979,LEN(C1979)-3))</f>
        <v>0</v>
      </c>
    </row>
    <row r="1981" spans="1:4">
      <c r="A1981" s="23" t="s">
        <v>544</v>
      </c>
      <c r="B1981" t="s">
        <v>545</v>
      </c>
      <c r="C1981" t="s">
        <v>798</v>
      </c>
      <c r="D1981" s="29">
        <f>VALUE(LEFT(C1981,LEN(C1981)-2))</f>
        <v>11.1</v>
      </c>
    </row>
    <row r="1982" spans="1:4">
      <c r="A1982" s="23" t="s">
        <v>547</v>
      </c>
      <c r="B1982" t="s">
        <v>545</v>
      </c>
      <c r="C1982" s="24">
        <v>0.92</v>
      </c>
      <c r="D1982" s="27">
        <f>VALUE(C1982*100)</f>
        <v>92</v>
      </c>
    </row>
    <row r="1983" spans="1:4">
      <c r="A1983" s="23" t="s">
        <v>548</v>
      </c>
      <c r="B1983" t="s">
        <v>545</v>
      </c>
      <c r="C1983" t="s">
        <v>1148</v>
      </c>
      <c r="D1983" s="29">
        <f>VALUE(LEFT(C1983,LEN(C1983)-2))</f>
        <v>9.9</v>
      </c>
    </row>
    <row r="1984" spans="1:4">
      <c r="A1984" s="23" t="s">
        <v>550</v>
      </c>
      <c r="B1984" t="s">
        <v>545</v>
      </c>
      <c r="C1984" t="s">
        <v>1191</v>
      </c>
      <c r="D1984" s="28">
        <f>VALUE(LEFT(C1984,LEN(C1984)-4))</f>
        <v>1019.2</v>
      </c>
    </row>
    <row r="1985" spans="1:4">
      <c r="A1985" s="23" t="s">
        <v>552</v>
      </c>
      <c r="B1985" t="s">
        <v>545</v>
      </c>
      <c r="C1985" t="s">
        <v>1048</v>
      </c>
      <c r="D1985" s="29">
        <f>VALUE(LEFT(C1985,LEN(C1985)-FIND("km/h",C1985)+1)/3.6)</f>
        <v>0</v>
      </c>
    </row>
    <row r="1986" spans="1:4">
      <c r="A1986" s="23" t="s">
        <v>554</v>
      </c>
      <c r="B1986" t="s">
        <v>545</v>
      </c>
      <c r="C1986" t="s">
        <v>1048</v>
      </c>
      <c r="D1986" s="29">
        <f>VALUE(LEFT(C1986,LEN(C1986)-FIND("km/h",C1986)+1)/3.6)</f>
        <v>0</v>
      </c>
    </row>
    <row r="1987" spans="1:4">
      <c r="A1987" s="23" t="s">
        <v>556</v>
      </c>
      <c r="B1987" t="s">
        <v>545</v>
      </c>
      <c r="C1987" t="s">
        <v>1174</v>
      </c>
      <c r="D1987" s="26">
        <f>VALUE(LEFT(C1987,LEN(C1987)-7))</f>
        <v>0</v>
      </c>
    </row>
    <row r="1988" spans="1:4">
      <c r="A1988" s="23" t="s">
        <v>558</v>
      </c>
      <c r="B1988" t="s">
        <v>545</v>
      </c>
      <c r="C1988" t="s">
        <v>1192</v>
      </c>
      <c r="D1988" s="29">
        <f>VALUE(LEFT(C1988,LEN(C1988)-3))</f>
        <v>141.9</v>
      </c>
    </row>
    <row r="1989" spans="1:4">
      <c r="A1989" s="23" t="s">
        <v>560</v>
      </c>
      <c r="B1989" t="s">
        <v>545</v>
      </c>
      <c r="C1989" t="s">
        <v>1192</v>
      </c>
      <c r="D1989" s="29">
        <f>VALUE(LEFT(C1989,LEN(C1989)-3))</f>
        <v>141.9</v>
      </c>
    </row>
    <row r="1990" spans="1:4">
      <c r="A1990" s="23" t="s">
        <v>562</v>
      </c>
      <c r="B1990" t="s">
        <v>545</v>
      </c>
      <c r="C1990" t="s">
        <v>589</v>
      </c>
      <c r="D1990" s="29">
        <f>VALUE(LEFT(C1990,LEN(C1990)-3))</f>
        <v>4</v>
      </c>
    </row>
    <row r="1992" spans="1:4">
      <c r="A1992" s="23" t="s">
        <v>544</v>
      </c>
      <c r="B1992" t="s">
        <v>545</v>
      </c>
      <c r="C1992" t="s">
        <v>590</v>
      </c>
      <c r="D1992" s="29">
        <f>VALUE(LEFT(C1992,LEN(C1992)-2))</f>
        <v>9.6999999999999993</v>
      </c>
    </row>
    <row r="1993" spans="1:4">
      <c r="A1993" s="23" t="s">
        <v>547</v>
      </c>
      <c r="B1993" t="s">
        <v>545</v>
      </c>
      <c r="C1993" s="24">
        <v>0.87</v>
      </c>
      <c r="D1993" s="27">
        <f>VALUE(C1993*100)</f>
        <v>87</v>
      </c>
    </row>
    <row r="1994" spans="1:4">
      <c r="A1994" s="23" t="s">
        <v>548</v>
      </c>
      <c r="B1994" t="s">
        <v>545</v>
      </c>
      <c r="C1994" t="s">
        <v>658</v>
      </c>
      <c r="D1994" s="29">
        <f>VALUE(LEFT(C1994,LEN(C1994)-2))</f>
        <v>7.4</v>
      </c>
    </row>
    <row r="1995" spans="1:4">
      <c r="A1995" s="23" t="s">
        <v>550</v>
      </c>
      <c r="B1995" t="s">
        <v>545</v>
      </c>
      <c r="C1995" t="s">
        <v>1193</v>
      </c>
      <c r="D1995" s="28">
        <f>VALUE(LEFT(C1995,LEN(C1995)-4))</f>
        <v>1020.7</v>
      </c>
    </row>
    <row r="1996" spans="1:4">
      <c r="A1996" s="23" t="s">
        <v>552</v>
      </c>
      <c r="B1996" t="s">
        <v>545</v>
      </c>
      <c r="C1996" t="s">
        <v>1048</v>
      </c>
      <c r="D1996" s="29">
        <f>VALUE(LEFT(C1996,LEN(C1996)-FIND("km/h",C1996)+1)/3.6)</f>
        <v>0</v>
      </c>
    </row>
    <row r="1997" spans="1:4">
      <c r="A1997" s="23" t="s">
        <v>554</v>
      </c>
      <c r="B1997" t="s">
        <v>545</v>
      </c>
      <c r="C1997" t="s">
        <v>1048</v>
      </c>
      <c r="D1997" s="29">
        <f>VALUE(LEFT(C1997,LEN(C1997)-FIND("km/h",C1997)+1)/3.6)</f>
        <v>0</v>
      </c>
    </row>
    <row r="1998" spans="1:4">
      <c r="A1998" s="23" t="s">
        <v>556</v>
      </c>
      <c r="B1998" t="s">
        <v>545</v>
      </c>
      <c r="C1998" t="s">
        <v>1174</v>
      </c>
      <c r="D1998" s="26">
        <f>VALUE(LEFT(C1998,LEN(C1998)-7))</f>
        <v>0</v>
      </c>
    </row>
    <row r="1999" spans="1:4">
      <c r="A1999" s="23" t="s">
        <v>558</v>
      </c>
      <c r="B1999" t="s">
        <v>545</v>
      </c>
      <c r="C1999" t="s">
        <v>1194</v>
      </c>
      <c r="D1999" s="29">
        <f>VALUE(LEFT(C1999,LEN(C1999)-3))</f>
        <v>142.9</v>
      </c>
    </row>
    <row r="2000" spans="1:4">
      <c r="A2000" s="23" t="s">
        <v>560</v>
      </c>
      <c r="B2000" t="s">
        <v>545</v>
      </c>
      <c r="C2000" t="s">
        <v>1194</v>
      </c>
      <c r="D2000" s="29">
        <f>VALUE(LEFT(C2000,LEN(C2000)-3))</f>
        <v>142.9</v>
      </c>
    </row>
    <row r="2001" spans="1:4">
      <c r="A2001" s="23" t="s">
        <v>562</v>
      </c>
      <c r="B2001" t="s">
        <v>545</v>
      </c>
      <c r="C2001" t="s">
        <v>581</v>
      </c>
      <c r="D2001" s="29">
        <f>VALUE(LEFT(C2001,LEN(C2001)-3))</f>
        <v>1</v>
      </c>
    </row>
    <row r="2003" spans="1:4">
      <c r="A2003" s="23" t="s">
        <v>544</v>
      </c>
      <c r="B2003" t="s">
        <v>545</v>
      </c>
      <c r="C2003" t="s">
        <v>632</v>
      </c>
      <c r="D2003" s="29">
        <f>VALUE(LEFT(C2003,LEN(C2003)-2))</f>
        <v>13.1</v>
      </c>
    </row>
    <row r="2004" spans="1:4">
      <c r="A2004" s="23" t="s">
        <v>547</v>
      </c>
      <c r="B2004" t="s">
        <v>545</v>
      </c>
      <c r="C2004" s="24">
        <v>0.94</v>
      </c>
      <c r="D2004" s="27">
        <f>VALUE(C2004*100)</f>
        <v>94</v>
      </c>
    </row>
    <row r="2005" spans="1:4">
      <c r="A2005" s="23" t="s">
        <v>548</v>
      </c>
      <c r="B2005" t="s">
        <v>545</v>
      </c>
      <c r="C2005" t="s">
        <v>1195</v>
      </c>
      <c r="D2005" s="29">
        <f>VALUE(LEFT(C2005,LEN(C2005)-2))</f>
        <v>12.2</v>
      </c>
    </row>
    <row r="2006" spans="1:4">
      <c r="A2006" s="23" t="s">
        <v>550</v>
      </c>
      <c r="B2006" t="s">
        <v>545</v>
      </c>
      <c r="C2006" t="s">
        <v>904</v>
      </c>
      <c r="D2006" s="28">
        <f>VALUE(LEFT(C2006,LEN(C2006)-4))</f>
        <v>1018.5</v>
      </c>
    </row>
    <row r="2007" spans="1:4">
      <c r="A2007" s="23" t="s">
        <v>552</v>
      </c>
      <c r="B2007" t="s">
        <v>545</v>
      </c>
      <c r="C2007" t="s">
        <v>1048</v>
      </c>
      <c r="D2007" s="29">
        <f>VALUE(LEFT(C2007,LEN(C2007)-FIND("km/h",C2007)+1)/3.6)</f>
        <v>0</v>
      </c>
    </row>
    <row r="2008" spans="1:4">
      <c r="A2008" s="23" t="s">
        <v>554</v>
      </c>
      <c r="B2008" t="s">
        <v>545</v>
      </c>
      <c r="C2008" t="s">
        <v>1048</v>
      </c>
      <c r="D2008" s="29">
        <f>VALUE(LEFT(C2008,LEN(C2008)-FIND("km/h",C2008)+1)/3.6)</f>
        <v>0</v>
      </c>
    </row>
    <row r="2009" spans="1:4">
      <c r="A2009" s="23" t="s">
        <v>556</v>
      </c>
      <c r="B2009" t="s">
        <v>545</v>
      </c>
      <c r="C2009" t="s">
        <v>1174</v>
      </c>
      <c r="D2009" s="26">
        <f>VALUE(LEFT(C2009,LEN(C2009)-7))</f>
        <v>0</v>
      </c>
    </row>
    <row r="2010" spans="1:4">
      <c r="A2010" s="23" t="s">
        <v>558</v>
      </c>
      <c r="B2010" t="s">
        <v>545</v>
      </c>
      <c r="C2010" t="s">
        <v>1196</v>
      </c>
      <c r="D2010" s="29">
        <f>VALUE(LEFT(C2010,LEN(C2010)-3))</f>
        <v>146.9</v>
      </c>
    </row>
    <row r="2011" spans="1:4">
      <c r="A2011" s="23" t="s">
        <v>560</v>
      </c>
      <c r="B2011" t="s">
        <v>545</v>
      </c>
      <c r="C2011" t="s">
        <v>1196</v>
      </c>
      <c r="D2011" s="29">
        <f>VALUE(LEFT(C2011,LEN(C2011)-3))</f>
        <v>146.9</v>
      </c>
    </row>
    <row r="2012" spans="1:4">
      <c r="A2012" s="23" t="s">
        <v>562</v>
      </c>
      <c r="B2012" t="s">
        <v>545</v>
      </c>
      <c r="C2012" t="s">
        <v>589</v>
      </c>
      <c r="D2012" s="29">
        <f>VALUE(LEFT(C2012,LEN(C2012)-3))</f>
        <v>4</v>
      </c>
    </row>
    <row r="2014" spans="1:4">
      <c r="A2014" s="23" t="s">
        <v>544</v>
      </c>
      <c r="B2014" t="s">
        <v>545</v>
      </c>
      <c r="C2014" t="s">
        <v>696</v>
      </c>
      <c r="D2014" s="29">
        <f>VALUE(LEFT(C2014,LEN(C2014)-2))</f>
        <v>12.1</v>
      </c>
    </row>
    <row r="2015" spans="1:4">
      <c r="A2015" s="23" t="s">
        <v>547</v>
      </c>
      <c r="B2015" t="s">
        <v>545</v>
      </c>
      <c r="C2015" s="24">
        <v>0.97</v>
      </c>
      <c r="D2015" s="27">
        <f>VALUE(C2015*100)</f>
        <v>97</v>
      </c>
    </row>
    <row r="2016" spans="1:4">
      <c r="A2016" s="23" t="s">
        <v>548</v>
      </c>
      <c r="B2016" t="s">
        <v>545</v>
      </c>
      <c r="C2016" t="s">
        <v>895</v>
      </c>
      <c r="D2016" s="29">
        <f>VALUE(LEFT(C2016,LEN(C2016)-2))</f>
        <v>11.6</v>
      </c>
    </row>
    <row r="2017" spans="1:4">
      <c r="A2017" s="23" t="s">
        <v>550</v>
      </c>
      <c r="B2017" t="s">
        <v>545</v>
      </c>
      <c r="C2017" t="s">
        <v>1188</v>
      </c>
      <c r="D2017" s="28">
        <f>VALUE(LEFT(C2017,LEN(C2017)-4))</f>
        <v>1013.4</v>
      </c>
    </row>
    <row r="2018" spans="1:4">
      <c r="A2018" s="23" t="s">
        <v>552</v>
      </c>
      <c r="B2018" t="s">
        <v>545</v>
      </c>
      <c r="C2018" t="s">
        <v>1048</v>
      </c>
      <c r="D2018" s="29">
        <f>VALUE(LEFT(C2018,LEN(C2018)-FIND("km/h",C2018)+1)/3.6)</f>
        <v>0</v>
      </c>
    </row>
    <row r="2019" spans="1:4">
      <c r="A2019" s="23" t="s">
        <v>554</v>
      </c>
      <c r="B2019" t="s">
        <v>545</v>
      </c>
      <c r="C2019" t="s">
        <v>1048</v>
      </c>
      <c r="D2019" s="29">
        <f>VALUE(LEFT(C2019,LEN(C2019)-FIND("km/h",C2019)+1)/3.6)</f>
        <v>0</v>
      </c>
    </row>
    <row r="2020" spans="1:4">
      <c r="A2020" s="23" t="s">
        <v>556</v>
      </c>
      <c r="B2020" t="s">
        <v>545</v>
      </c>
      <c r="C2020" t="s">
        <v>1197</v>
      </c>
      <c r="D2020" s="26">
        <f>VALUE(LEFT(C2020,LEN(C2020)-7))</f>
        <v>358</v>
      </c>
    </row>
    <row r="2021" spans="1:4">
      <c r="A2021" s="23" t="s">
        <v>558</v>
      </c>
      <c r="B2021" t="s">
        <v>545</v>
      </c>
      <c r="C2021" t="s">
        <v>1198</v>
      </c>
      <c r="D2021" s="29">
        <f>VALUE(LEFT(C2021,LEN(C2021)-3))</f>
        <v>156.19999999999999</v>
      </c>
    </row>
    <row r="2022" spans="1:4">
      <c r="A2022" s="23" t="s">
        <v>560</v>
      </c>
      <c r="B2022" t="s">
        <v>545</v>
      </c>
      <c r="C2022" t="s">
        <v>1198</v>
      </c>
      <c r="D2022" s="29">
        <f>VALUE(LEFT(C2022,LEN(C2022)-3))</f>
        <v>156.19999999999999</v>
      </c>
    </row>
    <row r="2023" spans="1:4">
      <c r="A2023" s="23" t="s">
        <v>562</v>
      </c>
      <c r="B2023" t="s">
        <v>545</v>
      </c>
      <c r="C2023" t="s">
        <v>1089</v>
      </c>
      <c r="D2023" s="29">
        <f>VALUE(LEFT(C2023,LEN(C2023)-3))</f>
        <v>9.3000000000000007</v>
      </c>
    </row>
    <row r="2025" spans="1:4">
      <c r="A2025" s="23" t="s">
        <v>544</v>
      </c>
      <c r="B2025" t="s">
        <v>545</v>
      </c>
      <c r="C2025" t="s">
        <v>1148</v>
      </c>
      <c r="D2025" s="29">
        <f>VALUE(LEFT(C2025,LEN(C2025)-2))</f>
        <v>9.9</v>
      </c>
    </row>
    <row r="2026" spans="1:4">
      <c r="A2026" s="23" t="s">
        <v>547</v>
      </c>
      <c r="B2026" t="s">
        <v>545</v>
      </c>
      <c r="C2026" s="24">
        <v>0.85</v>
      </c>
      <c r="D2026" s="27">
        <f>VALUE(C2026*100)</f>
        <v>85</v>
      </c>
    </row>
    <row r="2027" spans="1:4">
      <c r="A2027" s="23" t="s">
        <v>548</v>
      </c>
      <c r="B2027" t="s">
        <v>545</v>
      </c>
      <c r="C2027" t="s">
        <v>658</v>
      </c>
      <c r="D2027" s="29">
        <f>VALUE(LEFT(C2027,LEN(C2027)-2))</f>
        <v>7.4</v>
      </c>
    </row>
    <row r="2028" spans="1:4">
      <c r="A2028" s="23" t="s">
        <v>550</v>
      </c>
      <c r="B2028" t="s">
        <v>545</v>
      </c>
      <c r="C2028" t="s">
        <v>1199</v>
      </c>
      <c r="D2028" s="28">
        <f>VALUE(LEFT(C2028,LEN(C2028)-4))</f>
        <v>1008.3</v>
      </c>
    </row>
    <row r="2029" spans="1:4">
      <c r="A2029" s="23" t="s">
        <v>552</v>
      </c>
      <c r="B2029" t="s">
        <v>545</v>
      </c>
      <c r="C2029" t="s">
        <v>1048</v>
      </c>
      <c r="D2029" s="29">
        <f>VALUE(LEFT(C2029,LEN(C2029)-FIND("km/h",C2029)+1)/3.6)</f>
        <v>0</v>
      </c>
    </row>
    <row r="2030" spans="1:4">
      <c r="A2030" s="23" t="s">
        <v>554</v>
      </c>
      <c r="B2030" t="s">
        <v>545</v>
      </c>
      <c r="C2030" t="s">
        <v>1048</v>
      </c>
      <c r="D2030" s="29">
        <f>VALUE(LEFT(C2030,LEN(C2030)-FIND("km/h",C2030)+1)/3.6)</f>
        <v>0</v>
      </c>
    </row>
    <row r="2031" spans="1:4">
      <c r="A2031" s="23" t="s">
        <v>556</v>
      </c>
      <c r="B2031" t="s">
        <v>545</v>
      </c>
      <c r="C2031" t="s">
        <v>682</v>
      </c>
      <c r="D2031" s="26">
        <f>VALUE(LEFT(C2031,LEN(C2031)-7))</f>
        <v>316</v>
      </c>
    </row>
    <row r="2032" spans="1:4">
      <c r="A2032" s="23" t="s">
        <v>558</v>
      </c>
      <c r="B2032" t="s">
        <v>545</v>
      </c>
      <c r="C2032" t="s">
        <v>1200</v>
      </c>
      <c r="D2032" s="29">
        <f>VALUE(LEFT(C2032,LEN(C2032)-3))</f>
        <v>163.5</v>
      </c>
    </row>
    <row r="2033" spans="1:4">
      <c r="A2033" s="23" t="s">
        <v>560</v>
      </c>
      <c r="B2033" t="s">
        <v>545</v>
      </c>
      <c r="C2033" t="s">
        <v>1200</v>
      </c>
      <c r="D2033" s="29">
        <f>VALUE(LEFT(C2033,LEN(C2033)-3))</f>
        <v>163.5</v>
      </c>
    </row>
    <row r="2034" spans="1:4">
      <c r="A2034" s="23" t="s">
        <v>562</v>
      </c>
      <c r="B2034" t="s">
        <v>545</v>
      </c>
      <c r="C2034" t="s">
        <v>918</v>
      </c>
      <c r="D2034" s="29">
        <f>VALUE(LEFT(C2034,LEN(C2034)-3))</f>
        <v>7.3</v>
      </c>
    </row>
    <row r="2036" spans="1:4">
      <c r="A2036" s="23" t="s">
        <v>544</v>
      </c>
      <c r="B2036" t="s">
        <v>545</v>
      </c>
      <c r="C2036" t="s">
        <v>832</v>
      </c>
      <c r="D2036" s="29">
        <f>VALUE(LEFT(C2036,LEN(C2036)-2))</f>
        <v>9</v>
      </c>
    </row>
    <row r="2037" spans="1:4">
      <c r="A2037" s="23" t="s">
        <v>547</v>
      </c>
      <c r="B2037" t="s">
        <v>545</v>
      </c>
      <c r="C2037" s="24">
        <v>0.87</v>
      </c>
      <c r="D2037" s="27">
        <f>VALUE(C2037*100)</f>
        <v>87</v>
      </c>
    </row>
    <row r="2038" spans="1:4">
      <c r="A2038" s="23" t="s">
        <v>548</v>
      </c>
      <c r="B2038" t="s">
        <v>545</v>
      </c>
      <c r="C2038" t="s">
        <v>679</v>
      </c>
      <c r="D2038" s="29">
        <f>VALUE(LEFT(C2038,LEN(C2038)-2))</f>
        <v>7</v>
      </c>
    </row>
    <row r="2039" spans="1:4">
      <c r="A2039" s="23" t="s">
        <v>550</v>
      </c>
      <c r="B2039" t="s">
        <v>545</v>
      </c>
      <c r="C2039" t="s">
        <v>1201</v>
      </c>
      <c r="D2039" s="28">
        <f>VALUE(LEFT(C2039,LEN(C2039)-4))</f>
        <v>994.9</v>
      </c>
    </row>
    <row r="2040" spans="1:4">
      <c r="A2040" s="23" t="s">
        <v>552</v>
      </c>
      <c r="B2040" t="s">
        <v>545</v>
      </c>
      <c r="C2040" t="s">
        <v>1048</v>
      </c>
      <c r="D2040" s="29">
        <f>VALUE(LEFT(C2040,LEN(C2040)-FIND("km/h",C2040)+1)/3.6)</f>
        <v>0</v>
      </c>
    </row>
    <row r="2041" spans="1:4">
      <c r="A2041" s="23" t="s">
        <v>554</v>
      </c>
      <c r="B2041" t="s">
        <v>545</v>
      </c>
      <c r="C2041" t="s">
        <v>1048</v>
      </c>
      <c r="D2041" s="29">
        <f>VALUE(LEFT(C2041,LEN(C2041)-FIND("km/h",C2041)+1)/3.6)</f>
        <v>0</v>
      </c>
    </row>
    <row r="2042" spans="1:4">
      <c r="A2042" s="23" t="s">
        <v>556</v>
      </c>
      <c r="B2042" t="s">
        <v>545</v>
      </c>
      <c r="C2042" t="s">
        <v>1202</v>
      </c>
      <c r="D2042" s="26">
        <f>VALUE(LEFT(C2042,LEN(C2042)-7))</f>
        <v>87</v>
      </c>
    </row>
    <row r="2043" spans="1:4">
      <c r="A2043" s="23" t="s">
        <v>558</v>
      </c>
      <c r="B2043" t="s">
        <v>545</v>
      </c>
      <c r="C2043" t="s">
        <v>1203</v>
      </c>
      <c r="D2043" s="29">
        <f>VALUE(LEFT(C2043,LEN(C2043)-3))</f>
        <v>183.2</v>
      </c>
    </row>
    <row r="2044" spans="1:4">
      <c r="A2044" s="23" t="s">
        <v>560</v>
      </c>
      <c r="B2044" t="s">
        <v>545</v>
      </c>
      <c r="C2044" t="s">
        <v>1203</v>
      </c>
      <c r="D2044" s="29">
        <f>VALUE(LEFT(C2044,LEN(C2044)-3))</f>
        <v>183.2</v>
      </c>
    </row>
    <row r="2045" spans="1:4">
      <c r="A2045" s="23" t="s">
        <v>562</v>
      </c>
      <c r="B2045" t="s">
        <v>545</v>
      </c>
      <c r="C2045" t="s">
        <v>1204</v>
      </c>
      <c r="D2045" s="29">
        <f>VALUE(LEFT(C2045,LEN(C2045)-3))</f>
        <v>19.7</v>
      </c>
    </row>
    <row r="2047" spans="1:4">
      <c r="A2047" s="23" t="s">
        <v>544</v>
      </c>
      <c r="B2047" t="s">
        <v>545</v>
      </c>
      <c r="C2047" t="s">
        <v>837</v>
      </c>
      <c r="D2047" s="29">
        <f>VALUE(LEFT(C2047,LEN(C2047)-2))</f>
        <v>9.1999999999999993</v>
      </c>
    </row>
    <row r="2048" spans="1:4">
      <c r="A2048" s="23" t="s">
        <v>547</v>
      </c>
      <c r="B2048" t="s">
        <v>545</v>
      </c>
      <c r="C2048" s="24">
        <v>0.91</v>
      </c>
      <c r="D2048" s="27">
        <f>VALUE(C2048*100)</f>
        <v>91</v>
      </c>
    </row>
    <row r="2049" spans="1:4">
      <c r="A2049" s="23" t="s">
        <v>548</v>
      </c>
      <c r="B2049" t="s">
        <v>545</v>
      </c>
      <c r="C2049" t="s">
        <v>882</v>
      </c>
      <c r="D2049" s="29">
        <f>VALUE(LEFT(C2049,LEN(C2049)-2))</f>
        <v>7.8</v>
      </c>
    </row>
    <row r="2050" spans="1:4">
      <c r="A2050" s="23" t="s">
        <v>550</v>
      </c>
      <c r="B2050" t="s">
        <v>545</v>
      </c>
      <c r="C2050" t="s">
        <v>1205</v>
      </c>
      <c r="D2050" s="28">
        <f>VALUE(LEFT(C2050,LEN(C2050)-4))</f>
        <v>994.4</v>
      </c>
    </row>
    <row r="2051" spans="1:4">
      <c r="A2051" s="23" t="s">
        <v>552</v>
      </c>
      <c r="B2051" t="s">
        <v>545</v>
      </c>
      <c r="C2051" t="s">
        <v>1048</v>
      </c>
      <c r="D2051" s="29">
        <f>VALUE(LEFT(C2051,LEN(C2051)-FIND("km/h",C2051)+1)/3.6)</f>
        <v>0</v>
      </c>
    </row>
    <row r="2052" spans="1:4">
      <c r="A2052" s="23" t="s">
        <v>554</v>
      </c>
      <c r="B2052" t="s">
        <v>545</v>
      </c>
      <c r="C2052" t="s">
        <v>1048</v>
      </c>
      <c r="D2052" s="29">
        <f>VALUE(LEFT(C2052,LEN(C2052)-FIND("km/h",C2052)+1)/3.6)</f>
        <v>0</v>
      </c>
    </row>
    <row r="2053" spans="1:4">
      <c r="A2053" s="23" t="s">
        <v>556</v>
      </c>
      <c r="B2053" t="s">
        <v>545</v>
      </c>
      <c r="C2053" t="s">
        <v>1206</v>
      </c>
      <c r="D2053" s="26">
        <f>VALUE(LEFT(C2053,LEN(C2053)-7))</f>
        <v>99</v>
      </c>
    </row>
    <row r="2054" spans="1:4">
      <c r="A2054" s="23" t="s">
        <v>558</v>
      </c>
      <c r="B2054" t="s">
        <v>545</v>
      </c>
      <c r="C2054" t="s">
        <v>1207</v>
      </c>
      <c r="D2054" s="29">
        <f>VALUE(LEFT(C2054,LEN(C2054)-3))</f>
        <v>199.5</v>
      </c>
    </row>
    <row r="2055" spans="1:4">
      <c r="A2055" s="23" t="s">
        <v>560</v>
      </c>
      <c r="B2055" t="s">
        <v>545</v>
      </c>
      <c r="C2055" t="s">
        <v>1207</v>
      </c>
      <c r="D2055" s="29">
        <f>VALUE(LEFT(C2055,LEN(C2055)-3))</f>
        <v>199.5</v>
      </c>
    </row>
    <row r="2056" spans="1:4">
      <c r="A2056" s="23" t="s">
        <v>562</v>
      </c>
      <c r="B2056" t="s">
        <v>545</v>
      </c>
      <c r="C2056" t="s">
        <v>579</v>
      </c>
      <c r="D2056" s="29">
        <f>VALUE(LEFT(C2056,LEN(C2056)-3))</f>
        <v>16.3</v>
      </c>
    </row>
    <row r="2058" spans="1:4">
      <c r="A2058" s="23" t="s">
        <v>544</v>
      </c>
      <c r="B2058" t="s">
        <v>545</v>
      </c>
      <c r="C2058" t="s">
        <v>745</v>
      </c>
      <c r="D2058" s="29">
        <f>VALUE(LEFT(C2058,LEN(C2058)-2))</f>
        <v>8.6999999999999993</v>
      </c>
    </row>
    <row r="2059" spans="1:4">
      <c r="A2059" s="23" t="s">
        <v>547</v>
      </c>
      <c r="B2059" t="s">
        <v>545</v>
      </c>
      <c r="C2059" s="24">
        <v>0.83</v>
      </c>
      <c r="D2059" s="27">
        <f>VALUE(C2059*100)</f>
        <v>83</v>
      </c>
    </row>
    <row r="2060" spans="1:4">
      <c r="A2060" s="23" t="s">
        <v>548</v>
      </c>
      <c r="B2060" t="s">
        <v>545</v>
      </c>
      <c r="C2060" t="s">
        <v>574</v>
      </c>
      <c r="D2060" s="29">
        <f>VALUE(LEFT(C2060,LEN(C2060)-2))</f>
        <v>5.9</v>
      </c>
    </row>
    <row r="2061" spans="1:4">
      <c r="A2061" s="23" t="s">
        <v>550</v>
      </c>
      <c r="B2061" t="s">
        <v>545</v>
      </c>
      <c r="C2061" t="s">
        <v>1208</v>
      </c>
      <c r="D2061" s="28">
        <f>VALUE(LEFT(C2061,LEN(C2061)-4))</f>
        <v>1005.6</v>
      </c>
    </row>
    <row r="2062" spans="1:4">
      <c r="A2062" s="23" t="s">
        <v>552</v>
      </c>
      <c r="B2062" t="s">
        <v>545</v>
      </c>
      <c r="C2062" t="s">
        <v>1048</v>
      </c>
      <c r="D2062" s="29">
        <f>VALUE(LEFT(C2062,LEN(C2062)-FIND("km/h",C2062)+1)/3.6)</f>
        <v>0</v>
      </c>
    </row>
    <row r="2063" spans="1:4">
      <c r="A2063" s="23" t="s">
        <v>554</v>
      </c>
      <c r="B2063" t="s">
        <v>545</v>
      </c>
      <c r="C2063" t="s">
        <v>1048</v>
      </c>
      <c r="D2063" s="29">
        <f>VALUE(LEFT(C2063,LEN(C2063)-FIND("km/h",C2063)+1)/3.6)</f>
        <v>0</v>
      </c>
    </row>
    <row r="2064" spans="1:4">
      <c r="A2064" s="23" t="s">
        <v>556</v>
      </c>
      <c r="B2064" t="s">
        <v>545</v>
      </c>
      <c r="C2064" t="s">
        <v>1209</v>
      </c>
      <c r="D2064" s="26">
        <f>VALUE(LEFT(C2064,LEN(C2064)-7))</f>
        <v>91</v>
      </c>
    </row>
    <row r="2065" spans="1:4">
      <c r="A2065" s="23" t="s">
        <v>558</v>
      </c>
      <c r="B2065" t="s">
        <v>545</v>
      </c>
      <c r="C2065" t="s">
        <v>1210</v>
      </c>
      <c r="D2065" s="29">
        <f>VALUE(LEFT(C2065,LEN(C2065)-3))</f>
        <v>206.5</v>
      </c>
    </row>
    <row r="2066" spans="1:4">
      <c r="A2066" s="23" t="s">
        <v>560</v>
      </c>
      <c r="B2066" t="s">
        <v>545</v>
      </c>
      <c r="C2066" t="s">
        <v>1210</v>
      </c>
      <c r="D2066" s="29">
        <f>VALUE(LEFT(C2066,LEN(C2066)-3))</f>
        <v>206.5</v>
      </c>
    </row>
    <row r="2067" spans="1:4">
      <c r="A2067" s="23" t="s">
        <v>562</v>
      </c>
      <c r="B2067" t="s">
        <v>545</v>
      </c>
      <c r="C2067" t="s">
        <v>572</v>
      </c>
      <c r="D2067" s="29">
        <f>VALUE(LEFT(C2067,LEN(C2067)-3))</f>
        <v>7</v>
      </c>
    </row>
    <row r="2069" spans="1:4">
      <c r="A2069" s="23" t="s">
        <v>544</v>
      </c>
      <c r="B2069" t="s">
        <v>545</v>
      </c>
      <c r="C2069" t="s">
        <v>837</v>
      </c>
      <c r="D2069" s="29">
        <f>VALUE(LEFT(C2069,LEN(C2069)-2))</f>
        <v>9.1999999999999993</v>
      </c>
    </row>
    <row r="2070" spans="1:4">
      <c r="A2070" s="23" t="s">
        <v>547</v>
      </c>
      <c r="B2070" t="s">
        <v>545</v>
      </c>
      <c r="C2070" s="24">
        <v>0.87</v>
      </c>
      <c r="D2070" s="27">
        <f>VALUE(C2070*100)</f>
        <v>87</v>
      </c>
    </row>
    <row r="2071" spans="1:4">
      <c r="A2071" s="23" t="s">
        <v>548</v>
      </c>
      <c r="B2071" t="s">
        <v>545</v>
      </c>
      <c r="C2071" t="s">
        <v>679</v>
      </c>
      <c r="D2071" s="29">
        <f>VALUE(LEFT(C2071,LEN(C2071)-2))</f>
        <v>7</v>
      </c>
    </row>
    <row r="2072" spans="1:4">
      <c r="A2072" s="23" t="s">
        <v>550</v>
      </c>
      <c r="B2072" t="s">
        <v>545</v>
      </c>
      <c r="C2072" t="s">
        <v>993</v>
      </c>
      <c r="D2072" s="28">
        <f>VALUE(LEFT(C2072,LEN(C2072)-4))</f>
        <v>1016.3</v>
      </c>
    </row>
    <row r="2073" spans="1:4">
      <c r="A2073" s="23" t="s">
        <v>552</v>
      </c>
      <c r="B2073" t="s">
        <v>545</v>
      </c>
      <c r="C2073" t="s">
        <v>1048</v>
      </c>
      <c r="D2073" s="29">
        <f>VALUE(LEFT(C2073,LEN(C2073)-FIND("km/h",C2073)+1)/3.6)</f>
        <v>0</v>
      </c>
    </row>
    <row r="2074" spans="1:4">
      <c r="A2074" s="23" t="s">
        <v>554</v>
      </c>
      <c r="B2074" t="s">
        <v>545</v>
      </c>
      <c r="C2074" t="s">
        <v>1048</v>
      </c>
      <c r="D2074" s="29">
        <f>VALUE(LEFT(C2074,LEN(C2074)-FIND("km/h",C2074)+1)/3.6)</f>
        <v>0</v>
      </c>
    </row>
    <row r="2075" spans="1:4">
      <c r="A2075" s="23" t="s">
        <v>556</v>
      </c>
      <c r="B2075" t="s">
        <v>545</v>
      </c>
      <c r="C2075" t="s">
        <v>620</v>
      </c>
      <c r="D2075" s="26">
        <f>VALUE(LEFT(C2075,LEN(C2075)-7))</f>
        <v>90</v>
      </c>
    </row>
    <row r="2076" spans="1:4">
      <c r="A2076" s="23" t="s">
        <v>558</v>
      </c>
      <c r="B2076" t="s">
        <v>545</v>
      </c>
      <c r="C2076" t="s">
        <v>1211</v>
      </c>
      <c r="D2076" s="29">
        <f>VALUE(LEFT(C2076,LEN(C2076)-3))</f>
        <v>207.5</v>
      </c>
    </row>
    <row r="2077" spans="1:4">
      <c r="A2077" s="23" t="s">
        <v>560</v>
      </c>
      <c r="B2077" t="s">
        <v>545</v>
      </c>
      <c r="C2077" t="s">
        <v>1211</v>
      </c>
      <c r="D2077" s="29">
        <f>VALUE(LEFT(C2077,LEN(C2077)-3))</f>
        <v>207.5</v>
      </c>
    </row>
    <row r="2078" spans="1:4">
      <c r="A2078" s="23" t="s">
        <v>562</v>
      </c>
      <c r="B2078" t="s">
        <v>545</v>
      </c>
      <c r="C2078" t="s">
        <v>581</v>
      </c>
      <c r="D2078" s="29">
        <f>VALUE(LEFT(C2078,LEN(C2078)-3))</f>
        <v>1</v>
      </c>
    </row>
    <row r="2080" spans="1:4">
      <c r="A2080" s="23" t="s">
        <v>544</v>
      </c>
      <c r="B2080" t="s">
        <v>545</v>
      </c>
      <c r="C2080" t="s">
        <v>798</v>
      </c>
      <c r="D2080" s="29">
        <f>VALUE(LEFT(C2080,LEN(C2080)-2))</f>
        <v>11.1</v>
      </c>
    </row>
    <row r="2081" spans="1:4">
      <c r="A2081" s="23" t="s">
        <v>547</v>
      </c>
      <c r="B2081" t="s">
        <v>545</v>
      </c>
      <c r="C2081" s="24">
        <v>0.97</v>
      </c>
      <c r="D2081" s="27">
        <f>VALUE(C2081*100)</f>
        <v>97</v>
      </c>
    </row>
    <row r="2082" spans="1:4">
      <c r="A2082" s="23" t="s">
        <v>548</v>
      </c>
      <c r="B2082" t="s">
        <v>545</v>
      </c>
      <c r="C2082" t="s">
        <v>671</v>
      </c>
      <c r="D2082" s="29">
        <f>VALUE(LEFT(C2082,LEN(C2082)-2))</f>
        <v>10.5</v>
      </c>
    </row>
    <row r="2083" spans="1:4">
      <c r="A2083" s="23" t="s">
        <v>550</v>
      </c>
      <c r="B2083" t="s">
        <v>545</v>
      </c>
      <c r="C2083" t="s">
        <v>1186</v>
      </c>
      <c r="D2083" s="28">
        <f>VALUE(LEFT(C2083,LEN(C2083)-4))</f>
        <v>1013.8</v>
      </c>
    </row>
    <row r="2084" spans="1:4">
      <c r="A2084" s="23" t="s">
        <v>552</v>
      </c>
      <c r="B2084" t="s">
        <v>545</v>
      </c>
      <c r="C2084" t="s">
        <v>1048</v>
      </c>
      <c r="D2084" s="29">
        <f>VALUE(LEFT(C2084,LEN(C2084)-FIND("km/h",C2084)+1)/3.6)</f>
        <v>0</v>
      </c>
    </row>
    <row r="2085" spans="1:4">
      <c r="A2085" s="23" t="s">
        <v>554</v>
      </c>
      <c r="B2085" t="s">
        <v>545</v>
      </c>
      <c r="C2085" t="s">
        <v>1048</v>
      </c>
      <c r="D2085" s="29">
        <f>VALUE(LEFT(C2085,LEN(C2085)-FIND("km/h",C2085)+1)/3.6)</f>
        <v>0</v>
      </c>
    </row>
    <row r="2086" spans="1:4">
      <c r="A2086" s="23" t="s">
        <v>556</v>
      </c>
      <c r="B2086" t="s">
        <v>545</v>
      </c>
      <c r="C2086" t="s">
        <v>620</v>
      </c>
      <c r="D2086" s="26">
        <f>VALUE(LEFT(C2086,LEN(C2086)-7))</f>
        <v>90</v>
      </c>
    </row>
    <row r="2087" spans="1:4">
      <c r="A2087" s="23" t="s">
        <v>558</v>
      </c>
      <c r="B2087" t="s">
        <v>545</v>
      </c>
      <c r="C2087" t="s">
        <v>1212</v>
      </c>
      <c r="D2087" s="29">
        <f>VALUE(LEFT(C2087,LEN(C2087)-3))</f>
        <v>212.8</v>
      </c>
    </row>
    <row r="2088" spans="1:4">
      <c r="A2088" s="23" t="s">
        <v>560</v>
      </c>
      <c r="B2088" t="s">
        <v>545</v>
      </c>
      <c r="C2088" t="s">
        <v>1212</v>
      </c>
      <c r="D2088" s="29">
        <f>VALUE(LEFT(C2088,LEN(C2088)-3))</f>
        <v>212.8</v>
      </c>
    </row>
    <row r="2089" spans="1:4">
      <c r="A2089" s="23" t="s">
        <v>562</v>
      </c>
      <c r="B2089" t="s">
        <v>545</v>
      </c>
      <c r="C2089" t="s">
        <v>988</v>
      </c>
      <c r="D2089" s="29">
        <f>VALUE(LEFT(C2089,LEN(C2089)-3))</f>
        <v>5.3</v>
      </c>
    </row>
    <row r="2091" spans="1:4">
      <c r="A2091" s="23" t="s">
        <v>544</v>
      </c>
      <c r="B2091" t="s">
        <v>545</v>
      </c>
      <c r="C2091" t="s">
        <v>798</v>
      </c>
      <c r="D2091" s="29">
        <f>VALUE(LEFT(C2091,LEN(C2091)-2))</f>
        <v>11.1</v>
      </c>
    </row>
    <row r="2092" spans="1:4">
      <c r="A2092" s="23" t="s">
        <v>547</v>
      </c>
      <c r="B2092" t="s">
        <v>545</v>
      </c>
      <c r="C2092" s="24">
        <v>0.86</v>
      </c>
      <c r="D2092" s="27">
        <f>VALUE(C2092*100)</f>
        <v>86</v>
      </c>
    </row>
    <row r="2093" spans="1:4">
      <c r="A2093" s="23" t="s">
        <v>548</v>
      </c>
      <c r="B2093" t="s">
        <v>545</v>
      </c>
      <c r="C2093" t="s">
        <v>841</v>
      </c>
      <c r="D2093" s="29">
        <f>VALUE(LEFT(C2093,LEN(C2093)-2))</f>
        <v>8.8000000000000007</v>
      </c>
    </row>
    <row r="2094" spans="1:4">
      <c r="A2094" s="23" t="s">
        <v>550</v>
      </c>
      <c r="B2094" t="s">
        <v>545</v>
      </c>
      <c r="C2094" t="s">
        <v>775</v>
      </c>
      <c r="D2094" s="28">
        <f>VALUE(LEFT(C2094,LEN(C2094)-4))</f>
        <v>1016.8</v>
      </c>
    </row>
    <row r="2095" spans="1:4">
      <c r="A2095" s="23" t="s">
        <v>552</v>
      </c>
      <c r="B2095" t="s">
        <v>545</v>
      </c>
      <c r="C2095" t="s">
        <v>1048</v>
      </c>
      <c r="D2095" s="29">
        <f>VALUE(LEFT(C2095,LEN(C2095)-FIND("km/h",C2095)+1)/3.6)</f>
        <v>0</v>
      </c>
    </row>
    <row r="2096" spans="1:4">
      <c r="A2096" s="23" t="s">
        <v>554</v>
      </c>
      <c r="B2096" t="s">
        <v>545</v>
      </c>
      <c r="C2096" t="s">
        <v>1048</v>
      </c>
      <c r="D2096" s="29">
        <f>VALUE(LEFT(C2096,LEN(C2096)-FIND("km/h",C2096)+1)/3.6)</f>
        <v>0</v>
      </c>
    </row>
    <row r="2097" spans="1:4">
      <c r="A2097" s="23" t="s">
        <v>556</v>
      </c>
      <c r="B2097" t="s">
        <v>545</v>
      </c>
      <c r="C2097" t="s">
        <v>620</v>
      </c>
      <c r="D2097" s="26">
        <f>VALUE(LEFT(C2097,LEN(C2097)-7))</f>
        <v>90</v>
      </c>
    </row>
    <row r="2098" spans="1:4">
      <c r="A2098" s="23" t="s">
        <v>558</v>
      </c>
      <c r="B2098" t="s">
        <v>545</v>
      </c>
      <c r="C2098" t="s">
        <v>1213</v>
      </c>
      <c r="D2098" s="29">
        <f>VALUE(LEFT(C2098,LEN(C2098)-3))</f>
        <v>215.8</v>
      </c>
    </row>
    <row r="2099" spans="1:4">
      <c r="A2099" s="23" t="s">
        <v>560</v>
      </c>
      <c r="B2099" t="s">
        <v>545</v>
      </c>
      <c r="C2099" t="s">
        <v>1213</v>
      </c>
      <c r="D2099" s="29">
        <f>VALUE(LEFT(C2099,LEN(C2099)-3))</f>
        <v>215.8</v>
      </c>
    </row>
    <row r="2100" spans="1:4">
      <c r="A2100" s="23" t="s">
        <v>562</v>
      </c>
      <c r="B2100" t="s">
        <v>545</v>
      </c>
      <c r="C2100" t="s">
        <v>597</v>
      </c>
      <c r="D2100" s="29">
        <f>VALUE(LEFT(C2100,LEN(C2100)-3))</f>
        <v>3</v>
      </c>
    </row>
    <row r="2102" spans="1:4">
      <c r="A2102" s="23" t="s">
        <v>544</v>
      </c>
      <c r="B2102" t="s">
        <v>545</v>
      </c>
      <c r="C2102" t="s">
        <v>745</v>
      </c>
      <c r="D2102" s="29">
        <f>VALUE(LEFT(C2102,LEN(C2102)-2))</f>
        <v>8.6999999999999993</v>
      </c>
    </row>
    <row r="2103" spans="1:4">
      <c r="A2103" s="23" t="s">
        <v>547</v>
      </c>
      <c r="B2103" t="s">
        <v>545</v>
      </c>
      <c r="C2103" s="24">
        <v>0.83</v>
      </c>
      <c r="D2103" s="27">
        <f>VALUE(C2103*100)</f>
        <v>83</v>
      </c>
    </row>
    <row r="2104" spans="1:4">
      <c r="A2104" s="23" t="s">
        <v>548</v>
      </c>
      <c r="B2104" t="s">
        <v>545</v>
      </c>
      <c r="C2104" t="s">
        <v>1056</v>
      </c>
      <c r="D2104" s="29">
        <f>VALUE(LEFT(C2104,LEN(C2104)-2))</f>
        <v>5.8</v>
      </c>
    </row>
    <row r="2105" spans="1:4">
      <c r="A2105" s="23" t="s">
        <v>550</v>
      </c>
      <c r="B2105" t="s">
        <v>545</v>
      </c>
      <c r="C2105" t="s">
        <v>1214</v>
      </c>
      <c r="D2105" s="28">
        <f>VALUE(LEFT(C2105,LEN(C2105)-4))</f>
        <v>1025.9000000000001</v>
      </c>
    </row>
    <row r="2106" spans="1:4">
      <c r="A2106" s="23" t="s">
        <v>552</v>
      </c>
      <c r="B2106" t="s">
        <v>545</v>
      </c>
      <c r="C2106" t="s">
        <v>1048</v>
      </c>
      <c r="D2106" s="29">
        <f>VALUE(LEFT(C2106,LEN(C2106)-FIND("km/h",C2106)+1)/3.6)</f>
        <v>0</v>
      </c>
    </row>
    <row r="2107" spans="1:4">
      <c r="A2107" s="23" t="s">
        <v>554</v>
      </c>
      <c r="B2107" t="s">
        <v>545</v>
      </c>
      <c r="C2107" t="s">
        <v>1048</v>
      </c>
      <c r="D2107" s="29">
        <f>VALUE(LEFT(C2107,LEN(C2107)-FIND("km/h",C2107)+1)/3.6)</f>
        <v>0</v>
      </c>
    </row>
    <row r="2108" spans="1:4">
      <c r="A2108" s="23" t="s">
        <v>556</v>
      </c>
      <c r="B2108" t="s">
        <v>545</v>
      </c>
      <c r="C2108" t="s">
        <v>620</v>
      </c>
      <c r="D2108" s="26">
        <f>VALUE(LEFT(C2108,LEN(C2108)-7))</f>
        <v>90</v>
      </c>
    </row>
    <row r="2109" spans="1:4">
      <c r="A2109" s="23" t="s">
        <v>558</v>
      </c>
      <c r="B2109" t="s">
        <v>545</v>
      </c>
      <c r="C2109" t="s">
        <v>1213</v>
      </c>
      <c r="D2109" s="29">
        <f>VALUE(LEFT(C2109,LEN(C2109)-3))</f>
        <v>215.8</v>
      </c>
    </row>
    <row r="2110" spans="1:4">
      <c r="A2110" s="23" t="s">
        <v>560</v>
      </c>
      <c r="B2110" t="s">
        <v>545</v>
      </c>
      <c r="C2110" t="s">
        <v>1213</v>
      </c>
      <c r="D2110" s="29">
        <f>VALUE(LEFT(C2110,LEN(C2110)-3))</f>
        <v>215.8</v>
      </c>
    </row>
    <row r="2111" spans="1:4">
      <c r="A2111" s="23" t="s">
        <v>562</v>
      </c>
      <c r="B2111" t="s">
        <v>545</v>
      </c>
      <c r="C2111" t="s">
        <v>604</v>
      </c>
      <c r="D2111" s="29">
        <f>VALUE(LEFT(C2111,LEN(C2111)-3))</f>
        <v>0</v>
      </c>
    </row>
    <row r="2113" spans="1:4">
      <c r="A2113" s="23" t="s">
        <v>544</v>
      </c>
      <c r="B2113" t="s">
        <v>545</v>
      </c>
      <c r="C2113" t="s">
        <v>828</v>
      </c>
      <c r="D2113" s="29">
        <f>VALUE(LEFT(C2113,LEN(C2113)-2))</f>
        <v>9.3000000000000007</v>
      </c>
    </row>
    <row r="2114" spans="1:4">
      <c r="A2114" s="23" t="s">
        <v>547</v>
      </c>
      <c r="B2114" t="s">
        <v>545</v>
      </c>
      <c r="C2114" s="24">
        <v>0.93</v>
      </c>
      <c r="D2114" s="27">
        <f>VALUE(C2114*100)</f>
        <v>93</v>
      </c>
    </row>
    <row r="2115" spans="1:4">
      <c r="A2115" s="23" t="s">
        <v>548</v>
      </c>
      <c r="B2115" t="s">
        <v>545</v>
      </c>
      <c r="C2115" t="s">
        <v>908</v>
      </c>
      <c r="D2115" s="29">
        <f>VALUE(LEFT(C2115,LEN(C2115)-2))</f>
        <v>8.1999999999999993</v>
      </c>
    </row>
    <row r="2116" spans="1:4">
      <c r="A2116" s="23" t="s">
        <v>550</v>
      </c>
      <c r="B2116" t="s">
        <v>545</v>
      </c>
      <c r="C2116" t="s">
        <v>1215</v>
      </c>
      <c r="D2116" s="28">
        <f>VALUE(LEFT(C2116,LEN(C2116)-4))</f>
        <v>1029.0999999999999</v>
      </c>
    </row>
    <row r="2117" spans="1:4">
      <c r="A2117" s="23" t="s">
        <v>552</v>
      </c>
      <c r="B2117" t="s">
        <v>545</v>
      </c>
      <c r="C2117" t="s">
        <v>1048</v>
      </c>
      <c r="D2117" s="29">
        <f>VALUE(LEFT(C2117,LEN(C2117)-FIND("km/h",C2117)+1)/3.6)</f>
        <v>0</v>
      </c>
    </row>
    <row r="2118" spans="1:4">
      <c r="A2118" s="23" t="s">
        <v>554</v>
      </c>
      <c r="B2118" t="s">
        <v>545</v>
      </c>
      <c r="C2118" t="s">
        <v>1048</v>
      </c>
      <c r="D2118" s="29">
        <f>VALUE(LEFT(C2118,LEN(C2118)-FIND("km/h",C2118)+1)/3.6)</f>
        <v>0</v>
      </c>
    </row>
    <row r="2119" spans="1:4">
      <c r="A2119" s="23" t="s">
        <v>556</v>
      </c>
      <c r="B2119" t="s">
        <v>545</v>
      </c>
      <c r="C2119" t="s">
        <v>620</v>
      </c>
      <c r="D2119" s="26">
        <f>VALUE(LEFT(C2119,LEN(C2119)-7))</f>
        <v>90</v>
      </c>
    </row>
    <row r="2120" spans="1:4">
      <c r="A2120" s="23" t="s">
        <v>558</v>
      </c>
      <c r="B2120" t="s">
        <v>545</v>
      </c>
      <c r="C2120" t="s">
        <v>1213</v>
      </c>
      <c r="D2120" s="29">
        <f>VALUE(LEFT(C2120,LEN(C2120)-3))</f>
        <v>215.8</v>
      </c>
    </row>
    <row r="2121" spans="1:4">
      <c r="A2121" s="23" t="s">
        <v>560</v>
      </c>
      <c r="B2121" t="s">
        <v>545</v>
      </c>
      <c r="C2121" t="s">
        <v>1213</v>
      </c>
      <c r="D2121" s="29">
        <f>VALUE(LEFT(C2121,LEN(C2121)-3))</f>
        <v>215.8</v>
      </c>
    </row>
    <row r="2122" spans="1:4">
      <c r="A2122" s="23" t="s">
        <v>562</v>
      </c>
      <c r="B2122" t="s">
        <v>545</v>
      </c>
      <c r="C2122" t="s">
        <v>604</v>
      </c>
      <c r="D2122" s="29">
        <f>VALUE(LEFT(C2122,LEN(C2122)-3))</f>
        <v>0</v>
      </c>
    </row>
    <row r="2124" spans="1:4">
      <c r="A2124" s="23" t="s">
        <v>544</v>
      </c>
      <c r="B2124" t="s">
        <v>545</v>
      </c>
      <c r="C2124" t="s">
        <v>783</v>
      </c>
      <c r="D2124" s="29">
        <f>VALUE(LEFT(C2124,LEN(C2124)-2))</f>
        <v>12.6</v>
      </c>
    </row>
    <row r="2125" spans="1:4">
      <c r="A2125" s="23" t="s">
        <v>547</v>
      </c>
      <c r="B2125" t="s">
        <v>545</v>
      </c>
      <c r="C2125" s="24">
        <v>0.94</v>
      </c>
      <c r="D2125" s="27">
        <f>VALUE(C2125*100)</f>
        <v>94</v>
      </c>
    </row>
    <row r="2126" spans="1:4">
      <c r="A2126" s="23" t="s">
        <v>548</v>
      </c>
      <c r="B2126" t="s">
        <v>545</v>
      </c>
      <c r="C2126" t="s">
        <v>978</v>
      </c>
      <c r="D2126" s="29">
        <f>VALUE(LEFT(C2126,LEN(C2126)-2))</f>
        <v>11.7</v>
      </c>
    </row>
    <row r="2127" spans="1:4">
      <c r="A2127" s="23" t="s">
        <v>550</v>
      </c>
      <c r="B2127" t="s">
        <v>545</v>
      </c>
      <c r="C2127" t="s">
        <v>1216</v>
      </c>
      <c r="D2127" s="28">
        <f>VALUE(LEFT(C2127,LEN(C2127)-4))</f>
        <v>1027.9000000000001</v>
      </c>
    </row>
    <row r="2128" spans="1:4">
      <c r="A2128" s="23" t="s">
        <v>552</v>
      </c>
      <c r="B2128" t="s">
        <v>545</v>
      </c>
      <c r="C2128" t="s">
        <v>1048</v>
      </c>
      <c r="D2128" s="29">
        <f>VALUE(LEFT(C2128,LEN(C2128)-FIND("km/h",C2128)+1)/3.6)</f>
        <v>0</v>
      </c>
    </row>
    <row r="2129" spans="1:4">
      <c r="A2129" s="23" t="s">
        <v>554</v>
      </c>
      <c r="B2129" t="s">
        <v>545</v>
      </c>
      <c r="C2129" t="s">
        <v>1048</v>
      </c>
      <c r="D2129" s="29">
        <f>VALUE(LEFT(C2129,LEN(C2129)-FIND("km/h",C2129)+1)/3.6)</f>
        <v>0</v>
      </c>
    </row>
    <row r="2130" spans="1:4">
      <c r="A2130" s="23" t="s">
        <v>556</v>
      </c>
      <c r="B2130" t="s">
        <v>545</v>
      </c>
      <c r="C2130" t="s">
        <v>620</v>
      </c>
      <c r="D2130" s="26">
        <f>VALUE(LEFT(C2130,LEN(C2130)-7))</f>
        <v>90</v>
      </c>
    </row>
    <row r="2131" spans="1:4">
      <c r="A2131" s="23" t="s">
        <v>558</v>
      </c>
      <c r="B2131" t="s">
        <v>545</v>
      </c>
      <c r="C2131" t="s">
        <v>1213</v>
      </c>
      <c r="D2131" s="29">
        <f>VALUE(LEFT(C2131,LEN(C2131)-3))</f>
        <v>215.8</v>
      </c>
    </row>
    <row r="2132" spans="1:4">
      <c r="A2132" s="23" t="s">
        <v>560</v>
      </c>
      <c r="B2132" t="s">
        <v>545</v>
      </c>
      <c r="C2132" t="s">
        <v>1213</v>
      </c>
      <c r="D2132" s="29">
        <f>VALUE(LEFT(C2132,LEN(C2132)-3))</f>
        <v>215.8</v>
      </c>
    </row>
    <row r="2133" spans="1:4">
      <c r="A2133" s="23" t="s">
        <v>562</v>
      </c>
      <c r="B2133" t="s">
        <v>545</v>
      </c>
      <c r="C2133" t="s">
        <v>604</v>
      </c>
      <c r="D2133" s="29">
        <f>VALUE(LEFT(C2133,LEN(C2133)-3))</f>
        <v>0</v>
      </c>
    </row>
    <row r="2135" spans="1:4">
      <c r="A2135" s="23" t="s">
        <v>544</v>
      </c>
      <c r="B2135" t="s">
        <v>545</v>
      </c>
      <c r="C2135" t="s">
        <v>564</v>
      </c>
      <c r="D2135" s="29">
        <f>VALUE(LEFT(C2135,LEN(C2135)-2))</f>
        <v>12.7</v>
      </c>
    </row>
    <row r="2136" spans="1:4">
      <c r="A2136" s="23" t="s">
        <v>547</v>
      </c>
      <c r="B2136" t="s">
        <v>545</v>
      </c>
      <c r="C2136" s="24">
        <v>0.97</v>
      </c>
      <c r="D2136" s="27">
        <f>VALUE(C2136*100)</f>
        <v>97</v>
      </c>
    </row>
    <row r="2137" spans="1:4">
      <c r="A2137" s="23" t="s">
        <v>548</v>
      </c>
      <c r="B2137" t="s">
        <v>545</v>
      </c>
      <c r="C2137" t="s">
        <v>759</v>
      </c>
      <c r="D2137" s="29">
        <f>VALUE(LEFT(C2137,LEN(C2137)-2))</f>
        <v>12.3</v>
      </c>
    </row>
    <row r="2138" spans="1:4">
      <c r="A2138" s="23" t="s">
        <v>550</v>
      </c>
      <c r="B2138" t="s">
        <v>545</v>
      </c>
      <c r="C2138" t="s">
        <v>1217</v>
      </c>
      <c r="D2138" s="28">
        <f>VALUE(LEFT(C2138,LEN(C2138)-4))</f>
        <v>1022.8</v>
      </c>
    </row>
    <row r="2139" spans="1:4">
      <c r="A2139" s="23" t="s">
        <v>552</v>
      </c>
      <c r="B2139" t="s">
        <v>545</v>
      </c>
      <c r="C2139" t="s">
        <v>1048</v>
      </c>
      <c r="D2139" s="29">
        <f>VALUE(LEFT(C2139,LEN(C2139)-FIND("km/h",C2139)+1)/3.6)</f>
        <v>0</v>
      </c>
    </row>
    <row r="2140" spans="1:4">
      <c r="A2140" s="23" t="s">
        <v>554</v>
      </c>
      <c r="B2140" t="s">
        <v>545</v>
      </c>
      <c r="C2140" t="s">
        <v>1048</v>
      </c>
      <c r="D2140" s="29">
        <f>VALUE(LEFT(C2140,LEN(C2140)-FIND("km/h",C2140)+1)/3.6)</f>
        <v>0</v>
      </c>
    </row>
    <row r="2141" spans="1:4">
      <c r="A2141" s="23" t="s">
        <v>556</v>
      </c>
      <c r="B2141" t="s">
        <v>545</v>
      </c>
      <c r="C2141" t="s">
        <v>620</v>
      </c>
      <c r="D2141" s="26">
        <f>VALUE(LEFT(C2141,LEN(C2141)-7))</f>
        <v>90</v>
      </c>
    </row>
    <row r="2142" spans="1:4">
      <c r="A2142" s="23" t="s">
        <v>558</v>
      </c>
      <c r="B2142" t="s">
        <v>545</v>
      </c>
      <c r="C2142" t="s">
        <v>1218</v>
      </c>
      <c r="D2142" s="29">
        <f>VALUE(LEFT(C2142,LEN(C2142)-3))</f>
        <v>219.8</v>
      </c>
    </row>
    <row r="2143" spans="1:4">
      <c r="A2143" s="23" t="s">
        <v>560</v>
      </c>
      <c r="B2143" t="s">
        <v>545</v>
      </c>
      <c r="C2143" t="s">
        <v>1218</v>
      </c>
      <c r="D2143" s="29">
        <f>VALUE(LEFT(C2143,LEN(C2143)-3))</f>
        <v>219.8</v>
      </c>
    </row>
    <row r="2144" spans="1:4">
      <c r="A2144" s="23" t="s">
        <v>562</v>
      </c>
      <c r="B2144" t="s">
        <v>545</v>
      </c>
      <c r="C2144" t="s">
        <v>589</v>
      </c>
      <c r="D2144" s="29">
        <f>VALUE(LEFT(C2144,LEN(C2144)-3))</f>
        <v>4</v>
      </c>
    </row>
    <row r="2146" spans="1:4">
      <c r="A2146" s="23" t="s">
        <v>544</v>
      </c>
      <c r="B2146" t="s">
        <v>545</v>
      </c>
      <c r="C2146" t="s">
        <v>678</v>
      </c>
      <c r="D2146" s="29">
        <f>VALUE(LEFT(C2146,LEN(C2146)-2))</f>
        <v>11.2</v>
      </c>
    </row>
    <row r="2147" spans="1:4">
      <c r="A2147" s="23" t="s">
        <v>547</v>
      </c>
      <c r="B2147" t="s">
        <v>545</v>
      </c>
      <c r="C2147" s="24">
        <v>0.81</v>
      </c>
      <c r="D2147" s="27">
        <f>VALUE(C2147*100)</f>
        <v>81</v>
      </c>
    </row>
    <row r="2148" spans="1:4">
      <c r="A2148" s="23" t="s">
        <v>548</v>
      </c>
      <c r="B2148" t="s">
        <v>545</v>
      </c>
      <c r="C2148" t="s">
        <v>643</v>
      </c>
      <c r="D2148" s="29">
        <f>VALUE(LEFT(C2148,LEN(C2148)-2))</f>
        <v>7.9</v>
      </c>
    </row>
    <row r="2149" spans="1:4">
      <c r="A2149" s="23" t="s">
        <v>550</v>
      </c>
      <c r="B2149" t="s">
        <v>545</v>
      </c>
      <c r="C2149" t="s">
        <v>977</v>
      </c>
      <c r="D2149" s="28">
        <f>VALUE(LEFT(C2149,LEN(C2149)-4))</f>
        <v>1019.3</v>
      </c>
    </row>
    <row r="2150" spans="1:4">
      <c r="A2150" s="23" t="s">
        <v>552</v>
      </c>
      <c r="B2150" t="s">
        <v>545</v>
      </c>
      <c r="C2150" t="s">
        <v>1048</v>
      </c>
      <c r="D2150" s="29">
        <f>VALUE(LEFT(C2150,LEN(C2150)-FIND("km/h",C2150)+1)/3.6)</f>
        <v>0</v>
      </c>
    </row>
    <row r="2151" spans="1:4">
      <c r="A2151" s="23" t="s">
        <v>554</v>
      </c>
      <c r="B2151" t="s">
        <v>545</v>
      </c>
      <c r="C2151" t="s">
        <v>1048</v>
      </c>
      <c r="D2151" s="29">
        <f>VALUE(LEFT(C2151,LEN(C2151)-FIND("km/h",C2151)+1)/3.6)</f>
        <v>0</v>
      </c>
    </row>
    <row r="2152" spans="1:4">
      <c r="A2152" s="23" t="s">
        <v>556</v>
      </c>
      <c r="B2152" t="s">
        <v>545</v>
      </c>
      <c r="C2152" t="s">
        <v>620</v>
      </c>
      <c r="D2152" s="26">
        <f>VALUE(LEFT(C2152,LEN(C2152)-7))</f>
        <v>90</v>
      </c>
    </row>
    <row r="2153" spans="1:4">
      <c r="A2153" s="23" t="s">
        <v>558</v>
      </c>
      <c r="B2153" t="s">
        <v>545</v>
      </c>
      <c r="C2153" t="s">
        <v>1219</v>
      </c>
      <c r="D2153" s="29">
        <f>VALUE(LEFT(C2153,LEN(C2153)-3))</f>
        <v>221.8</v>
      </c>
    </row>
    <row r="2154" spans="1:4">
      <c r="A2154" s="23" t="s">
        <v>560</v>
      </c>
      <c r="B2154" t="s">
        <v>545</v>
      </c>
      <c r="C2154" t="s">
        <v>1219</v>
      </c>
      <c r="D2154" s="29">
        <f>VALUE(LEFT(C2154,LEN(C2154)-3))</f>
        <v>221.8</v>
      </c>
    </row>
    <row r="2155" spans="1:4">
      <c r="A2155" s="23" t="s">
        <v>562</v>
      </c>
      <c r="B2155" t="s">
        <v>545</v>
      </c>
      <c r="C2155" t="s">
        <v>685</v>
      </c>
      <c r="D2155" s="29">
        <f>VALUE(LEFT(C2155,LEN(C2155)-3))</f>
        <v>2</v>
      </c>
    </row>
    <row r="2157" spans="1:4">
      <c r="A2157" s="23" t="s">
        <v>544</v>
      </c>
      <c r="B2157" t="s">
        <v>545</v>
      </c>
      <c r="C2157" t="s">
        <v>678</v>
      </c>
      <c r="D2157" s="29">
        <f>VALUE(LEFT(C2157,LEN(C2157)-2))</f>
        <v>11.2</v>
      </c>
    </row>
    <row r="2158" spans="1:4">
      <c r="A2158" s="23" t="s">
        <v>547</v>
      </c>
      <c r="B2158" t="s">
        <v>545</v>
      </c>
      <c r="C2158" s="24">
        <v>0.8</v>
      </c>
      <c r="D2158" s="27">
        <f>VALUE(C2158*100)</f>
        <v>80</v>
      </c>
    </row>
    <row r="2159" spans="1:4">
      <c r="A2159" s="23" t="s">
        <v>548</v>
      </c>
      <c r="B2159" t="s">
        <v>545</v>
      </c>
      <c r="C2159" t="s">
        <v>882</v>
      </c>
      <c r="D2159" s="29">
        <f>VALUE(LEFT(C2159,LEN(C2159)-2))</f>
        <v>7.8</v>
      </c>
    </row>
    <row r="2160" spans="1:4">
      <c r="A2160" s="23" t="s">
        <v>550</v>
      </c>
      <c r="B2160" t="s">
        <v>545</v>
      </c>
      <c r="C2160" t="s">
        <v>1220</v>
      </c>
      <c r="D2160" s="28">
        <f>VALUE(LEFT(C2160,LEN(C2160)-4))</f>
        <v>1009.6</v>
      </c>
    </row>
    <row r="2161" spans="1:4">
      <c r="A2161" s="23" t="s">
        <v>552</v>
      </c>
      <c r="B2161" t="s">
        <v>545</v>
      </c>
      <c r="C2161" t="s">
        <v>1048</v>
      </c>
      <c r="D2161" s="29">
        <f>VALUE(LEFT(C2161,LEN(C2161)-FIND("km/h",C2161)+1)/3.6)</f>
        <v>0</v>
      </c>
    </row>
    <row r="2162" spans="1:4">
      <c r="A2162" s="23" t="s">
        <v>554</v>
      </c>
      <c r="B2162" t="s">
        <v>545</v>
      </c>
      <c r="C2162" t="s">
        <v>1048</v>
      </c>
      <c r="D2162" s="29">
        <f>VALUE(LEFT(C2162,LEN(C2162)-FIND("km/h",C2162)+1)/3.6)</f>
        <v>0</v>
      </c>
    </row>
    <row r="2163" spans="1:4">
      <c r="A2163" s="23" t="s">
        <v>556</v>
      </c>
      <c r="B2163" t="s">
        <v>545</v>
      </c>
      <c r="C2163" t="s">
        <v>620</v>
      </c>
      <c r="D2163" s="26">
        <f>VALUE(LEFT(C2163,LEN(C2163)-7))</f>
        <v>90</v>
      </c>
    </row>
    <row r="2164" spans="1:4">
      <c r="A2164" s="23" t="s">
        <v>558</v>
      </c>
      <c r="B2164" t="s">
        <v>545</v>
      </c>
      <c r="C2164" t="s">
        <v>1221</v>
      </c>
      <c r="D2164" s="29">
        <f>VALUE(LEFT(C2164,LEN(C2164)-3))</f>
        <v>224.8</v>
      </c>
    </row>
    <row r="2165" spans="1:4">
      <c r="A2165" s="23" t="s">
        <v>560</v>
      </c>
      <c r="B2165" t="s">
        <v>545</v>
      </c>
      <c r="C2165" t="s">
        <v>1221</v>
      </c>
      <c r="D2165" s="29">
        <f>VALUE(LEFT(C2165,LEN(C2165)-3))</f>
        <v>224.8</v>
      </c>
    </row>
    <row r="2166" spans="1:4">
      <c r="A2166" s="23" t="s">
        <v>562</v>
      </c>
      <c r="B2166" t="s">
        <v>545</v>
      </c>
      <c r="C2166" t="s">
        <v>597</v>
      </c>
      <c r="D2166" s="29">
        <f>VALUE(LEFT(C2166,LEN(C2166)-3))</f>
        <v>3</v>
      </c>
    </row>
    <row r="2168" spans="1:4">
      <c r="A2168" s="23" t="s">
        <v>544</v>
      </c>
      <c r="B2168" t="s">
        <v>545</v>
      </c>
      <c r="C2168" t="s">
        <v>1121</v>
      </c>
      <c r="D2168" s="29">
        <f>VALUE(LEFT(C2168,LEN(C2168)-2))</f>
        <v>9.4</v>
      </c>
    </row>
    <row r="2169" spans="1:4">
      <c r="A2169" s="23" t="s">
        <v>547</v>
      </c>
      <c r="B2169" t="s">
        <v>545</v>
      </c>
      <c r="C2169" s="24">
        <v>0.8</v>
      </c>
      <c r="D2169" s="27">
        <f>VALUE(C2169*100)</f>
        <v>80</v>
      </c>
    </row>
    <row r="2170" spans="1:4">
      <c r="A2170" s="23" t="s">
        <v>548</v>
      </c>
      <c r="B2170" t="s">
        <v>545</v>
      </c>
      <c r="C2170" t="s">
        <v>574</v>
      </c>
      <c r="D2170" s="29">
        <f>VALUE(LEFT(C2170,LEN(C2170)-2))</f>
        <v>5.9</v>
      </c>
    </row>
    <row r="2171" spans="1:4">
      <c r="A2171" s="23" t="s">
        <v>550</v>
      </c>
      <c r="B2171" t="s">
        <v>545</v>
      </c>
      <c r="C2171" t="s">
        <v>1222</v>
      </c>
      <c r="D2171" s="28">
        <f>VALUE(LEFT(C2171,LEN(C2171)-4))</f>
        <v>1003.7</v>
      </c>
    </row>
    <row r="2172" spans="1:4">
      <c r="A2172" s="23" t="s">
        <v>552</v>
      </c>
      <c r="B2172" t="s">
        <v>545</v>
      </c>
      <c r="C2172" t="s">
        <v>1048</v>
      </c>
      <c r="D2172" s="29">
        <f>VALUE(LEFT(C2172,LEN(C2172)-FIND("km/h",C2172)+1)/3.6)</f>
        <v>0</v>
      </c>
    </row>
    <row r="2173" spans="1:4">
      <c r="A2173" s="23" t="s">
        <v>554</v>
      </c>
      <c r="B2173" t="s">
        <v>545</v>
      </c>
      <c r="C2173" t="s">
        <v>1048</v>
      </c>
      <c r="D2173" s="29">
        <f>VALUE(LEFT(C2173,LEN(C2173)-FIND("km/h",C2173)+1)/3.6)</f>
        <v>0</v>
      </c>
    </row>
    <row r="2174" spans="1:4">
      <c r="A2174" s="23" t="s">
        <v>556</v>
      </c>
      <c r="B2174" t="s">
        <v>545</v>
      </c>
      <c r="C2174" t="s">
        <v>620</v>
      </c>
      <c r="D2174" s="26">
        <f>VALUE(LEFT(C2174,LEN(C2174)-7))</f>
        <v>90</v>
      </c>
    </row>
    <row r="2175" spans="1:4">
      <c r="A2175" s="23" t="s">
        <v>558</v>
      </c>
      <c r="B2175" t="s">
        <v>545</v>
      </c>
      <c r="C2175" t="s">
        <v>1223</v>
      </c>
      <c r="D2175" s="29">
        <f>VALUE(LEFT(C2175,LEN(C2175)-3))</f>
        <v>236.4</v>
      </c>
    </row>
    <row r="2176" spans="1:4">
      <c r="A2176" s="23" t="s">
        <v>560</v>
      </c>
      <c r="B2176" t="s">
        <v>545</v>
      </c>
      <c r="C2176" t="s">
        <v>1223</v>
      </c>
      <c r="D2176" s="29">
        <f>VALUE(LEFT(C2176,LEN(C2176)-3))</f>
        <v>236.4</v>
      </c>
    </row>
    <row r="2177" spans="1:4">
      <c r="A2177" s="23" t="s">
        <v>562</v>
      </c>
      <c r="B2177" t="s">
        <v>545</v>
      </c>
      <c r="C2177" t="s">
        <v>1224</v>
      </c>
      <c r="D2177" s="29">
        <f>VALUE(LEFT(C2177,LEN(C2177)-3))</f>
        <v>11.6</v>
      </c>
    </row>
    <row r="2179" spans="1:4">
      <c r="A2179" s="23" t="s">
        <v>544</v>
      </c>
      <c r="B2179" t="s">
        <v>545</v>
      </c>
      <c r="C2179" t="s">
        <v>927</v>
      </c>
      <c r="D2179" s="29">
        <f>VALUE(LEFT(C2179,LEN(C2179)-2))</f>
        <v>9.1</v>
      </c>
    </row>
    <row r="2180" spans="1:4">
      <c r="A2180" s="23" t="s">
        <v>547</v>
      </c>
      <c r="B2180" t="s">
        <v>545</v>
      </c>
      <c r="C2180" s="24">
        <v>0.87</v>
      </c>
      <c r="D2180" s="27">
        <f>VALUE(C2180*100)</f>
        <v>87</v>
      </c>
    </row>
    <row r="2181" spans="1:4">
      <c r="A2181" s="23" t="s">
        <v>548</v>
      </c>
      <c r="B2181" t="s">
        <v>545</v>
      </c>
      <c r="C2181" t="s">
        <v>690</v>
      </c>
      <c r="D2181" s="29">
        <f>VALUE(LEFT(C2181,LEN(C2181)-2))</f>
        <v>6.9</v>
      </c>
    </row>
    <row r="2182" spans="1:4">
      <c r="A2182" s="23" t="s">
        <v>550</v>
      </c>
      <c r="B2182" t="s">
        <v>545</v>
      </c>
      <c r="C2182" t="s">
        <v>803</v>
      </c>
      <c r="D2182" s="28">
        <f>VALUE(LEFT(C2182,LEN(C2182)-4))</f>
        <v>1012.8</v>
      </c>
    </row>
    <row r="2183" spans="1:4">
      <c r="A2183" s="23" t="s">
        <v>552</v>
      </c>
      <c r="B2183" t="s">
        <v>545</v>
      </c>
      <c r="C2183" t="s">
        <v>1048</v>
      </c>
      <c r="D2183" s="29">
        <f>VALUE(LEFT(C2183,LEN(C2183)-FIND("km/h",C2183)+1)/3.6)</f>
        <v>0</v>
      </c>
    </row>
    <row r="2184" spans="1:4">
      <c r="A2184" s="23" t="s">
        <v>554</v>
      </c>
      <c r="B2184" t="s">
        <v>545</v>
      </c>
      <c r="C2184" t="s">
        <v>1048</v>
      </c>
      <c r="D2184" s="29">
        <f>VALUE(LEFT(C2184,LEN(C2184)-FIND("km/h",C2184)+1)/3.6)</f>
        <v>0</v>
      </c>
    </row>
    <row r="2185" spans="1:4">
      <c r="A2185" s="23" t="s">
        <v>556</v>
      </c>
      <c r="B2185" t="s">
        <v>545</v>
      </c>
      <c r="C2185" t="s">
        <v>1225</v>
      </c>
      <c r="D2185" s="26">
        <f>VALUE(LEFT(C2185,LEN(C2185)-7))</f>
        <v>75</v>
      </c>
    </row>
    <row r="2186" spans="1:4">
      <c r="A2186" s="23" t="s">
        <v>558</v>
      </c>
      <c r="B2186" t="s">
        <v>545</v>
      </c>
      <c r="C2186" t="s">
        <v>1226</v>
      </c>
      <c r="D2186" s="29">
        <f>VALUE(LEFT(C2186,LEN(C2186)-3))</f>
        <v>239.4</v>
      </c>
    </row>
    <row r="2187" spans="1:4">
      <c r="A2187" s="23" t="s">
        <v>560</v>
      </c>
      <c r="B2187" t="s">
        <v>545</v>
      </c>
      <c r="C2187" t="s">
        <v>1226</v>
      </c>
      <c r="D2187" s="29">
        <f>VALUE(LEFT(C2187,LEN(C2187)-3))</f>
        <v>239.4</v>
      </c>
    </row>
    <row r="2188" spans="1:4">
      <c r="A2188" s="23" t="s">
        <v>562</v>
      </c>
      <c r="B2188" t="s">
        <v>545</v>
      </c>
      <c r="C2188" t="s">
        <v>597</v>
      </c>
      <c r="D2188" s="29">
        <f>VALUE(LEFT(C2188,LEN(C2188)-3))</f>
        <v>3</v>
      </c>
    </row>
    <row r="2190" spans="1:4">
      <c r="A2190" s="23" t="s">
        <v>544</v>
      </c>
      <c r="B2190" t="s">
        <v>545</v>
      </c>
      <c r="C2190" t="s">
        <v>783</v>
      </c>
      <c r="D2190" s="29">
        <f>VALUE(LEFT(C2190,LEN(C2190)-2))</f>
        <v>12.6</v>
      </c>
    </row>
    <row r="2191" spans="1:4">
      <c r="A2191" s="23" t="s">
        <v>547</v>
      </c>
      <c r="B2191" t="s">
        <v>545</v>
      </c>
      <c r="C2191" s="24">
        <v>0.97</v>
      </c>
      <c r="D2191" s="27">
        <f>VALUE(C2191*100)</f>
        <v>97</v>
      </c>
    </row>
    <row r="2192" spans="1:4">
      <c r="A2192" s="23" t="s">
        <v>548</v>
      </c>
      <c r="B2192" t="s">
        <v>545</v>
      </c>
      <c r="C2192" t="s">
        <v>696</v>
      </c>
      <c r="D2192" s="29">
        <f>VALUE(LEFT(C2192,LEN(C2192)-2))</f>
        <v>12.1</v>
      </c>
    </row>
    <row r="2193" spans="1:4">
      <c r="A2193" s="23" t="s">
        <v>550</v>
      </c>
      <c r="B2193" t="s">
        <v>545</v>
      </c>
      <c r="C2193" t="s">
        <v>1189</v>
      </c>
      <c r="D2193" s="28">
        <f>VALUE(LEFT(C2193,LEN(C2193)-4))</f>
        <v>1012.3</v>
      </c>
    </row>
    <row r="2194" spans="1:4">
      <c r="A2194" s="23" t="s">
        <v>552</v>
      </c>
      <c r="B2194" t="s">
        <v>545</v>
      </c>
      <c r="C2194" t="s">
        <v>1048</v>
      </c>
      <c r="D2194" s="29">
        <f>VALUE(LEFT(C2194,LEN(C2194)-FIND("km/h",C2194)+1)/3.6)</f>
        <v>0</v>
      </c>
    </row>
    <row r="2195" spans="1:4">
      <c r="A2195" s="23" t="s">
        <v>554</v>
      </c>
      <c r="B2195" t="s">
        <v>545</v>
      </c>
      <c r="C2195" t="s">
        <v>1048</v>
      </c>
      <c r="D2195" s="29">
        <f>VALUE(LEFT(C2195,LEN(C2195)-FIND("km/h",C2195)+1)/3.6)</f>
        <v>0</v>
      </c>
    </row>
    <row r="2196" spans="1:4">
      <c r="A2196" s="23" t="s">
        <v>556</v>
      </c>
      <c r="B2196" t="s">
        <v>545</v>
      </c>
      <c r="C2196" t="s">
        <v>1049</v>
      </c>
      <c r="D2196" s="26">
        <f>VALUE(LEFT(C2196,LEN(C2196)-7))</f>
        <v>45</v>
      </c>
    </row>
    <row r="2197" spans="1:4">
      <c r="A2197" s="23" t="s">
        <v>558</v>
      </c>
      <c r="B2197" t="s">
        <v>545</v>
      </c>
      <c r="C2197" t="s">
        <v>1227</v>
      </c>
      <c r="D2197" s="29">
        <f>VALUE(LEFT(C2197,LEN(C2197)-3))</f>
        <v>243.4</v>
      </c>
    </row>
    <row r="2198" spans="1:4">
      <c r="A2198" s="23" t="s">
        <v>560</v>
      </c>
      <c r="B2198" t="s">
        <v>545</v>
      </c>
      <c r="C2198" t="s">
        <v>1227</v>
      </c>
      <c r="D2198" s="29">
        <f>VALUE(LEFT(C2198,LEN(C2198)-3))</f>
        <v>243.4</v>
      </c>
    </row>
    <row r="2199" spans="1:4">
      <c r="A2199" s="23" t="s">
        <v>562</v>
      </c>
      <c r="B2199" t="s">
        <v>545</v>
      </c>
      <c r="C2199" t="s">
        <v>589</v>
      </c>
      <c r="D2199" s="29">
        <f>VALUE(LEFT(C2199,LEN(C2199)-3))</f>
        <v>4</v>
      </c>
    </row>
    <row r="2200" spans="1:4" s="30" customFormat="1"/>
    <row r="2201" spans="1:4">
      <c r="A2201" s="23" t="s">
        <v>544</v>
      </c>
      <c r="B2201" t="s">
        <v>545</v>
      </c>
      <c r="C2201" t="s">
        <v>689</v>
      </c>
      <c r="D2201" s="29">
        <f>VALUE(LEFT(C2201,LEN(C2201)-2))</f>
        <v>10.7</v>
      </c>
    </row>
    <row r="2202" spans="1:4">
      <c r="A2202" s="23" t="s">
        <v>547</v>
      </c>
      <c r="B2202" t="s">
        <v>545</v>
      </c>
      <c r="C2202" s="24">
        <v>0.78</v>
      </c>
      <c r="D2202" s="27">
        <f>VALUE(C2202*100)</f>
        <v>78</v>
      </c>
    </row>
    <row r="2203" spans="1:4">
      <c r="A2203" s="23" t="s">
        <v>548</v>
      </c>
      <c r="B2203" t="s">
        <v>545</v>
      </c>
      <c r="C2203" t="s">
        <v>1047</v>
      </c>
      <c r="D2203" s="29">
        <f>VALUE(LEFT(C2203,LEN(C2203)-2))</f>
        <v>6.8</v>
      </c>
    </row>
    <row r="2204" spans="1:4">
      <c r="A2204" s="23" t="s">
        <v>550</v>
      </c>
      <c r="B2204" t="s">
        <v>545</v>
      </c>
      <c r="C2204" t="s">
        <v>952</v>
      </c>
      <c r="D2204" s="28">
        <f>VALUE(LEFT(C2204,LEN(C2204)-4))</f>
        <v>1015</v>
      </c>
    </row>
    <row r="2205" spans="1:4">
      <c r="A2205" s="23" t="s">
        <v>552</v>
      </c>
      <c r="B2205" t="s">
        <v>545</v>
      </c>
      <c r="C2205" t="s">
        <v>1048</v>
      </c>
      <c r="D2205" s="29">
        <f>VALUE(LEFT(C2205,LEN(C2205)-FIND("km/h",C2205)+1)/3.6)</f>
        <v>0</v>
      </c>
    </row>
    <row r="2206" spans="1:4">
      <c r="A2206" s="23" t="s">
        <v>554</v>
      </c>
      <c r="B2206" t="s">
        <v>545</v>
      </c>
      <c r="C2206" t="s">
        <v>1048</v>
      </c>
      <c r="D2206" s="29">
        <f>VALUE(LEFT(C2206,LEN(C2206)-FIND("km/h",C2206)+1)/3.6)</f>
        <v>0</v>
      </c>
    </row>
    <row r="2207" spans="1:4">
      <c r="A2207" s="23" t="s">
        <v>556</v>
      </c>
      <c r="B2207" t="s">
        <v>545</v>
      </c>
      <c r="C2207" t="s">
        <v>1049</v>
      </c>
      <c r="D2207" s="26">
        <f>VALUE(LEFT(C2207,LEN(C2207)-7))</f>
        <v>45</v>
      </c>
    </row>
    <row r="2208" spans="1:4">
      <c r="A2208" s="23" t="s">
        <v>558</v>
      </c>
      <c r="B2208" t="s">
        <v>545</v>
      </c>
      <c r="C2208" t="s">
        <v>1050</v>
      </c>
      <c r="D2208" s="29">
        <f>VALUE(LEFT(C2208,LEN(C2208)-3))</f>
        <v>10.6</v>
      </c>
    </row>
    <row r="2209" spans="1:4">
      <c r="A2209" s="23" t="s">
        <v>560</v>
      </c>
      <c r="B2209" t="s">
        <v>545</v>
      </c>
      <c r="C2209" t="s">
        <v>1051</v>
      </c>
      <c r="D2209" s="29">
        <f>VALUE(LEFT(C2209,LEN(C2209)-3))</f>
        <v>254</v>
      </c>
    </row>
    <row r="2210" spans="1:4">
      <c r="A2210" s="23" t="s">
        <v>562</v>
      </c>
      <c r="B2210" t="s">
        <v>545</v>
      </c>
      <c r="C2210" t="s">
        <v>1050</v>
      </c>
      <c r="D2210" s="29">
        <f>VALUE(LEFT(C2210,LEN(C2210)-3))</f>
        <v>10.6</v>
      </c>
    </row>
    <row r="2212" spans="1:4">
      <c r="A2212" s="23" t="s">
        <v>544</v>
      </c>
      <c r="B2212" t="s">
        <v>545</v>
      </c>
      <c r="C2212" t="s">
        <v>832</v>
      </c>
      <c r="D2212" s="29">
        <f>VALUE(LEFT(C2212,LEN(C2212)-2))</f>
        <v>9</v>
      </c>
    </row>
    <row r="2213" spans="1:4">
      <c r="A2213" s="23" t="s">
        <v>547</v>
      </c>
      <c r="B2213" t="s">
        <v>545</v>
      </c>
      <c r="C2213" s="24">
        <v>0.77</v>
      </c>
      <c r="D2213" s="27">
        <f>VALUE(C2213*100)</f>
        <v>77</v>
      </c>
    </row>
    <row r="2214" spans="1:4">
      <c r="A2214" s="23" t="s">
        <v>548</v>
      </c>
      <c r="B2214" t="s">
        <v>545</v>
      </c>
      <c r="C2214" t="s">
        <v>1052</v>
      </c>
      <c r="D2214" s="29">
        <f>VALUE(LEFT(C2214,LEN(C2214)-2))</f>
        <v>4.9000000000000004</v>
      </c>
    </row>
    <row r="2215" spans="1:4">
      <c r="A2215" s="23" t="s">
        <v>550</v>
      </c>
      <c r="B2215" t="s">
        <v>545</v>
      </c>
      <c r="C2215" t="s">
        <v>964</v>
      </c>
      <c r="D2215" s="28">
        <f>VALUE(LEFT(C2215,LEN(C2215)-4))</f>
        <v>1017.2</v>
      </c>
    </row>
    <row r="2216" spans="1:4">
      <c r="A2216" s="23" t="s">
        <v>552</v>
      </c>
      <c r="B2216" t="s">
        <v>545</v>
      </c>
      <c r="C2216" t="s">
        <v>800</v>
      </c>
      <c r="D2216" s="29">
        <f>VALUE(LEFT(C2216,LEN(C2216)-FIND("km/h",C2216)+1)/3.6)</f>
        <v>1.0555555555555556</v>
      </c>
    </row>
    <row r="2217" spans="1:4">
      <c r="A2217" s="23" t="s">
        <v>554</v>
      </c>
      <c r="B2217" t="s">
        <v>545</v>
      </c>
      <c r="C2217" t="s">
        <v>624</v>
      </c>
      <c r="D2217" s="29">
        <f>VALUE(LEFT(C2217,LEN(C2217)-FIND("km/h",C2217)+1)/3.6)</f>
        <v>1.3888888888888888</v>
      </c>
    </row>
    <row r="2218" spans="1:4">
      <c r="A2218" s="23" t="s">
        <v>556</v>
      </c>
      <c r="B2218" t="s">
        <v>545</v>
      </c>
      <c r="C2218" t="s">
        <v>1053</v>
      </c>
      <c r="D2218" s="26">
        <f>VALUE(LEFT(C2218,LEN(C2218)-7))</f>
        <v>157</v>
      </c>
    </row>
    <row r="2219" spans="1:4">
      <c r="A2219" s="23" t="s">
        <v>558</v>
      </c>
      <c r="B2219" t="s">
        <v>545</v>
      </c>
      <c r="C2219" t="s">
        <v>1054</v>
      </c>
      <c r="D2219" s="29">
        <f>VALUE(LEFT(C2219,LEN(C2219)-3))</f>
        <v>13.6</v>
      </c>
    </row>
    <row r="2220" spans="1:4">
      <c r="A2220" s="23" t="s">
        <v>560</v>
      </c>
      <c r="B2220" t="s">
        <v>545</v>
      </c>
      <c r="C2220" t="s">
        <v>1055</v>
      </c>
      <c r="D2220" s="29">
        <f>VALUE(LEFT(C2220,LEN(C2220)-3))</f>
        <v>257</v>
      </c>
    </row>
    <row r="2221" spans="1:4">
      <c r="A2221" s="23" t="s">
        <v>562</v>
      </c>
      <c r="B2221" t="s">
        <v>545</v>
      </c>
      <c r="C2221" t="s">
        <v>597</v>
      </c>
      <c r="D2221" s="29">
        <f>VALUE(LEFT(C2221,LEN(C2221)-3))</f>
        <v>3</v>
      </c>
    </row>
    <row r="2223" spans="1:4">
      <c r="A2223" s="23" t="s">
        <v>544</v>
      </c>
      <c r="B2223" t="s">
        <v>545</v>
      </c>
      <c r="C2223" t="s">
        <v>961</v>
      </c>
      <c r="D2223" s="29">
        <f>VALUE(LEFT(C2223,LEN(C2223)-2))</f>
        <v>9.5</v>
      </c>
    </row>
    <row r="2224" spans="1:4">
      <c r="A2224" s="23" t="s">
        <v>547</v>
      </c>
      <c r="B2224" t="s">
        <v>545</v>
      </c>
      <c r="C2224" s="24">
        <v>0.79</v>
      </c>
      <c r="D2224" s="27">
        <f>VALUE(C2224*100)</f>
        <v>79</v>
      </c>
    </row>
    <row r="2225" spans="1:4">
      <c r="A2225" s="23" t="s">
        <v>548</v>
      </c>
      <c r="B2225" t="s">
        <v>545</v>
      </c>
      <c r="C2225" t="s">
        <v>1056</v>
      </c>
      <c r="D2225" s="29">
        <f>VALUE(LEFT(C2225,LEN(C2225)-2))</f>
        <v>5.8</v>
      </c>
    </row>
    <row r="2226" spans="1:4">
      <c r="A2226" s="23" t="s">
        <v>550</v>
      </c>
      <c r="B2226" t="s">
        <v>545</v>
      </c>
      <c r="C2226" t="s">
        <v>1057</v>
      </c>
      <c r="D2226" s="28">
        <f>VALUE(LEFT(C2226,LEN(C2226)-4))</f>
        <v>1009.5</v>
      </c>
    </row>
    <row r="2227" spans="1:4">
      <c r="A2227" s="23" t="s">
        <v>552</v>
      </c>
      <c r="B2227" t="s">
        <v>545</v>
      </c>
      <c r="C2227" t="s">
        <v>981</v>
      </c>
      <c r="D2227" s="29">
        <f>VALUE(LEFT(C2227,LEN(C2227)-FIND("km/h",C2227)+1)/3.6)</f>
        <v>3.3055555555555554</v>
      </c>
    </row>
    <row r="2228" spans="1:4">
      <c r="A2228" s="23" t="s">
        <v>554</v>
      </c>
      <c r="B2228" t="s">
        <v>545</v>
      </c>
      <c r="C2228" t="s">
        <v>1058</v>
      </c>
      <c r="D2228" s="29">
        <f>VALUE(LEFT(C2228,LEN(C2228)-FIND("km/h",C2228)+1)/3.6)</f>
        <v>4.333333333333333</v>
      </c>
    </row>
    <row r="2229" spans="1:4">
      <c r="A2229" s="23" t="s">
        <v>556</v>
      </c>
      <c r="B2229" t="s">
        <v>545</v>
      </c>
      <c r="C2229" t="s">
        <v>1059</v>
      </c>
      <c r="D2229" s="26">
        <f>VALUE(LEFT(C2229,LEN(C2229)-7))</f>
        <v>221</v>
      </c>
    </row>
    <row r="2230" spans="1:4">
      <c r="A2230" s="23" t="s">
        <v>558</v>
      </c>
      <c r="B2230" t="s">
        <v>545</v>
      </c>
      <c r="C2230" t="s">
        <v>1060</v>
      </c>
      <c r="D2230" s="29">
        <f>VALUE(LEFT(C2230,LEN(C2230)-3))</f>
        <v>28.9</v>
      </c>
    </row>
    <row r="2231" spans="1:4">
      <c r="A2231" s="23" t="s">
        <v>560</v>
      </c>
      <c r="B2231" t="s">
        <v>545</v>
      </c>
      <c r="C2231" t="s">
        <v>1061</v>
      </c>
      <c r="D2231" s="29">
        <f>VALUE(LEFT(C2231,LEN(C2231)-3))</f>
        <v>272.3</v>
      </c>
    </row>
    <row r="2232" spans="1:4">
      <c r="A2232" s="23" t="s">
        <v>562</v>
      </c>
      <c r="B2232" t="s">
        <v>545</v>
      </c>
      <c r="C2232" t="s">
        <v>570</v>
      </c>
      <c r="D2232" s="29">
        <f>VALUE(LEFT(C2232,LEN(C2232)-3))</f>
        <v>15.3</v>
      </c>
    </row>
    <row r="2234" spans="1:4">
      <c r="A2234" s="23" t="s">
        <v>544</v>
      </c>
      <c r="B2234" t="s">
        <v>545</v>
      </c>
      <c r="C2234" t="s">
        <v>903</v>
      </c>
      <c r="D2234" s="29">
        <f>VALUE(LEFT(C2234,LEN(C2234)-2))</f>
        <v>10.9</v>
      </c>
    </row>
    <row r="2235" spans="1:4">
      <c r="A2235" s="23" t="s">
        <v>547</v>
      </c>
      <c r="B2235" t="s">
        <v>545</v>
      </c>
      <c r="C2235" s="24">
        <v>0.93</v>
      </c>
      <c r="D2235" s="27">
        <f>VALUE(C2235*100)</f>
        <v>93</v>
      </c>
    </row>
    <row r="2236" spans="1:4">
      <c r="A2236" s="23" t="s">
        <v>548</v>
      </c>
      <c r="B2236" t="s">
        <v>545</v>
      </c>
      <c r="C2236" t="s">
        <v>606</v>
      </c>
      <c r="D2236" s="29">
        <f>VALUE(LEFT(C2236,LEN(C2236)-2))</f>
        <v>9.8000000000000007</v>
      </c>
    </row>
    <row r="2237" spans="1:4">
      <c r="A2237" s="23" t="s">
        <v>550</v>
      </c>
      <c r="B2237" t="s">
        <v>545</v>
      </c>
      <c r="C2237" t="s">
        <v>1062</v>
      </c>
      <c r="D2237" s="28">
        <f>VALUE(LEFT(C2237,LEN(C2237)-4))</f>
        <v>1006.6</v>
      </c>
    </row>
    <row r="2238" spans="1:4">
      <c r="A2238" s="23" t="s">
        <v>552</v>
      </c>
      <c r="B2238" t="s">
        <v>545</v>
      </c>
      <c r="C2238" t="s">
        <v>1063</v>
      </c>
      <c r="D2238" s="29">
        <f>VALUE(LEFT(C2238,LEN(C2238)-FIND("km/h",C2238)+1)/3.6)</f>
        <v>4.0555555555555554</v>
      </c>
    </row>
    <row r="2239" spans="1:4">
      <c r="A2239" s="23" t="s">
        <v>554</v>
      </c>
      <c r="B2239" t="s">
        <v>545</v>
      </c>
      <c r="C2239" t="s">
        <v>1064</v>
      </c>
      <c r="D2239" s="29">
        <f>VALUE(LEFT(C2239,LEN(C2239)-FIND("km/h",C2239)+1)/3.6)</f>
        <v>5.3611111111111116</v>
      </c>
    </row>
    <row r="2240" spans="1:4">
      <c r="A2240" s="23" t="s">
        <v>556</v>
      </c>
      <c r="B2240" t="s">
        <v>545</v>
      </c>
      <c r="C2240" t="s">
        <v>764</v>
      </c>
      <c r="D2240" s="26">
        <f>VALUE(LEFT(C2240,LEN(C2240)-7))</f>
        <v>202</v>
      </c>
    </row>
    <row r="2241" spans="1:4">
      <c r="A2241" s="23" t="s">
        <v>558</v>
      </c>
      <c r="B2241" t="s">
        <v>545</v>
      </c>
      <c r="C2241" t="s">
        <v>750</v>
      </c>
      <c r="D2241" s="29">
        <f>VALUE(LEFT(C2241,LEN(C2241)-3))</f>
        <v>53.9</v>
      </c>
    </row>
    <row r="2242" spans="1:4">
      <c r="A2242" s="23" t="s">
        <v>560</v>
      </c>
      <c r="B2242" t="s">
        <v>545</v>
      </c>
      <c r="C2242" t="s">
        <v>1065</v>
      </c>
      <c r="D2242" s="29">
        <f>VALUE(LEFT(C2242,LEN(C2242)-3))</f>
        <v>297.3</v>
      </c>
    </row>
    <row r="2243" spans="1:4">
      <c r="A2243" s="23" t="s">
        <v>562</v>
      </c>
      <c r="B2243" t="s">
        <v>545</v>
      </c>
      <c r="C2243" t="s">
        <v>1066</v>
      </c>
      <c r="D2243" s="29">
        <f>VALUE(LEFT(C2243,LEN(C2243)-3))</f>
        <v>25</v>
      </c>
    </row>
    <row r="2245" spans="1:4">
      <c r="A2245" s="23" t="s">
        <v>544</v>
      </c>
      <c r="B2245" t="s">
        <v>545</v>
      </c>
      <c r="C2245" t="s">
        <v>564</v>
      </c>
      <c r="D2245" s="29">
        <f>VALUE(LEFT(C2245,LEN(C2245)-2))</f>
        <v>12.7</v>
      </c>
    </row>
    <row r="2246" spans="1:4">
      <c r="A2246" s="23" t="s">
        <v>547</v>
      </c>
      <c r="B2246" t="s">
        <v>545</v>
      </c>
      <c r="C2246" s="24">
        <v>0.79</v>
      </c>
      <c r="D2246" s="27">
        <f>VALUE(C2246*100)</f>
        <v>79</v>
      </c>
    </row>
    <row r="2247" spans="1:4">
      <c r="A2247" s="23" t="s">
        <v>548</v>
      </c>
      <c r="B2247" t="s">
        <v>545</v>
      </c>
      <c r="C2247" t="s">
        <v>832</v>
      </c>
      <c r="D2247" s="29">
        <f>VALUE(LEFT(C2247,LEN(C2247)-2))</f>
        <v>9</v>
      </c>
    </row>
    <row r="2248" spans="1:4">
      <c r="A2248" s="23" t="s">
        <v>550</v>
      </c>
      <c r="B2248" t="s">
        <v>545</v>
      </c>
      <c r="C2248" t="s">
        <v>1067</v>
      </c>
      <c r="D2248" s="28">
        <f>VALUE(LEFT(C2248,LEN(C2248)-4))</f>
        <v>1009</v>
      </c>
    </row>
    <row r="2249" spans="1:4">
      <c r="A2249" s="23" t="s">
        <v>552</v>
      </c>
      <c r="B2249" t="s">
        <v>545</v>
      </c>
      <c r="C2249" t="s">
        <v>748</v>
      </c>
      <c r="D2249" s="29">
        <f>VALUE(LEFT(C2249,LEN(C2249)-FIND("km/h",C2249)+1)/3.6)</f>
        <v>2.8611111111111112</v>
      </c>
    </row>
    <row r="2250" spans="1:4">
      <c r="A2250" s="23" t="s">
        <v>554</v>
      </c>
      <c r="B2250" t="s">
        <v>545</v>
      </c>
      <c r="C2250" t="s">
        <v>898</v>
      </c>
      <c r="D2250" s="29">
        <f>VALUE(LEFT(C2250,LEN(C2250)-FIND("km/h",C2250)+1)/3.6)</f>
        <v>3.9166666666666665</v>
      </c>
    </row>
    <row r="2251" spans="1:4">
      <c r="A2251" s="23" t="s">
        <v>556</v>
      </c>
      <c r="B2251" t="s">
        <v>545</v>
      </c>
      <c r="C2251" t="s">
        <v>1068</v>
      </c>
      <c r="D2251" s="26">
        <f>VALUE(LEFT(C2251,LEN(C2251)-7))</f>
        <v>207</v>
      </c>
    </row>
    <row r="2252" spans="1:4">
      <c r="A2252" s="23" t="s">
        <v>558</v>
      </c>
      <c r="B2252" t="s">
        <v>545</v>
      </c>
      <c r="C2252" t="s">
        <v>750</v>
      </c>
      <c r="D2252" s="29">
        <f>VALUE(LEFT(C2252,LEN(C2252)-3))</f>
        <v>53.9</v>
      </c>
    </row>
    <row r="2253" spans="1:4">
      <c r="A2253" s="23" t="s">
        <v>560</v>
      </c>
      <c r="B2253" t="s">
        <v>545</v>
      </c>
      <c r="C2253" t="s">
        <v>1065</v>
      </c>
      <c r="D2253" s="29">
        <f>VALUE(LEFT(C2253,LEN(C2253)-3))</f>
        <v>297.3</v>
      </c>
    </row>
    <row r="2254" spans="1:4">
      <c r="A2254" s="23" t="s">
        <v>562</v>
      </c>
      <c r="B2254" t="s">
        <v>545</v>
      </c>
      <c r="C2254" t="s">
        <v>604</v>
      </c>
      <c r="D2254" s="29">
        <f>VALUE(LEFT(C2254,LEN(C2254)-3))</f>
        <v>0</v>
      </c>
    </row>
    <row r="2256" spans="1:4">
      <c r="A2256" s="23" t="s">
        <v>544</v>
      </c>
      <c r="B2256" t="s">
        <v>545</v>
      </c>
      <c r="C2256" t="s">
        <v>648</v>
      </c>
      <c r="D2256" s="29">
        <f>VALUE(LEFT(C2256,LEN(C2256)-2))</f>
        <v>12.8</v>
      </c>
    </row>
    <row r="2257" spans="1:4">
      <c r="A2257" s="23" t="s">
        <v>547</v>
      </c>
      <c r="B2257" t="s">
        <v>545</v>
      </c>
      <c r="C2257" s="24">
        <v>0.84</v>
      </c>
      <c r="D2257" s="27">
        <f>VALUE(C2257*100)</f>
        <v>84</v>
      </c>
    </row>
    <row r="2258" spans="1:4">
      <c r="A2258" s="23" t="s">
        <v>548</v>
      </c>
      <c r="B2258" t="s">
        <v>545</v>
      </c>
      <c r="C2258" t="s">
        <v>1069</v>
      </c>
      <c r="D2258" s="29">
        <f>VALUE(LEFT(C2258,LEN(C2258)-2))</f>
        <v>10</v>
      </c>
    </row>
    <row r="2259" spans="1:4">
      <c r="A2259" s="23" t="s">
        <v>550</v>
      </c>
      <c r="B2259" t="s">
        <v>545</v>
      </c>
      <c r="C2259" t="s">
        <v>1070</v>
      </c>
      <c r="D2259" s="28">
        <f>VALUE(LEFT(C2259,LEN(C2259)-4))</f>
        <v>1005.5</v>
      </c>
    </row>
    <row r="2260" spans="1:4">
      <c r="A2260" s="23" t="s">
        <v>552</v>
      </c>
      <c r="B2260" t="s">
        <v>545</v>
      </c>
      <c r="C2260" t="s">
        <v>1071</v>
      </c>
      <c r="D2260" s="29">
        <f>VALUE(LEFT(C2260,LEN(C2260)-FIND("km/h",C2260)+1)/3.6)</f>
        <v>4.5277777777777777</v>
      </c>
    </row>
    <row r="2261" spans="1:4">
      <c r="A2261" s="23" t="s">
        <v>554</v>
      </c>
      <c r="B2261" t="s">
        <v>545</v>
      </c>
      <c r="C2261" t="s">
        <v>1072</v>
      </c>
      <c r="D2261" s="29">
        <f>VALUE(LEFT(C2261,LEN(C2261)-FIND("km/h",C2261)+1)/3.6)</f>
        <v>5.9444444444444438</v>
      </c>
    </row>
    <row r="2262" spans="1:4">
      <c r="A2262" s="23" t="s">
        <v>556</v>
      </c>
      <c r="B2262" t="s">
        <v>545</v>
      </c>
      <c r="C2262" t="s">
        <v>1073</v>
      </c>
      <c r="D2262" s="26">
        <f>VALUE(LEFT(C2262,LEN(C2262)-7))</f>
        <v>210</v>
      </c>
    </row>
    <row r="2263" spans="1:4">
      <c r="A2263" s="23" t="s">
        <v>558</v>
      </c>
      <c r="B2263" t="s">
        <v>545</v>
      </c>
      <c r="C2263" t="s">
        <v>1074</v>
      </c>
      <c r="D2263" s="29">
        <f>VALUE(LEFT(C2263,LEN(C2263)-3))</f>
        <v>72.599999999999994</v>
      </c>
    </row>
    <row r="2264" spans="1:4">
      <c r="A2264" s="23" t="s">
        <v>560</v>
      </c>
      <c r="B2264" t="s">
        <v>545</v>
      </c>
      <c r="C2264" t="s">
        <v>1075</v>
      </c>
      <c r="D2264" s="29">
        <f>VALUE(LEFT(C2264,LEN(C2264)-3))</f>
        <v>316</v>
      </c>
    </row>
    <row r="2265" spans="1:4">
      <c r="A2265" s="23" t="s">
        <v>562</v>
      </c>
      <c r="B2265" t="s">
        <v>545</v>
      </c>
      <c r="C2265" t="s">
        <v>1076</v>
      </c>
      <c r="D2265" s="29">
        <f>VALUE(LEFT(C2265,LEN(C2265)-3))</f>
        <v>18.7</v>
      </c>
    </row>
    <row r="2267" spans="1:4">
      <c r="A2267" s="23" t="s">
        <v>544</v>
      </c>
      <c r="B2267" t="s">
        <v>545</v>
      </c>
      <c r="C2267" t="s">
        <v>903</v>
      </c>
      <c r="D2267" s="29">
        <f>VALUE(LEFT(C2267,LEN(C2267)-2))</f>
        <v>10.9</v>
      </c>
    </row>
    <row r="2268" spans="1:4">
      <c r="A2268" s="23" t="s">
        <v>547</v>
      </c>
      <c r="B2268" t="s">
        <v>545</v>
      </c>
      <c r="C2268" s="24">
        <v>0.85</v>
      </c>
      <c r="D2268" s="27">
        <f>VALUE(C2268*100)</f>
        <v>85</v>
      </c>
    </row>
    <row r="2269" spans="1:4">
      <c r="A2269" s="23" t="s">
        <v>548</v>
      </c>
      <c r="B2269" t="s">
        <v>545</v>
      </c>
      <c r="C2269" t="s">
        <v>1077</v>
      </c>
      <c r="D2269" s="29">
        <f>VALUE(LEFT(C2269,LEN(C2269)-2))</f>
        <v>8.4</v>
      </c>
    </row>
    <row r="2270" spans="1:4">
      <c r="A2270" s="23" t="s">
        <v>550</v>
      </c>
      <c r="B2270" t="s">
        <v>545</v>
      </c>
      <c r="C2270" t="s">
        <v>1078</v>
      </c>
      <c r="D2270" s="28">
        <f>VALUE(LEFT(C2270,LEN(C2270)-4))</f>
        <v>1014.3</v>
      </c>
    </row>
    <row r="2271" spans="1:4">
      <c r="A2271" s="23" t="s">
        <v>552</v>
      </c>
      <c r="B2271" t="s">
        <v>545</v>
      </c>
      <c r="C2271" t="s">
        <v>939</v>
      </c>
      <c r="D2271" s="29">
        <f>VALUE(LEFT(C2271,LEN(C2271)-FIND("km/h",C2271)+1)/3.6)</f>
        <v>2.6666666666666665</v>
      </c>
    </row>
    <row r="2272" spans="1:4">
      <c r="A2272" s="23" t="s">
        <v>554</v>
      </c>
      <c r="B2272" t="s">
        <v>545</v>
      </c>
      <c r="C2272" t="s">
        <v>859</v>
      </c>
      <c r="D2272" s="29">
        <f>VALUE(LEFT(C2272,LEN(C2272)-FIND("km/h",C2272)+1)/3.6)</f>
        <v>3.6388888888888888</v>
      </c>
    </row>
    <row r="2273" spans="1:4">
      <c r="A2273" s="23" t="s">
        <v>556</v>
      </c>
      <c r="B2273" t="s">
        <v>545</v>
      </c>
      <c r="C2273" t="s">
        <v>1079</v>
      </c>
      <c r="D2273" s="26">
        <f>VALUE(LEFT(C2273,LEN(C2273)-7))</f>
        <v>204</v>
      </c>
    </row>
    <row r="2274" spans="1:4">
      <c r="A2274" s="23" t="s">
        <v>558</v>
      </c>
      <c r="B2274" t="s">
        <v>545</v>
      </c>
      <c r="C2274" t="s">
        <v>1080</v>
      </c>
      <c r="D2274" s="29">
        <f>VALUE(LEFT(C2274,LEN(C2274)-3))</f>
        <v>74.599999999999994</v>
      </c>
    </row>
    <row r="2275" spans="1:4">
      <c r="A2275" s="23" t="s">
        <v>560</v>
      </c>
      <c r="B2275" t="s">
        <v>545</v>
      </c>
      <c r="C2275" t="s">
        <v>1081</v>
      </c>
      <c r="D2275" s="29">
        <f>VALUE(LEFT(C2275,LEN(C2275)-3))</f>
        <v>318</v>
      </c>
    </row>
    <row r="2276" spans="1:4">
      <c r="A2276" s="23" t="s">
        <v>562</v>
      </c>
      <c r="B2276" t="s">
        <v>545</v>
      </c>
      <c r="C2276" t="s">
        <v>685</v>
      </c>
      <c r="D2276" s="29">
        <f>VALUE(LEFT(C2276,LEN(C2276)-3))</f>
        <v>2</v>
      </c>
    </row>
    <row r="2278" spans="1:4">
      <c r="A2278" s="23" t="s">
        <v>544</v>
      </c>
      <c r="B2278" t="s">
        <v>545</v>
      </c>
      <c r="C2278" t="s">
        <v>1082</v>
      </c>
      <c r="D2278" s="29">
        <f>VALUE(LEFT(C2278,LEN(C2278)-2))</f>
        <v>11.8</v>
      </c>
    </row>
    <row r="2279" spans="1:4">
      <c r="A2279" s="23" t="s">
        <v>547</v>
      </c>
      <c r="B2279" t="s">
        <v>545</v>
      </c>
      <c r="C2279" s="24">
        <v>0.82</v>
      </c>
      <c r="D2279" s="27">
        <f>VALUE(C2279*100)</f>
        <v>82</v>
      </c>
    </row>
    <row r="2280" spans="1:4">
      <c r="A2280" s="23" t="s">
        <v>548</v>
      </c>
      <c r="B2280" t="s">
        <v>545</v>
      </c>
      <c r="C2280" t="s">
        <v>745</v>
      </c>
      <c r="D2280" s="29">
        <f>VALUE(LEFT(C2280,LEN(C2280)-2))</f>
        <v>8.6999999999999993</v>
      </c>
    </row>
    <row r="2281" spans="1:4">
      <c r="A2281" s="23" t="s">
        <v>550</v>
      </c>
      <c r="B2281" t="s">
        <v>545</v>
      </c>
      <c r="C2281" t="s">
        <v>1083</v>
      </c>
      <c r="D2281" s="28">
        <f>VALUE(LEFT(C2281,LEN(C2281)-4))</f>
        <v>1009.9</v>
      </c>
    </row>
    <row r="2282" spans="1:4">
      <c r="A2282" s="23" t="s">
        <v>552</v>
      </c>
      <c r="B2282" t="s">
        <v>545</v>
      </c>
      <c r="C2282" t="s">
        <v>1084</v>
      </c>
      <c r="D2282" s="29">
        <f>VALUE(LEFT(C2282,LEN(C2282)-FIND("km/h",C2282)+1)/3.6)</f>
        <v>2.9444444444444442</v>
      </c>
    </row>
    <row r="2283" spans="1:4">
      <c r="A2283" s="23" t="s">
        <v>554</v>
      </c>
      <c r="B2283" t="s">
        <v>545</v>
      </c>
      <c r="C2283" t="s">
        <v>1085</v>
      </c>
      <c r="D2283" s="29">
        <f>VALUE(LEFT(C2283,LEN(C2283)-FIND("km/h",C2283)+1)/3.6)</f>
        <v>4.1944444444444446</v>
      </c>
    </row>
    <row r="2284" spans="1:4">
      <c r="A2284" s="23" t="s">
        <v>556</v>
      </c>
      <c r="B2284" t="s">
        <v>545</v>
      </c>
      <c r="C2284" t="s">
        <v>1086</v>
      </c>
      <c r="D2284" s="26">
        <f>VALUE(LEFT(C2284,LEN(C2284)-7))</f>
        <v>236</v>
      </c>
    </row>
    <row r="2285" spans="1:4">
      <c r="A2285" s="23" t="s">
        <v>558</v>
      </c>
      <c r="B2285" t="s">
        <v>545</v>
      </c>
      <c r="C2285" t="s">
        <v>1087</v>
      </c>
      <c r="D2285" s="29">
        <f>VALUE(LEFT(C2285,LEN(C2285)-3))</f>
        <v>83.9</v>
      </c>
    </row>
    <row r="2286" spans="1:4">
      <c r="A2286" s="23" t="s">
        <v>560</v>
      </c>
      <c r="B2286" t="s">
        <v>545</v>
      </c>
      <c r="C2286" t="s">
        <v>1088</v>
      </c>
      <c r="D2286" s="29">
        <f>VALUE(LEFT(C2286,LEN(C2286)-3))</f>
        <v>327.3</v>
      </c>
    </row>
    <row r="2287" spans="1:4">
      <c r="A2287" s="23" t="s">
        <v>562</v>
      </c>
      <c r="B2287" t="s">
        <v>545</v>
      </c>
      <c r="C2287" t="s">
        <v>1089</v>
      </c>
      <c r="D2287" s="29">
        <f>VALUE(LEFT(C2287,LEN(C2287)-3))</f>
        <v>9.3000000000000007</v>
      </c>
    </row>
    <row r="2289" spans="1:4">
      <c r="A2289" s="23" t="s">
        <v>544</v>
      </c>
      <c r="B2289" t="s">
        <v>545</v>
      </c>
      <c r="C2289" t="s">
        <v>689</v>
      </c>
      <c r="D2289" s="29">
        <f>VALUE(LEFT(C2289,LEN(C2289)-2))</f>
        <v>10.7</v>
      </c>
    </row>
    <row r="2290" spans="1:4">
      <c r="A2290" s="23" t="s">
        <v>547</v>
      </c>
      <c r="B2290" t="s">
        <v>545</v>
      </c>
      <c r="C2290" s="24">
        <v>0.87</v>
      </c>
      <c r="D2290" s="27">
        <f>VALUE(C2290*100)</f>
        <v>87</v>
      </c>
    </row>
    <row r="2291" spans="1:4">
      <c r="A2291" s="23" t="s">
        <v>548</v>
      </c>
      <c r="B2291" t="s">
        <v>545</v>
      </c>
      <c r="C2291" t="s">
        <v>906</v>
      </c>
      <c r="D2291" s="29">
        <f>VALUE(LEFT(C2291,LEN(C2291)-2))</f>
        <v>8.5</v>
      </c>
    </row>
    <row r="2292" spans="1:4">
      <c r="A2292" s="23" t="s">
        <v>550</v>
      </c>
      <c r="B2292" t="s">
        <v>545</v>
      </c>
      <c r="C2292" t="s">
        <v>1090</v>
      </c>
      <c r="D2292" s="28">
        <f>VALUE(LEFT(C2292,LEN(C2292)-4))</f>
        <v>1000.2</v>
      </c>
    </row>
    <row r="2293" spans="1:4">
      <c r="A2293" s="23" t="s">
        <v>552</v>
      </c>
      <c r="B2293" t="s">
        <v>545</v>
      </c>
      <c r="C2293" t="s">
        <v>1091</v>
      </c>
      <c r="D2293" s="29">
        <f>VALUE(LEFT(C2293,LEN(C2293)-FIND("km/h",C2293)+1)/3.6)</f>
        <v>5.2222222222222223</v>
      </c>
    </row>
    <row r="2294" spans="1:4">
      <c r="A2294" s="23" t="s">
        <v>554</v>
      </c>
      <c r="B2294" t="s">
        <v>545</v>
      </c>
      <c r="C2294" t="s">
        <v>1092</v>
      </c>
      <c r="D2294" s="29">
        <f>VALUE(LEFT(C2294,LEN(C2294)-FIND("km/h",C2294)+1)/3.6)</f>
        <v>7.4722222222222214</v>
      </c>
    </row>
    <row r="2295" spans="1:4">
      <c r="A2295" s="23" t="s">
        <v>556</v>
      </c>
      <c r="B2295" t="s">
        <v>545</v>
      </c>
      <c r="C2295" t="s">
        <v>1093</v>
      </c>
      <c r="D2295" s="26">
        <f>VALUE(LEFT(C2295,LEN(C2295)-7))</f>
        <v>220</v>
      </c>
    </row>
    <row r="2296" spans="1:4">
      <c r="A2296" s="23" t="s">
        <v>558</v>
      </c>
      <c r="B2296" t="s">
        <v>545</v>
      </c>
      <c r="C2296" t="s">
        <v>1094</v>
      </c>
      <c r="D2296" s="29">
        <f>VALUE(LEFT(C2296,LEN(C2296)-3))</f>
        <v>95.2</v>
      </c>
    </row>
    <row r="2297" spans="1:4">
      <c r="A2297" s="23" t="s">
        <v>560</v>
      </c>
      <c r="B2297" t="s">
        <v>545</v>
      </c>
      <c r="C2297" t="s">
        <v>1095</v>
      </c>
      <c r="D2297" s="29">
        <f>VALUE(LEFT(C2297,LEN(C2297)-3))</f>
        <v>338.6</v>
      </c>
    </row>
    <row r="2298" spans="1:4">
      <c r="A2298" s="23" t="s">
        <v>562</v>
      </c>
      <c r="B2298" t="s">
        <v>545</v>
      </c>
      <c r="C2298" t="s">
        <v>1096</v>
      </c>
      <c r="D2298" s="29">
        <f>VALUE(LEFT(C2298,LEN(C2298)-3))</f>
        <v>11.3</v>
      </c>
    </row>
    <row r="2300" spans="1:4">
      <c r="A2300" s="23" t="s">
        <v>544</v>
      </c>
      <c r="B2300" t="s">
        <v>545</v>
      </c>
      <c r="C2300" t="s">
        <v>837</v>
      </c>
      <c r="D2300" s="29">
        <f>VALUE(LEFT(C2300,LEN(C2300)-2))</f>
        <v>9.1999999999999993</v>
      </c>
    </row>
    <row r="2301" spans="1:4">
      <c r="A2301" s="23" t="s">
        <v>547</v>
      </c>
      <c r="B2301" t="s">
        <v>545</v>
      </c>
      <c r="C2301" s="24">
        <v>0.64</v>
      </c>
      <c r="D2301" s="27">
        <f>VALUE(C2301*100)</f>
        <v>64</v>
      </c>
    </row>
    <row r="2302" spans="1:4">
      <c r="A2302" s="23" t="s">
        <v>548</v>
      </c>
      <c r="B2302" t="s">
        <v>545</v>
      </c>
      <c r="C2302" t="s">
        <v>622</v>
      </c>
      <c r="D2302" s="29">
        <f>VALUE(LEFT(C2302,LEN(C2302)-2))</f>
        <v>2.6</v>
      </c>
    </row>
    <row r="2303" spans="1:4">
      <c r="A2303" s="23" t="s">
        <v>550</v>
      </c>
      <c r="B2303" t="s">
        <v>545</v>
      </c>
      <c r="C2303" t="s">
        <v>761</v>
      </c>
      <c r="D2303" s="28">
        <f>VALUE(LEFT(C2303,LEN(C2303)-4))</f>
        <v>1014.8</v>
      </c>
    </row>
    <row r="2304" spans="1:4">
      <c r="A2304" s="23" t="s">
        <v>552</v>
      </c>
      <c r="B2304" t="s">
        <v>545</v>
      </c>
      <c r="C2304" t="s">
        <v>911</v>
      </c>
      <c r="D2304" s="29">
        <f>VALUE(LEFT(C2304,LEN(C2304)-FIND("km/h",C2304)+1)/3.6)</f>
        <v>2.7777777777777777</v>
      </c>
    </row>
    <row r="2305" spans="1:4">
      <c r="A2305" s="23" t="s">
        <v>554</v>
      </c>
      <c r="B2305" t="s">
        <v>545</v>
      </c>
      <c r="C2305" t="s">
        <v>1097</v>
      </c>
      <c r="D2305" s="29">
        <f>VALUE(LEFT(C2305,LEN(C2305)-FIND("km/h",C2305)+1)/3.6)</f>
        <v>4.3055555555555554</v>
      </c>
    </row>
    <row r="2306" spans="1:4">
      <c r="A2306" s="23" t="s">
        <v>556</v>
      </c>
      <c r="B2306" t="s">
        <v>545</v>
      </c>
      <c r="C2306" t="s">
        <v>1098</v>
      </c>
      <c r="D2306" s="26">
        <f>VALUE(LEFT(C2306,LEN(C2306)-7))</f>
        <v>289</v>
      </c>
    </row>
    <row r="2307" spans="1:4">
      <c r="A2307" s="23" t="s">
        <v>558</v>
      </c>
      <c r="B2307" t="s">
        <v>545</v>
      </c>
      <c r="C2307" t="s">
        <v>1099</v>
      </c>
      <c r="D2307" s="29">
        <f>VALUE(LEFT(C2307,LEN(C2307)-3))</f>
        <v>97.2</v>
      </c>
    </row>
    <row r="2308" spans="1:4">
      <c r="A2308" s="23" t="s">
        <v>560</v>
      </c>
      <c r="B2308" t="s">
        <v>545</v>
      </c>
      <c r="C2308" t="s">
        <v>1100</v>
      </c>
      <c r="D2308" s="29">
        <f>VALUE(LEFT(C2308,LEN(C2308)-3))</f>
        <v>340.6</v>
      </c>
    </row>
    <row r="2309" spans="1:4">
      <c r="A2309" s="23" t="s">
        <v>562</v>
      </c>
      <c r="B2309" t="s">
        <v>545</v>
      </c>
      <c r="C2309" t="s">
        <v>685</v>
      </c>
      <c r="D2309" s="29">
        <f>VALUE(LEFT(C2309,LEN(C2309)-3))</f>
        <v>2</v>
      </c>
    </row>
    <row r="2311" spans="1:4">
      <c r="A2311" s="23" t="s">
        <v>544</v>
      </c>
      <c r="B2311" t="s">
        <v>545</v>
      </c>
      <c r="C2311" t="s">
        <v>798</v>
      </c>
      <c r="D2311" s="29">
        <f>VALUE(LEFT(C2311,LEN(C2311)-2))</f>
        <v>11.1</v>
      </c>
    </row>
    <row r="2312" spans="1:4">
      <c r="A2312" s="23" t="s">
        <v>547</v>
      </c>
      <c r="B2312" t="s">
        <v>545</v>
      </c>
      <c r="C2312" s="24">
        <v>0.94</v>
      </c>
      <c r="D2312" s="27">
        <f>VALUE(C2312*100)</f>
        <v>94</v>
      </c>
    </row>
    <row r="2313" spans="1:4">
      <c r="A2313" s="23" t="s">
        <v>548</v>
      </c>
      <c r="B2313" t="s">
        <v>545</v>
      </c>
      <c r="C2313" t="s">
        <v>599</v>
      </c>
      <c r="D2313" s="29">
        <f>VALUE(LEFT(C2313,LEN(C2313)-2))</f>
        <v>10.199999999999999</v>
      </c>
    </row>
    <row r="2314" spans="1:4">
      <c r="A2314" s="23" t="s">
        <v>550</v>
      </c>
      <c r="B2314" t="s">
        <v>545</v>
      </c>
      <c r="C2314" t="s">
        <v>1101</v>
      </c>
      <c r="D2314" s="28">
        <f>VALUE(LEFT(C2314,LEN(C2314)-4))</f>
        <v>1012.9</v>
      </c>
    </row>
    <row r="2315" spans="1:4">
      <c r="A2315" s="23" t="s">
        <v>552</v>
      </c>
      <c r="B2315" t="s">
        <v>545</v>
      </c>
      <c r="C2315" t="s">
        <v>893</v>
      </c>
      <c r="D2315" s="29">
        <f>VALUE(LEFT(C2315,LEN(C2315)-FIND("km/h",C2315)+1)/3.6)</f>
        <v>2.5277777777777777</v>
      </c>
    </row>
    <row r="2316" spans="1:4">
      <c r="A2316" s="23" t="s">
        <v>554</v>
      </c>
      <c r="B2316" t="s">
        <v>545</v>
      </c>
      <c r="C2316" t="s">
        <v>739</v>
      </c>
      <c r="D2316" s="29">
        <f>VALUE(LEFT(C2316,LEN(C2316)-FIND("km/h",C2316)+1)/3.6)</f>
        <v>3.75</v>
      </c>
    </row>
    <row r="2317" spans="1:4">
      <c r="A2317" s="23" t="s">
        <v>556</v>
      </c>
      <c r="B2317" t="s">
        <v>545</v>
      </c>
      <c r="C2317" t="s">
        <v>1093</v>
      </c>
      <c r="D2317" s="26">
        <f>VALUE(LEFT(C2317,LEN(C2317)-7))</f>
        <v>220</v>
      </c>
    </row>
    <row r="2318" spans="1:4">
      <c r="A2318" s="23" t="s">
        <v>558</v>
      </c>
      <c r="B2318" t="s">
        <v>545</v>
      </c>
      <c r="C2318" t="s">
        <v>1102</v>
      </c>
      <c r="D2318" s="29">
        <f>VALUE(LEFT(C2318,LEN(C2318)-3))</f>
        <v>131.1</v>
      </c>
    </row>
    <row r="2319" spans="1:4">
      <c r="A2319" s="23" t="s">
        <v>560</v>
      </c>
      <c r="B2319" t="s">
        <v>545</v>
      </c>
      <c r="C2319" t="s">
        <v>1103</v>
      </c>
      <c r="D2319" s="29">
        <f>VALUE(LEFT(C2319,LEN(C2319)-3))</f>
        <v>374.5</v>
      </c>
    </row>
    <row r="2320" spans="1:4">
      <c r="A2320" s="23" t="s">
        <v>562</v>
      </c>
      <c r="B2320" t="s">
        <v>545</v>
      </c>
      <c r="C2320" t="s">
        <v>1104</v>
      </c>
      <c r="D2320" s="29">
        <f>VALUE(LEFT(C2320,LEN(C2320)-3))</f>
        <v>33.9</v>
      </c>
    </row>
    <row r="2322" spans="1:4">
      <c r="A2322" s="23" t="s">
        <v>544</v>
      </c>
      <c r="B2322" t="s">
        <v>545</v>
      </c>
      <c r="C2322" t="s">
        <v>573</v>
      </c>
      <c r="D2322" s="29">
        <f>VALUE(LEFT(C2322,LEN(C2322)-2))</f>
        <v>11.4</v>
      </c>
    </row>
    <row r="2323" spans="1:4">
      <c r="A2323" s="23" t="s">
        <v>547</v>
      </c>
      <c r="B2323" t="s">
        <v>545</v>
      </c>
      <c r="C2323" s="24">
        <v>0.98</v>
      </c>
      <c r="D2323" s="27">
        <f>VALUE(C2323*100)</f>
        <v>98</v>
      </c>
    </row>
    <row r="2324" spans="1:4">
      <c r="A2324" s="23" t="s">
        <v>548</v>
      </c>
      <c r="B2324" t="s">
        <v>545</v>
      </c>
      <c r="C2324" t="s">
        <v>798</v>
      </c>
      <c r="D2324" s="29">
        <f>VALUE(LEFT(C2324,LEN(C2324)-2))</f>
        <v>11.1</v>
      </c>
    </row>
    <row r="2325" spans="1:4">
      <c r="A2325" s="23" t="s">
        <v>550</v>
      </c>
      <c r="B2325" t="s">
        <v>545</v>
      </c>
      <c r="C2325" t="s">
        <v>1029</v>
      </c>
      <c r="D2325" s="28">
        <f>VALUE(LEFT(C2325,LEN(C2325)-4))</f>
        <v>1015.5</v>
      </c>
    </row>
    <row r="2326" spans="1:4">
      <c r="A2326" s="23" t="s">
        <v>552</v>
      </c>
      <c r="B2326" t="s">
        <v>545</v>
      </c>
      <c r="C2326" t="s">
        <v>584</v>
      </c>
      <c r="D2326" s="29">
        <f>VALUE(LEFT(C2326,LEN(C2326)-FIND("km/h",C2326)+1)/3.6)</f>
        <v>1.9166666666666667</v>
      </c>
    </row>
    <row r="2327" spans="1:4">
      <c r="A2327" s="23" t="s">
        <v>554</v>
      </c>
      <c r="B2327" t="s">
        <v>545</v>
      </c>
      <c r="C2327" t="s">
        <v>592</v>
      </c>
      <c r="D2327" s="29">
        <f>VALUE(LEFT(C2327,LEN(C2327)-FIND("km/h",C2327)+1)/3.6)</f>
        <v>2.7222222222222223</v>
      </c>
    </row>
    <row r="2328" spans="1:4">
      <c r="A2328" s="23" t="s">
        <v>556</v>
      </c>
      <c r="B2328" t="s">
        <v>545</v>
      </c>
      <c r="C2328" t="s">
        <v>1105</v>
      </c>
      <c r="D2328" s="26">
        <f>VALUE(LEFT(C2328,LEN(C2328)-7))</f>
        <v>212</v>
      </c>
    </row>
    <row r="2329" spans="1:4">
      <c r="A2329" s="23" t="s">
        <v>558</v>
      </c>
      <c r="B2329" t="s">
        <v>545</v>
      </c>
      <c r="C2329" t="s">
        <v>1106</v>
      </c>
      <c r="D2329" s="29">
        <f>VALUE(LEFT(C2329,LEN(C2329)-3))</f>
        <v>140.1</v>
      </c>
    </row>
    <row r="2330" spans="1:4">
      <c r="A2330" s="23" t="s">
        <v>560</v>
      </c>
      <c r="B2330" t="s">
        <v>545</v>
      </c>
      <c r="C2330" t="s">
        <v>1107</v>
      </c>
      <c r="D2330" s="29">
        <f>VALUE(LEFT(C2330,LEN(C2330)-3))</f>
        <v>383.5</v>
      </c>
    </row>
    <row r="2331" spans="1:4">
      <c r="A2331" s="23" t="s">
        <v>562</v>
      </c>
      <c r="B2331" t="s">
        <v>545</v>
      </c>
      <c r="C2331" t="s">
        <v>1108</v>
      </c>
      <c r="D2331" s="29">
        <f>VALUE(LEFT(C2331,LEN(C2331)-3))</f>
        <v>9</v>
      </c>
    </row>
    <row r="2333" spans="1:4">
      <c r="A2333" s="23" t="s">
        <v>544</v>
      </c>
      <c r="B2333" t="s">
        <v>545</v>
      </c>
      <c r="C2333" t="s">
        <v>960</v>
      </c>
      <c r="D2333" s="29">
        <f>VALUE(LEFT(C2333,LEN(C2333)-2))</f>
        <v>14.9</v>
      </c>
    </row>
    <row r="2334" spans="1:4">
      <c r="A2334" s="23" t="s">
        <v>547</v>
      </c>
      <c r="B2334" t="s">
        <v>545</v>
      </c>
      <c r="C2334" s="24">
        <v>0.94</v>
      </c>
      <c r="D2334" s="27">
        <f>VALUE(C2334*100)</f>
        <v>94</v>
      </c>
    </row>
    <row r="2335" spans="1:4">
      <c r="A2335" s="23" t="s">
        <v>548</v>
      </c>
      <c r="B2335" t="s">
        <v>545</v>
      </c>
      <c r="C2335" t="s">
        <v>863</v>
      </c>
      <c r="D2335" s="29">
        <f>VALUE(LEFT(C2335,LEN(C2335)-2))</f>
        <v>13.9</v>
      </c>
    </row>
    <row r="2336" spans="1:4">
      <c r="A2336" s="23" t="s">
        <v>550</v>
      </c>
      <c r="B2336" t="s">
        <v>545</v>
      </c>
      <c r="C2336" t="s">
        <v>1109</v>
      </c>
      <c r="D2336" s="28">
        <f>VALUE(LEFT(C2336,LEN(C2336)-4))</f>
        <v>1015.9</v>
      </c>
    </row>
    <row r="2337" spans="1:4">
      <c r="A2337" s="23" t="s">
        <v>552</v>
      </c>
      <c r="B2337" t="s">
        <v>545</v>
      </c>
      <c r="C2337" t="s">
        <v>849</v>
      </c>
      <c r="D2337" s="29">
        <f>VALUE(LEFT(C2337,LEN(C2337)-FIND("km/h",C2337)+1)/3.6)</f>
        <v>2.833333333333333</v>
      </c>
    </row>
    <row r="2338" spans="1:4">
      <c r="A2338" s="23" t="s">
        <v>554</v>
      </c>
      <c r="B2338" t="s">
        <v>545</v>
      </c>
      <c r="C2338" t="s">
        <v>1110</v>
      </c>
      <c r="D2338" s="29">
        <f>VALUE(LEFT(C2338,LEN(C2338)-FIND("km/h",C2338)+1)/3.6)</f>
        <v>3.9722222222222223</v>
      </c>
    </row>
    <row r="2339" spans="1:4">
      <c r="A2339" s="23" t="s">
        <v>556</v>
      </c>
      <c r="B2339" t="s">
        <v>545</v>
      </c>
      <c r="C2339" t="s">
        <v>1111</v>
      </c>
      <c r="D2339" s="26">
        <f>VALUE(LEFT(C2339,LEN(C2339)-7))</f>
        <v>223</v>
      </c>
    </row>
    <row r="2340" spans="1:4">
      <c r="A2340" s="23" t="s">
        <v>558</v>
      </c>
      <c r="B2340" t="s">
        <v>545</v>
      </c>
      <c r="C2340" t="s">
        <v>1112</v>
      </c>
      <c r="D2340" s="29">
        <f>VALUE(LEFT(C2340,LEN(C2340)-3))</f>
        <v>150.4</v>
      </c>
    </row>
    <row r="2341" spans="1:4">
      <c r="A2341" s="23" t="s">
        <v>560</v>
      </c>
      <c r="B2341" t="s">
        <v>545</v>
      </c>
      <c r="C2341" t="s">
        <v>1113</v>
      </c>
      <c r="D2341" s="29">
        <f>VALUE(LEFT(C2341,LEN(C2341)-3))</f>
        <v>393.8</v>
      </c>
    </row>
    <row r="2342" spans="1:4">
      <c r="A2342" s="23" t="s">
        <v>562</v>
      </c>
      <c r="B2342" t="s">
        <v>545</v>
      </c>
      <c r="C2342" t="s">
        <v>1026</v>
      </c>
      <c r="D2342" s="29">
        <f>VALUE(LEFT(C2342,LEN(C2342)-3))</f>
        <v>10.3</v>
      </c>
    </row>
    <row r="2344" spans="1:4">
      <c r="A2344" s="23" t="s">
        <v>544</v>
      </c>
      <c r="B2344" t="s">
        <v>545</v>
      </c>
      <c r="C2344" t="s">
        <v>598</v>
      </c>
      <c r="D2344" s="29">
        <f>VALUE(LEFT(C2344,LEN(C2344)-2))</f>
        <v>13.4</v>
      </c>
    </row>
    <row r="2345" spans="1:4">
      <c r="A2345" s="23" t="s">
        <v>547</v>
      </c>
      <c r="B2345" t="s">
        <v>545</v>
      </c>
      <c r="C2345" s="24">
        <v>0.89</v>
      </c>
      <c r="D2345" s="27">
        <f>VALUE(C2345*100)</f>
        <v>89</v>
      </c>
    </row>
    <row r="2346" spans="1:4">
      <c r="A2346" s="23" t="s">
        <v>548</v>
      </c>
      <c r="B2346" t="s">
        <v>545</v>
      </c>
      <c r="C2346" t="s">
        <v>753</v>
      </c>
      <c r="D2346" s="29">
        <f>VALUE(LEFT(C2346,LEN(C2346)-2))</f>
        <v>11.5</v>
      </c>
    </row>
    <row r="2347" spans="1:4">
      <c r="A2347" s="23" t="s">
        <v>550</v>
      </c>
      <c r="B2347" t="s">
        <v>545</v>
      </c>
      <c r="C2347" t="s">
        <v>1114</v>
      </c>
      <c r="D2347" s="28">
        <f>VALUE(LEFT(C2347,LEN(C2347)-4))</f>
        <v>1007.5</v>
      </c>
    </row>
    <row r="2348" spans="1:4">
      <c r="A2348" s="23" t="s">
        <v>552</v>
      </c>
      <c r="B2348" t="s">
        <v>545</v>
      </c>
      <c r="C2348" t="s">
        <v>1115</v>
      </c>
      <c r="D2348" s="29">
        <f>VALUE(LEFT(C2348,LEN(C2348)-FIND("km/h",C2348)+1)/3.6)</f>
        <v>3.5833333333333335</v>
      </c>
    </row>
    <row r="2349" spans="1:4">
      <c r="A2349" s="23" t="s">
        <v>554</v>
      </c>
      <c r="B2349" t="s">
        <v>545</v>
      </c>
      <c r="C2349" t="s">
        <v>1116</v>
      </c>
      <c r="D2349" s="29">
        <f>VALUE(LEFT(C2349,LEN(C2349)-FIND("km/h",C2349)+1)/3.6)</f>
        <v>4.9444444444444446</v>
      </c>
    </row>
    <row r="2350" spans="1:4">
      <c r="A2350" s="23" t="s">
        <v>556</v>
      </c>
      <c r="B2350" t="s">
        <v>545</v>
      </c>
      <c r="C2350" t="s">
        <v>1117</v>
      </c>
      <c r="D2350" s="26">
        <f>VALUE(LEFT(C2350,LEN(C2350)-7))</f>
        <v>201</v>
      </c>
    </row>
    <row r="2351" spans="1:4">
      <c r="A2351" s="23" t="s">
        <v>558</v>
      </c>
      <c r="B2351" t="s">
        <v>545</v>
      </c>
      <c r="C2351" t="s">
        <v>1118</v>
      </c>
      <c r="D2351" s="29">
        <f>VALUE(LEFT(C2351,LEN(C2351)-3))</f>
        <v>160.4</v>
      </c>
    </row>
    <row r="2352" spans="1:4">
      <c r="A2352" s="23" t="s">
        <v>560</v>
      </c>
      <c r="B2352" t="s">
        <v>545</v>
      </c>
      <c r="C2352" t="s">
        <v>1119</v>
      </c>
      <c r="D2352" s="29">
        <f>VALUE(LEFT(C2352,LEN(C2352)-3))</f>
        <v>403.8</v>
      </c>
    </row>
    <row r="2353" spans="1:4">
      <c r="A2353" s="23" t="s">
        <v>562</v>
      </c>
      <c r="B2353" t="s">
        <v>545</v>
      </c>
      <c r="C2353" t="s">
        <v>1120</v>
      </c>
      <c r="D2353" s="29">
        <f>VALUE(LEFT(C2353,LEN(C2353)-3))</f>
        <v>10</v>
      </c>
    </row>
    <row r="2355" spans="1:4">
      <c r="A2355" s="23" t="s">
        <v>544</v>
      </c>
      <c r="B2355" t="s">
        <v>545</v>
      </c>
      <c r="C2355" t="s">
        <v>1121</v>
      </c>
      <c r="D2355" s="29">
        <f>VALUE(LEFT(C2355,LEN(C2355)-2))</f>
        <v>9.4</v>
      </c>
    </row>
    <row r="2356" spans="1:4">
      <c r="A2356" s="23" t="s">
        <v>547</v>
      </c>
      <c r="B2356" t="s">
        <v>545</v>
      </c>
      <c r="C2356" s="24">
        <v>0.82</v>
      </c>
      <c r="D2356" s="27">
        <f>VALUE(C2356*100)</f>
        <v>82</v>
      </c>
    </row>
    <row r="2357" spans="1:4">
      <c r="A2357" s="23" t="s">
        <v>548</v>
      </c>
      <c r="B2357" t="s">
        <v>545</v>
      </c>
      <c r="C2357" t="s">
        <v>1122</v>
      </c>
      <c r="D2357" s="29">
        <f>VALUE(LEFT(C2357,LEN(C2357)-2))</f>
        <v>6.3</v>
      </c>
    </row>
    <row r="2358" spans="1:4">
      <c r="A2358" s="23" t="s">
        <v>550</v>
      </c>
      <c r="B2358" t="s">
        <v>545</v>
      </c>
      <c r="C2358" t="s">
        <v>1013</v>
      </c>
      <c r="D2358" s="28">
        <f>VALUE(LEFT(C2358,LEN(C2358)-4))</f>
        <v>1011.1</v>
      </c>
    </row>
    <row r="2359" spans="1:4">
      <c r="A2359" s="23" t="s">
        <v>552</v>
      </c>
      <c r="B2359" t="s">
        <v>545</v>
      </c>
      <c r="C2359" t="s">
        <v>639</v>
      </c>
      <c r="D2359" s="29">
        <f>VALUE(LEFT(C2359,LEN(C2359)-FIND("km/h",C2359)+1)/3.6)</f>
        <v>0.91666666666666663</v>
      </c>
    </row>
    <row r="2360" spans="1:4">
      <c r="A2360" s="23" t="s">
        <v>554</v>
      </c>
      <c r="B2360" t="s">
        <v>545</v>
      </c>
      <c r="C2360" t="s">
        <v>830</v>
      </c>
      <c r="D2360" s="29">
        <f>VALUE(LEFT(C2360,LEN(C2360)-FIND("km/h",C2360)+1)/3.6)</f>
        <v>1.5</v>
      </c>
    </row>
    <row r="2361" spans="1:4">
      <c r="A2361" s="23" t="s">
        <v>556</v>
      </c>
      <c r="B2361" t="s">
        <v>545</v>
      </c>
      <c r="C2361" t="s">
        <v>578</v>
      </c>
      <c r="D2361" s="26">
        <f>VALUE(LEFT(C2361,LEN(C2361)-7))</f>
        <v>290</v>
      </c>
    </row>
    <row r="2362" spans="1:4">
      <c r="A2362" s="23" t="s">
        <v>558</v>
      </c>
      <c r="B2362" t="s">
        <v>545</v>
      </c>
      <c r="C2362" t="s">
        <v>1123</v>
      </c>
      <c r="D2362" s="29">
        <f>VALUE(LEFT(C2362,LEN(C2362)-3))</f>
        <v>161.4</v>
      </c>
    </row>
    <row r="2363" spans="1:4">
      <c r="A2363" s="23" t="s">
        <v>560</v>
      </c>
      <c r="B2363" t="s">
        <v>545</v>
      </c>
      <c r="C2363" t="s">
        <v>1124</v>
      </c>
      <c r="D2363" s="29">
        <f>VALUE(LEFT(C2363,LEN(C2363)-3))</f>
        <v>404.8</v>
      </c>
    </row>
    <row r="2364" spans="1:4">
      <c r="A2364" s="23" t="s">
        <v>562</v>
      </c>
      <c r="B2364" t="s">
        <v>545</v>
      </c>
      <c r="C2364" t="s">
        <v>581</v>
      </c>
      <c r="D2364" s="29">
        <f>VALUE(LEFT(C2364,LEN(C2364)-3))</f>
        <v>1</v>
      </c>
    </row>
    <row r="2366" spans="1:4">
      <c r="A2366" s="23" t="s">
        <v>544</v>
      </c>
      <c r="B2366" t="s">
        <v>545</v>
      </c>
      <c r="C2366" t="s">
        <v>1125</v>
      </c>
      <c r="D2366" s="29">
        <f>VALUE(LEFT(C2366,LEN(C2366)-2))</f>
        <v>4.2</v>
      </c>
    </row>
    <row r="2367" spans="1:4">
      <c r="A2367" s="23" t="s">
        <v>547</v>
      </c>
      <c r="B2367" t="s">
        <v>545</v>
      </c>
      <c r="C2367" s="24">
        <v>0.96</v>
      </c>
      <c r="D2367" s="27">
        <f>VALUE(C2367*100)</f>
        <v>96</v>
      </c>
    </row>
    <row r="2368" spans="1:4">
      <c r="A2368" s="23" t="s">
        <v>548</v>
      </c>
      <c r="B2368" t="s">
        <v>545</v>
      </c>
      <c r="C2368" t="s">
        <v>1126</v>
      </c>
      <c r="D2368" s="29">
        <f>VALUE(LEFT(C2368,LEN(C2368)-2))</f>
        <v>3.6</v>
      </c>
    </row>
    <row r="2369" spans="1:4">
      <c r="A2369" s="23" t="s">
        <v>550</v>
      </c>
      <c r="B2369" t="s">
        <v>545</v>
      </c>
      <c r="C2369" t="s">
        <v>1127</v>
      </c>
      <c r="D2369" s="28">
        <f>VALUE(LEFT(C2369,LEN(C2369)-4))</f>
        <v>1016.6</v>
      </c>
    </row>
    <row r="2370" spans="1:4">
      <c r="A2370" s="23" t="s">
        <v>552</v>
      </c>
      <c r="B2370" t="s">
        <v>545</v>
      </c>
      <c r="C2370" t="s">
        <v>1128</v>
      </c>
      <c r="D2370" s="29">
        <f>VALUE(LEFT(C2370,LEN(C2370)-FIND("km/h",C2370)+1)/3.6)</f>
        <v>0.25</v>
      </c>
    </row>
    <row r="2371" spans="1:4">
      <c r="A2371" s="23" t="s">
        <v>554</v>
      </c>
      <c r="B2371" t="s">
        <v>545</v>
      </c>
      <c r="C2371" t="s">
        <v>1129</v>
      </c>
      <c r="D2371" s="29">
        <f>VALUE(LEFT(C2371,LEN(C2371)-FIND("km/h",C2371)+1)/3.6)</f>
        <v>0.52777777777777779</v>
      </c>
    </row>
    <row r="2372" spans="1:4">
      <c r="A2372" s="23" t="s">
        <v>556</v>
      </c>
      <c r="B2372" t="s">
        <v>545</v>
      </c>
      <c r="C2372" t="s">
        <v>1130</v>
      </c>
      <c r="D2372" s="26">
        <f>VALUE(LEFT(C2372,LEN(C2372)-7))</f>
        <v>129</v>
      </c>
    </row>
    <row r="2373" spans="1:4">
      <c r="A2373" s="23" t="s">
        <v>558</v>
      </c>
      <c r="B2373" t="s">
        <v>545</v>
      </c>
      <c r="C2373" t="s">
        <v>1123</v>
      </c>
      <c r="D2373" s="29">
        <f>VALUE(LEFT(C2373,LEN(C2373)-3))</f>
        <v>161.4</v>
      </c>
    </row>
    <row r="2374" spans="1:4">
      <c r="A2374" s="23" t="s">
        <v>560</v>
      </c>
      <c r="B2374" t="s">
        <v>545</v>
      </c>
      <c r="C2374" t="s">
        <v>1124</v>
      </c>
      <c r="D2374" s="29">
        <f>VALUE(LEFT(C2374,LEN(C2374)-3))</f>
        <v>404.8</v>
      </c>
    </row>
    <row r="2375" spans="1:4">
      <c r="A2375" s="23" t="s">
        <v>562</v>
      </c>
      <c r="B2375" t="s">
        <v>545</v>
      </c>
      <c r="C2375" t="s">
        <v>604</v>
      </c>
      <c r="D2375" s="29">
        <f>VALUE(LEFT(C2375,LEN(C2375)-3))</f>
        <v>0</v>
      </c>
    </row>
    <row r="2377" spans="1:4">
      <c r="A2377" s="23" t="s">
        <v>544</v>
      </c>
      <c r="B2377" t="s">
        <v>545</v>
      </c>
      <c r="C2377" t="s">
        <v>1131</v>
      </c>
      <c r="D2377" s="29">
        <f>VALUE(LEFT(C2377,LEN(C2377)-2))</f>
        <v>8.6</v>
      </c>
    </row>
    <row r="2378" spans="1:4">
      <c r="A2378" s="23" t="s">
        <v>547</v>
      </c>
      <c r="B2378" t="s">
        <v>545</v>
      </c>
      <c r="C2378" s="24">
        <v>0.79</v>
      </c>
      <c r="D2378" s="27">
        <f>VALUE(C2378*100)</f>
        <v>79</v>
      </c>
    </row>
    <row r="2379" spans="1:4">
      <c r="A2379" s="23" t="s">
        <v>548</v>
      </c>
      <c r="B2379" t="s">
        <v>545</v>
      </c>
      <c r="C2379" t="s">
        <v>1132</v>
      </c>
      <c r="D2379" s="29">
        <f>VALUE(LEFT(C2379,LEN(C2379)-2))</f>
        <v>5</v>
      </c>
    </row>
    <row r="2380" spans="1:4">
      <c r="A2380" s="23" t="s">
        <v>550</v>
      </c>
      <c r="B2380" t="s">
        <v>545</v>
      </c>
      <c r="C2380" t="s">
        <v>1133</v>
      </c>
      <c r="D2380" s="28">
        <f>VALUE(LEFT(C2380,LEN(C2380)-4))</f>
        <v>1008.5</v>
      </c>
    </row>
    <row r="2381" spans="1:4">
      <c r="A2381" s="23" t="s">
        <v>552</v>
      </c>
      <c r="B2381" t="s">
        <v>545</v>
      </c>
      <c r="C2381" t="s">
        <v>1134</v>
      </c>
      <c r="D2381" s="29">
        <f>VALUE(LEFT(C2381,LEN(C2381)-FIND("km/h",C2381)+1)/3.6)</f>
        <v>2</v>
      </c>
    </row>
    <row r="2382" spans="1:4">
      <c r="A2382" s="23" t="s">
        <v>554</v>
      </c>
      <c r="B2382" t="s">
        <v>545</v>
      </c>
      <c r="C2382" t="s">
        <v>849</v>
      </c>
      <c r="D2382" s="29">
        <f>VALUE(LEFT(C2382,LEN(C2382)-FIND("km/h",C2382)+1)/3.6)</f>
        <v>2.833333333333333</v>
      </c>
    </row>
    <row r="2383" spans="1:4">
      <c r="A2383" s="23" t="s">
        <v>556</v>
      </c>
      <c r="B2383" t="s">
        <v>545</v>
      </c>
      <c r="C2383" t="s">
        <v>1135</v>
      </c>
      <c r="D2383" s="26">
        <f>VALUE(LEFT(C2383,LEN(C2383)-7))</f>
        <v>154</v>
      </c>
    </row>
    <row r="2384" spans="1:4">
      <c r="A2384" s="23" t="s">
        <v>558</v>
      </c>
      <c r="B2384" t="s">
        <v>545</v>
      </c>
      <c r="C2384" t="s">
        <v>1136</v>
      </c>
      <c r="D2384" s="29">
        <f>VALUE(LEFT(C2384,LEN(C2384)-3))</f>
        <v>164.4</v>
      </c>
    </row>
    <row r="2385" spans="1:4">
      <c r="A2385" s="23" t="s">
        <v>560</v>
      </c>
      <c r="B2385" t="s">
        <v>545</v>
      </c>
      <c r="C2385" t="s">
        <v>1137</v>
      </c>
      <c r="D2385" s="29">
        <f>VALUE(LEFT(C2385,LEN(C2385)-3))</f>
        <v>407.8</v>
      </c>
    </row>
    <row r="2386" spans="1:4">
      <c r="A2386" s="23" t="s">
        <v>562</v>
      </c>
      <c r="B2386" t="s">
        <v>545</v>
      </c>
      <c r="C2386" t="s">
        <v>597</v>
      </c>
      <c r="D2386" s="29">
        <f>VALUE(LEFT(C2386,LEN(C2386)-3))</f>
        <v>3</v>
      </c>
    </row>
    <row r="2388" spans="1:4">
      <c r="A2388" s="23" t="s">
        <v>544</v>
      </c>
      <c r="B2388" t="s">
        <v>545</v>
      </c>
      <c r="C2388" t="s">
        <v>841</v>
      </c>
      <c r="D2388" s="29">
        <f>VALUE(LEFT(C2388,LEN(C2388)-2))</f>
        <v>8.8000000000000007</v>
      </c>
    </row>
    <row r="2389" spans="1:4">
      <c r="A2389" s="23" t="s">
        <v>547</v>
      </c>
      <c r="B2389" t="s">
        <v>545</v>
      </c>
      <c r="C2389" s="24">
        <v>0.85</v>
      </c>
      <c r="D2389" s="27">
        <f>VALUE(C2389*100)</f>
        <v>85</v>
      </c>
    </row>
    <row r="2390" spans="1:4">
      <c r="A2390" s="23" t="s">
        <v>548</v>
      </c>
      <c r="B2390" t="s">
        <v>545</v>
      </c>
      <c r="C2390" t="s">
        <v>1138</v>
      </c>
      <c r="D2390" s="29">
        <f>VALUE(LEFT(C2390,LEN(C2390)-2))</f>
        <v>6.1</v>
      </c>
    </row>
    <row r="2391" spans="1:4">
      <c r="A2391" s="23" t="s">
        <v>550</v>
      </c>
      <c r="B2391" t="s">
        <v>545</v>
      </c>
      <c r="C2391" t="s">
        <v>952</v>
      </c>
      <c r="D2391" s="28">
        <f>VALUE(LEFT(C2391,LEN(C2391)-4))</f>
        <v>1015</v>
      </c>
    </row>
    <row r="2392" spans="1:4">
      <c r="A2392" s="23" t="s">
        <v>552</v>
      </c>
      <c r="B2392" t="s">
        <v>545</v>
      </c>
      <c r="C2392" t="s">
        <v>629</v>
      </c>
      <c r="D2392" s="29">
        <f>VALUE(LEFT(C2392,LEN(C2392)-FIND("km/h",C2392)+1)/3.6)</f>
        <v>1.0833333333333333</v>
      </c>
    </row>
    <row r="2393" spans="1:4">
      <c r="A2393" s="23" t="s">
        <v>554</v>
      </c>
      <c r="B2393" t="s">
        <v>545</v>
      </c>
      <c r="C2393" t="s">
        <v>811</v>
      </c>
      <c r="D2393" s="29">
        <f>VALUE(LEFT(C2393,LEN(C2393)-FIND("km/h",C2393)+1)/3.6)</f>
        <v>1.6388888888888888</v>
      </c>
    </row>
    <row r="2394" spans="1:4">
      <c r="A2394" s="23" t="s">
        <v>556</v>
      </c>
      <c r="B2394" t="s">
        <v>545</v>
      </c>
      <c r="C2394" t="s">
        <v>1004</v>
      </c>
      <c r="D2394" s="26">
        <f>VALUE(LEFT(C2394,LEN(C2394)-7))</f>
        <v>320</v>
      </c>
    </row>
    <row r="2395" spans="1:4">
      <c r="A2395" s="23" t="s">
        <v>558</v>
      </c>
      <c r="B2395" t="s">
        <v>545</v>
      </c>
      <c r="C2395" t="s">
        <v>1136</v>
      </c>
      <c r="D2395" s="29">
        <f>VALUE(LEFT(C2395,LEN(C2395)-3))</f>
        <v>164.4</v>
      </c>
    </row>
    <row r="2396" spans="1:4">
      <c r="A2396" s="23" t="s">
        <v>560</v>
      </c>
      <c r="B2396" t="s">
        <v>545</v>
      </c>
      <c r="C2396" t="s">
        <v>1137</v>
      </c>
      <c r="D2396" s="29">
        <f>VALUE(LEFT(C2396,LEN(C2396)-3))</f>
        <v>407.8</v>
      </c>
    </row>
    <row r="2397" spans="1:4">
      <c r="A2397" s="23" t="s">
        <v>562</v>
      </c>
      <c r="B2397" t="s">
        <v>545</v>
      </c>
      <c r="C2397" t="s">
        <v>604</v>
      </c>
      <c r="D2397" s="29">
        <f>VALUE(LEFT(C2397,LEN(C2397)-3))</f>
        <v>0</v>
      </c>
    </row>
    <row r="2399" spans="1:4">
      <c r="A2399" s="23" t="s">
        <v>544</v>
      </c>
      <c r="B2399" t="s">
        <v>545</v>
      </c>
      <c r="C2399" t="s">
        <v>978</v>
      </c>
      <c r="D2399" s="29">
        <f>VALUE(LEFT(C2399,LEN(C2399)-2))</f>
        <v>11.7</v>
      </c>
    </row>
    <row r="2400" spans="1:4">
      <c r="A2400" s="23" t="s">
        <v>547</v>
      </c>
      <c r="B2400" t="s">
        <v>545</v>
      </c>
      <c r="C2400" s="24">
        <v>0.84</v>
      </c>
      <c r="D2400" s="27">
        <f>VALUE(C2400*100)</f>
        <v>84</v>
      </c>
    </row>
    <row r="2401" spans="1:4">
      <c r="A2401" s="23" t="s">
        <v>548</v>
      </c>
      <c r="B2401" t="s">
        <v>545</v>
      </c>
      <c r="C2401" t="s">
        <v>841</v>
      </c>
      <c r="D2401" s="29">
        <f>VALUE(LEFT(C2401,LEN(C2401)-2))</f>
        <v>8.8000000000000007</v>
      </c>
    </row>
    <row r="2402" spans="1:4">
      <c r="A2402" s="23" t="s">
        <v>550</v>
      </c>
      <c r="B2402" t="s">
        <v>545</v>
      </c>
      <c r="C2402" t="s">
        <v>1139</v>
      </c>
      <c r="D2402" s="28">
        <f>VALUE(LEFT(C2402,LEN(C2402)-4))</f>
        <v>1021.1</v>
      </c>
    </row>
    <row r="2403" spans="1:4">
      <c r="A2403" s="23" t="s">
        <v>552</v>
      </c>
      <c r="B2403" t="s">
        <v>545</v>
      </c>
      <c r="C2403" t="s">
        <v>1140</v>
      </c>
      <c r="D2403" s="29">
        <f>VALUE(LEFT(C2403,LEN(C2403)-FIND("km/h",C2403)+1)/3.6)</f>
        <v>0.61111111111111116</v>
      </c>
    </row>
    <row r="2404" spans="1:4">
      <c r="A2404" s="23" t="s">
        <v>554</v>
      </c>
      <c r="B2404" t="s">
        <v>545</v>
      </c>
      <c r="C2404" t="s">
        <v>1141</v>
      </c>
      <c r="D2404" s="29">
        <f>VALUE(LEFT(C2404,LEN(C2404)-FIND("km/h",C2404)+1)/3.6)</f>
        <v>1.1111111111111112</v>
      </c>
    </row>
    <row r="2405" spans="1:4">
      <c r="A2405" s="23" t="s">
        <v>556</v>
      </c>
      <c r="B2405" t="s">
        <v>545</v>
      </c>
      <c r="C2405" t="s">
        <v>1142</v>
      </c>
      <c r="D2405" s="26">
        <f>VALUE(LEFT(C2405,LEN(C2405)-7))</f>
        <v>283</v>
      </c>
    </row>
    <row r="2406" spans="1:4">
      <c r="A2406" s="23" t="s">
        <v>558</v>
      </c>
      <c r="B2406" t="s">
        <v>545</v>
      </c>
      <c r="C2406" t="s">
        <v>1143</v>
      </c>
      <c r="D2406" s="29">
        <f>VALUE(LEFT(C2406,LEN(C2406)-3))</f>
        <v>165.4</v>
      </c>
    </row>
    <row r="2407" spans="1:4">
      <c r="A2407" s="23" t="s">
        <v>560</v>
      </c>
      <c r="B2407" t="s">
        <v>545</v>
      </c>
      <c r="C2407" t="s">
        <v>1144</v>
      </c>
      <c r="D2407" s="29">
        <f>VALUE(LEFT(C2407,LEN(C2407)-3))</f>
        <v>408.8</v>
      </c>
    </row>
    <row r="2408" spans="1:4">
      <c r="A2408" s="23" t="s">
        <v>562</v>
      </c>
      <c r="B2408" t="s">
        <v>545</v>
      </c>
      <c r="C2408" t="s">
        <v>581</v>
      </c>
      <c r="D2408" s="29">
        <f>VALUE(LEFT(C2408,LEN(C2408)-3))</f>
        <v>1</v>
      </c>
    </row>
    <row r="2410" spans="1:4">
      <c r="A2410" s="23" t="s">
        <v>544</v>
      </c>
      <c r="B2410" t="s">
        <v>545</v>
      </c>
      <c r="C2410" t="s">
        <v>696</v>
      </c>
      <c r="D2410" s="29">
        <f>VALUE(LEFT(C2410,LEN(C2410)-2))</f>
        <v>12.1</v>
      </c>
    </row>
    <row r="2411" spans="1:4">
      <c r="A2411" s="23" t="s">
        <v>547</v>
      </c>
      <c r="B2411" t="s">
        <v>545</v>
      </c>
      <c r="C2411" s="24">
        <v>0.95</v>
      </c>
      <c r="D2411" s="27">
        <f>VALUE(C2411*100)</f>
        <v>95</v>
      </c>
    </row>
    <row r="2412" spans="1:4">
      <c r="A2412" s="23" t="s">
        <v>548</v>
      </c>
      <c r="B2412" t="s">
        <v>545</v>
      </c>
      <c r="C2412" t="s">
        <v>760</v>
      </c>
      <c r="D2412" s="29">
        <f>VALUE(LEFT(C2412,LEN(C2412)-2))</f>
        <v>11.3</v>
      </c>
    </row>
    <row r="2413" spans="1:4">
      <c r="A2413" s="23" t="s">
        <v>550</v>
      </c>
      <c r="B2413" t="s">
        <v>545</v>
      </c>
      <c r="C2413" t="s">
        <v>1145</v>
      </c>
      <c r="D2413" s="28">
        <f>VALUE(LEFT(C2413,LEN(C2413)-4))</f>
        <v>1020.1</v>
      </c>
    </row>
    <row r="2414" spans="1:4">
      <c r="A2414" s="23" t="s">
        <v>552</v>
      </c>
      <c r="B2414" t="s">
        <v>545</v>
      </c>
      <c r="C2414" t="s">
        <v>795</v>
      </c>
      <c r="D2414" s="29">
        <f>VALUE(LEFT(C2414,LEN(C2414)-FIND("km/h",C2414)+1)/3.6)</f>
        <v>1.6111111111111109</v>
      </c>
    </row>
    <row r="2415" spans="1:4">
      <c r="A2415" s="23" t="s">
        <v>554</v>
      </c>
      <c r="B2415" t="s">
        <v>545</v>
      </c>
      <c r="C2415" t="s">
        <v>762</v>
      </c>
      <c r="D2415" s="29">
        <f>VALUE(LEFT(C2415,LEN(C2415)-FIND("km/h",C2415)+1)/3.6)</f>
        <v>2.4722222222222223</v>
      </c>
    </row>
    <row r="2416" spans="1:4">
      <c r="A2416" s="23" t="s">
        <v>556</v>
      </c>
      <c r="B2416" t="s">
        <v>545</v>
      </c>
      <c r="C2416" t="s">
        <v>1019</v>
      </c>
      <c r="D2416" s="26">
        <f>VALUE(LEFT(C2416,LEN(C2416)-7))</f>
        <v>239</v>
      </c>
    </row>
    <row r="2417" spans="1:4">
      <c r="A2417" s="23" t="s">
        <v>558</v>
      </c>
      <c r="B2417" t="s">
        <v>545</v>
      </c>
      <c r="C2417" t="s">
        <v>1146</v>
      </c>
      <c r="D2417" s="29">
        <f>VALUE(LEFT(C2417,LEN(C2417)-3))</f>
        <v>169.4</v>
      </c>
    </row>
    <row r="2418" spans="1:4">
      <c r="A2418" s="23" t="s">
        <v>560</v>
      </c>
      <c r="B2418" t="s">
        <v>545</v>
      </c>
      <c r="C2418" t="s">
        <v>1147</v>
      </c>
      <c r="D2418" s="29">
        <f>VALUE(LEFT(C2418,LEN(C2418)-3))</f>
        <v>412.8</v>
      </c>
    </row>
    <row r="2419" spans="1:4">
      <c r="A2419" s="23" t="s">
        <v>562</v>
      </c>
      <c r="B2419" t="s">
        <v>545</v>
      </c>
      <c r="C2419" t="s">
        <v>589</v>
      </c>
      <c r="D2419" s="29">
        <f>VALUE(LEFT(C2419,LEN(C2419)-3))</f>
        <v>4</v>
      </c>
    </row>
    <row r="2421" spans="1:4">
      <c r="A2421" s="23" t="s">
        <v>544</v>
      </c>
      <c r="B2421" t="s">
        <v>545</v>
      </c>
      <c r="C2421" t="s">
        <v>1148</v>
      </c>
      <c r="D2421" s="29">
        <f>VALUE(LEFT(C2421,LEN(C2421)-2))</f>
        <v>9.9</v>
      </c>
    </row>
    <row r="2422" spans="1:4">
      <c r="A2422" s="23" t="s">
        <v>547</v>
      </c>
      <c r="B2422" t="s">
        <v>545</v>
      </c>
      <c r="C2422" s="24">
        <v>0.71</v>
      </c>
      <c r="D2422" s="27">
        <f>VALUE(C2422*100)</f>
        <v>71</v>
      </c>
    </row>
    <row r="2423" spans="1:4">
      <c r="A2423" s="23" t="s">
        <v>548</v>
      </c>
      <c r="B2423" t="s">
        <v>545</v>
      </c>
      <c r="C2423" t="s">
        <v>686</v>
      </c>
      <c r="D2423" s="29">
        <f>VALUE(LEFT(C2423,LEN(C2423)-2))</f>
        <v>4.4000000000000004</v>
      </c>
    </row>
    <row r="2424" spans="1:4">
      <c r="A2424" s="23" t="s">
        <v>550</v>
      </c>
      <c r="B2424" t="s">
        <v>545</v>
      </c>
      <c r="C2424" t="s">
        <v>1149</v>
      </c>
      <c r="D2424" s="28">
        <f>VALUE(LEFT(C2424,LEN(C2424)-4))</f>
        <v>1021.6</v>
      </c>
    </row>
    <row r="2425" spans="1:4">
      <c r="A2425" s="23" t="s">
        <v>552</v>
      </c>
      <c r="B2425" t="s">
        <v>545</v>
      </c>
      <c r="C2425" t="s">
        <v>800</v>
      </c>
      <c r="D2425" s="29">
        <f>VALUE(LEFT(C2425,LEN(C2425)-FIND("km/h",C2425)+1)/3.6)</f>
        <v>1.0555555555555556</v>
      </c>
    </row>
    <row r="2426" spans="1:4">
      <c r="A2426" s="23" t="s">
        <v>554</v>
      </c>
      <c r="B2426" t="s">
        <v>545</v>
      </c>
      <c r="C2426" t="s">
        <v>630</v>
      </c>
      <c r="D2426" s="29">
        <f>VALUE(LEFT(C2426,LEN(C2426)-FIND("km/h",C2426)+1)/3.6)</f>
        <v>1.6666666666666665</v>
      </c>
    </row>
    <row r="2427" spans="1:4">
      <c r="A2427" s="23" t="s">
        <v>556</v>
      </c>
      <c r="B2427" t="s">
        <v>545</v>
      </c>
      <c r="C2427" t="s">
        <v>1150</v>
      </c>
      <c r="D2427" s="26">
        <f>VALUE(LEFT(C2427,LEN(C2427)-7))</f>
        <v>305</v>
      </c>
    </row>
    <row r="2428" spans="1:4">
      <c r="A2428" s="23" t="s">
        <v>558</v>
      </c>
      <c r="B2428" t="s">
        <v>545</v>
      </c>
      <c r="C2428" t="s">
        <v>1146</v>
      </c>
      <c r="D2428" s="29">
        <f>VALUE(LEFT(C2428,LEN(C2428)-3))</f>
        <v>169.4</v>
      </c>
    </row>
    <row r="2429" spans="1:4">
      <c r="A2429" s="23" t="s">
        <v>560</v>
      </c>
      <c r="B2429" t="s">
        <v>545</v>
      </c>
      <c r="C2429" t="s">
        <v>1147</v>
      </c>
      <c r="D2429" s="29">
        <f>VALUE(LEFT(C2429,LEN(C2429)-3))</f>
        <v>412.8</v>
      </c>
    </row>
    <row r="2430" spans="1:4">
      <c r="A2430" s="23" t="s">
        <v>562</v>
      </c>
      <c r="B2430" t="s">
        <v>545</v>
      </c>
      <c r="C2430" t="s">
        <v>604</v>
      </c>
      <c r="D2430" s="29">
        <f>VALUE(LEFT(C2430,LEN(C2430)-3))</f>
        <v>0</v>
      </c>
    </row>
    <row r="2432" spans="1:4">
      <c r="A2432" s="23" t="s">
        <v>544</v>
      </c>
      <c r="B2432" t="s">
        <v>545</v>
      </c>
      <c r="C2432" t="s">
        <v>753</v>
      </c>
      <c r="D2432" s="29">
        <f>VALUE(LEFT(C2432,LEN(C2432)-2))</f>
        <v>11.5</v>
      </c>
    </row>
    <row r="2433" spans="1:4">
      <c r="A2433" s="23" t="s">
        <v>547</v>
      </c>
      <c r="B2433" t="s">
        <v>545</v>
      </c>
      <c r="C2433" s="24">
        <v>0.79</v>
      </c>
      <c r="D2433" s="27">
        <f>VALUE(C2433*100)</f>
        <v>79</v>
      </c>
    </row>
    <row r="2434" spans="1:4">
      <c r="A2434" s="23" t="s">
        <v>548</v>
      </c>
      <c r="B2434" t="s">
        <v>545</v>
      </c>
      <c r="C2434" t="s">
        <v>723</v>
      </c>
      <c r="D2434" s="29">
        <f>VALUE(LEFT(C2434,LEN(C2434)-2))</f>
        <v>7.6</v>
      </c>
    </row>
    <row r="2435" spans="1:4">
      <c r="A2435" s="23" t="s">
        <v>550</v>
      </c>
      <c r="B2435" t="s">
        <v>545</v>
      </c>
      <c r="C2435" t="s">
        <v>1151</v>
      </c>
      <c r="D2435" s="28">
        <f>VALUE(LEFT(C2435,LEN(C2435)-4))</f>
        <v>1021.4</v>
      </c>
    </row>
    <row r="2436" spans="1:4">
      <c r="A2436" s="23" t="s">
        <v>552</v>
      </c>
      <c r="B2436" t="s">
        <v>545</v>
      </c>
      <c r="C2436" t="s">
        <v>601</v>
      </c>
      <c r="D2436" s="29">
        <f>VALUE(LEFT(C2436,LEN(C2436)-FIND("km/h",C2436)+1)/3.6)</f>
        <v>0.88888888888888895</v>
      </c>
    </row>
    <row r="2437" spans="1:4">
      <c r="A2437" s="23" t="s">
        <v>554</v>
      </c>
      <c r="B2437" t="s">
        <v>545</v>
      </c>
      <c r="C2437" t="s">
        <v>640</v>
      </c>
      <c r="D2437" s="29">
        <f>VALUE(LEFT(C2437,LEN(C2437)-FIND("km/h",C2437)+1)/3.6)</f>
        <v>1.4166666666666665</v>
      </c>
    </row>
    <row r="2438" spans="1:4">
      <c r="A2438" s="23" t="s">
        <v>556</v>
      </c>
      <c r="B2438" t="s">
        <v>545</v>
      </c>
      <c r="C2438" t="s">
        <v>1105</v>
      </c>
      <c r="D2438" s="26">
        <f>VALUE(LEFT(C2438,LEN(C2438)-7))</f>
        <v>212</v>
      </c>
    </row>
    <row r="2439" spans="1:4">
      <c r="A2439" s="23" t="s">
        <v>558</v>
      </c>
      <c r="B2439" t="s">
        <v>545</v>
      </c>
      <c r="C2439" t="s">
        <v>1152</v>
      </c>
      <c r="D2439" s="29">
        <f>VALUE(LEFT(C2439,LEN(C2439)-3))</f>
        <v>171.4</v>
      </c>
    </row>
    <row r="2440" spans="1:4">
      <c r="A2440" s="23" t="s">
        <v>560</v>
      </c>
      <c r="B2440" t="s">
        <v>545</v>
      </c>
      <c r="C2440" t="s">
        <v>1153</v>
      </c>
      <c r="D2440" s="29">
        <f>VALUE(LEFT(C2440,LEN(C2440)-3))</f>
        <v>414.8</v>
      </c>
    </row>
    <row r="2441" spans="1:4">
      <c r="A2441" s="23" t="s">
        <v>562</v>
      </c>
      <c r="B2441" t="s">
        <v>545</v>
      </c>
      <c r="C2441" t="s">
        <v>685</v>
      </c>
      <c r="D2441" s="29">
        <f>VALUE(LEFT(C2441,LEN(C2441)-3))</f>
        <v>2</v>
      </c>
    </row>
    <row r="2443" spans="1:4">
      <c r="A2443" s="23" t="s">
        <v>544</v>
      </c>
      <c r="B2443" t="s">
        <v>545</v>
      </c>
      <c r="C2443" t="s">
        <v>1082</v>
      </c>
      <c r="D2443" s="29">
        <f>VALUE(LEFT(C2443,LEN(C2443)-2))</f>
        <v>11.8</v>
      </c>
    </row>
    <row r="2444" spans="1:4">
      <c r="A2444" s="23" t="s">
        <v>547</v>
      </c>
      <c r="B2444" t="s">
        <v>545</v>
      </c>
      <c r="C2444" s="24">
        <v>0.71</v>
      </c>
      <c r="D2444" s="27">
        <f>VALUE(C2444*100)</f>
        <v>71</v>
      </c>
    </row>
    <row r="2445" spans="1:4">
      <c r="A2445" s="23" t="s">
        <v>548</v>
      </c>
      <c r="B2445" t="s">
        <v>545</v>
      </c>
      <c r="C2445" t="s">
        <v>1154</v>
      </c>
      <c r="D2445" s="29">
        <f>VALUE(LEFT(C2445,LEN(C2445)-2))</f>
        <v>6</v>
      </c>
    </row>
    <row r="2446" spans="1:4">
      <c r="A2446" s="23" t="s">
        <v>550</v>
      </c>
      <c r="B2446" t="s">
        <v>545</v>
      </c>
      <c r="C2446" t="s">
        <v>1155</v>
      </c>
      <c r="D2446" s="28">
        <f>VALUE(LEFT(C2446,LEN(C2446)-4))</f>
        <v>1010.6</v>
      </c>
    </row>
    <row r="2447" spans="1:4">
      <c r="A2447" s="23" t="s">
        <v>552</v>
      </c>
      <c r="B2447" t="s">
        <v>545</v>
      </c>
      <c r="C2447" t="s">
        <v>1156</v>
      </c>
      <c r="D2447" s="29">
        <f>VALUE(LEFT(C2447,LEN(C2447)-FIND("km/h",C2447)+1)/3.6)</f>
        <v>3</v>
      </c>
    </row>
    <row r="2448" spans="1:4">
      <c r="A2448" s="23" t="s">
        <v>554</v>
      </c>
      <c r="B2448" t="s">
        <v>545</v>
      </c>
      <c r="C2448" t="s">
        <v>1085</v>
      </c>
      <c r="D2448" s="29">
        <f>VALUE(LEFT(C2448,LEN(C2448)-FIND("km/h",C2448)+1)/3.6)</f>
        <v>4.1944444444444446</v>
      </c>
    </row>
    <row r="2449" spans="1:4">
      <c r="A2449" s="23" t="s">
        <v>556</v>
      </c>
      <c r="B2449" t="s">
        <v>545</v>
      </c>
      <c r="C2449" t="s">
        <v>1135</v>
      </c>
      <c r="D2449" s="26">
        <f>VALUE(LEFT(C2449,LEN(C2449)-7))</f>
        <v>154</v>
      </c>
    </row>
    <row r="2450" spans="1:4">
      <c r="A2450" s="23" t="s">
        <v>558</v>
      </c>
      <c r="B2450" t="s">
        <v>545</v>
      </c>
      <c r="C2450" t="s">
        <v>1157</v>
      </c>
      <c r="D2450" s="29">
        <f>VALUE(LEFT(C2450,LEN(C2450)-3))</f>
        <v>176.4</v>
      </c>
    </row>
    <row r="2451" spans="1:4">
      <c r="A2451" s="23" t="s">
        <v>560</v>
      </c>
      <c r="B2451" t="s">
        <v>545</v>
      </c>
      <c r="C2451" t="s">
        <v>1158</v>
      </c>
      <c r="D2451" s="29">
        <f>VALUE(LEFT(C2451,LEN(C2451)-3))</f>
        <v>419.8</v>
      </c>
    </row>
    <row r="2452" spans="1:4">
      <c r="A2452" s="23" t="s">
        <v>562</v>
      </c>
      <c r="B2452" t="s">
        <v>545</v>
      </c>
      <c r="C2452" t="s">
        <v>677</v>
      </c>
      <c r="D2452" s="29">
        <f>VALUE(LEFT(C2452,LEN(C2452)-3))</f>
        <v>5</v>
      </c>
    </row>
    <row r="2454" spans="1:4">
      <c r="A2454" s="23" t="s">
        <v>544</v>
      </c>
      <c r="B2454" t="s">
        <v>545</v>
      </c>
      <c r="C2454" t="s">
        <v>689</v>
      </c>
      <c r="D2454" s="29">
        <f>VALUE(LEFT(C2454,LEN(C2454)-2))</f>
        <v>10.7</v>
      </c>
    </row>
    <row r="2455" spans="1:4">
      <c r="A2455" s="23" t="s">
        <v>547</v>
      </c>
      <c r="B2455" t="s">
        <v>545</v>
      </c>
      <c r="C2455" s="24">
        <v>0.78</v>
      </c>
      <c r="D2455" s="27">
        <f>VALUE(C2455*100)</f>
        <v>78</v>
      </c>
    </row>
    <row r="2456" spans="1:4">
      <c r="A2456" s="23" t="s">
        <v>548</v>
      </c>
      <c r="B2456" t="s">
        <v>545</v>
      </c>
      <c r="C2456" t="s">
        <v>852</v>
      </c>
      <c r="D2456" s="29">
        <f>VALUE(LEFT(C2456,LEN(C2456)-2))</f>
        <v>6.7</v>
      </c>
    </row>
    <row r="2457" spans="1:4">
      <c r="A2457" s="23" t="s">
        <v>550</v>
      </c>
      <c r="B2457" t="s">
        <v>545</v>
      </c>
      <c r="C2457" t="s">
        <v>883</v>
      </c>
      <c r="D2457" s="28">
        <f>VALUE(LEFT(C2457,LEN(C2457)-4))</f>
        <v>1013.7</v>
      </c>
    </row>
    <row r="2458" spans="1:4">
      <c r="A2458" s="23" t="s">
        <v>552</v>
      </c>
      <c r="B2458" t="s">
        <v>545</v>
      </c>
      <c r="C2458" t="s">
        <v>655</v>
      </c>
      <c r="D2458" s="29">
        <f>VALUE(LEFT(C2458,LEN(C2458)-FIND("km/h",C2458)+1)/3.6)</f>
        <v>1.8611111111111112</v>
      </c>
    </row>
    <row r="2459" spans="1:4">
      <c r="A2459" s="23" t="s">
        <v>554</v>
      </c>
      <c r="B2459" t="s">
        <v>545</v>
      </c>
      <c r="C2459" t="s">
        <v>911</v>
      </c>
      <c r="D2459" s="29">
        <f>VALUE(LEFT(C2459,LEN(C2459)-FIND("km/h",C2459)+1)/3.6)</f>
        <v>2.7777777777777777</v>
      </c>
    </row>
    <row r="2460" spans="1:4">
      <c r="A2460" s="23" t="s">
        <v>556</v>
      </c>
      <c r="B2460" t="s">
        <v>545</v>
      </c>
      <c r="C2460" t="s">
        <v>1159</v>
      </c>
      <c r="D2460" s="26">
        <f>VALUE(LEFT(C2460,LEN(C2460)-7))</f>
        <v>248</v>
      </c>
    </row>
    <row r="2461" spans="1:4">
      <c r="A2461" s="23" t="s">
        <v>558</v>
      </c>
      <c r="B2461" t="s">
        <v>545</v>
      </c>
      <c r="C2461" t="s">
        <v>1160</v>
      </c>
      <c r="D2461" s="29">
        <f>VALUE(LEFT(C2461,LEN(C2461)-3))</f>
        <v>188.7</v>
      </c>
    </row>
    <row r="2462" spans="1:4">
      <c r="A2462" s="23" t="s">
        <v>560</v>
      </c>
      <c r="B2462" t="s">
        <v>545</v>
      </c>
      <c r="C2462" t="s">
        <v>1161</v>
      </c>
      <c r="D2462" s="29">
        <f>VALUE(LEFT(C2462,LEN(C2462)-3))</f>
        <v>432.1</v>
      </c>
    </row>
    <row r="2463" spans="1:4">
      <c r="A2463" s="23" t="s">
        <v>562</v>
      </c>
      <c r="B2463" t="s">
        <v>545</v>
      </c>
      <c r="C2463" t="s">
        <v>1162</v>
      </c>
      <c r="D2463" s="29">
        <f>VALUE(LEFT(C2463,LEN(C2463)-3))</f>
        <v>12.3</v>
      </c>
    </row>
    <row r="2465" spans="1:4">
      <c r="A2465" s="23" t="s">
        <v>544</v>
      </c>
      <c r="B2465" t="s">
        <v>545</v>
      </c>
      <c r="C2465" t="s">
        <v>549</v>
      </c>
      <c r="D2465" s="29">
        <f>VALUE(LEFT(C2465,LEN(C2465)-2))</f>
        <v>12.5</v>
      </c>
    </row>
    <row r="2466" spans="1:4">
      <c r="A2466" s="23" t="s">
        <v>547</v>
      </c>
      <c r="B2466" t="s">
        <v>545</v>
      </c>
      <c r="C2466" s="24">
        <v>0.8</v>
      </c>
      <c r="D2466" s="27">
        <f>VALUE(C2466*100)</f>
        <v>80</v>
      </c>
    </row>
    <row r="2467" spans="1:4">
      <c r="A2467" s="23" t="s">
        <v>548</v>
      </c>
      <c r="B2467" t="s">
        <v>545</v>
      </c>
      <c r="C2467" t="s">
        <v>663</v>
      </c>
      <c r="D2467" s="29">
        <f>VALUE(LEFT(C2467,LEN(C2467)-2))</f>
        <v>8.9</v>
      </c>
    </row>
    <row r="2468" spans="1:4">
      <c r="A2468" s="23" t="s">
        <v>550</v>
      </c>
      <c r="B2468" t="s">
        <v>545</v>
      </c>
      <c r="C2468" t="s">
        <v>1163</v>
      </c>
      <c r="D2468" s="28">
        <f>VALUE(LEFT(C2468,LEN(C2468)-4))</f>
        <v>1019.7</v>
      </c>
    </row>
    <row r="2469" spans="1:4">
      <c r="A2469" s="23" t="s">
        <v>552</v>
      </c>
      <c r="B2469" t="s">
        <v>545</v>
      </c>
      <c r="C2469" t="s">
        <v>953</v>
      </c>
      <c r="D2469" s="29">
        <f>VALUE(LEFT(C2469,LEN(C2469)-FIND("km/h",C2469)+1)/3.6)</f>
        <v>2.1666666666666665</v>
      </c>
    </row>
    <row r="2470" spans="1:4">
      <c r="A2470" s="23" t="s">
        <v>554</v>
      </c>
      <c r="B2470" t="s">
        <v>545</v>
      </c>
      <c r="C2470" t="s">
        <v>567</v>
      </c>
      <c r="D2470" s="29">
        <f>VALUE(LEFT(C2470,LEN(C2470)-FIND("km/h",C2470)+1)/3.6)</f>
        <v>3.1111111111111107</v>
      </c>
    </row>
    <row r="2471" spans="1:4">
      <c r="A2471" s="23" t="s">
        <v>556</v>
      </c>
      <c r="B2471" t="s">
        <v>545</v>
      </c>
      <c r="C2471" t="s">
        <v>929</v>
      </c>
      <c r="D2471" s="26">
        <f>VALUE(LEFT(C2471,LEN(C2471)-7))</f>
        <v>242</v>
      </c>
    </row>
    <row r="2472" spans="1:4">
      <c r="A2472" s="23" t="s">
        <v>558</v>
      </c>
      <c r="B2472" t="s">
        <v>545</v>
      </c>
      <c r="C2472" t="s">
        <v>1164</v>
      </c>
      <c r="D2472" s="29">
        <f>VALUE(LEFT(C2472,LEN(C2472)-3))</f>
        <v>189.7</v>
      </c>
    </row>
    <row r="2473" spans="1:4">
      <c r="A2473" s="23" t="s">
        <v>560</v>
      </c>
      <c r="B2473" t="s">
        <v>545</v>
      </c>
      <c r="C2473" t="s">
        <v>1165</v>
      </c>
      <c r="D2473" s="29">
        <f>VALUE(LEFT(C2473,LEN(C2473)-3))</f>
        <v>433.1</v>
      </c>
    </row>
    <row r="2474" spans="1:4">
      <c r="A2474" s="23" t="s">
        <v>562</v>
      </c>
      <c r="B2474" t="s">
        <v>545</v>
      </c>
      <c r="C2474" t="s">
        <v>581</v>
      </c>
      <c r="D2474" s="29">
        <f>VALUE(LEFT(C2474,LEN(C2474)-3))</f>
        <v>1</v>
      </c>
    </row>
    <row r="2476" spans="1:4">
      <c r="A2476" s="23" t="s">
        <v>544</v>
      </c>
      <c r="B2476" t="s">
        <v>545</v>
      </c>
      <c r="C2476" t="s">
        <v>1082</v>
      </c>
      <c r="D2476" s="29">
        <f>VALUE(LEFT(C2476,LEN(C2476)-2))</f>
        <v>11.8</v>
      </c>
    </row>
    <row r="2477" spans="1:4">
      <c r="A2477" s="23" t="s">
        <v>547</v>
      </c>
      <c r="B2477" t="s">
        <v>545</v>
      </c>
      <c r="C2477" s="24">
        <v>0.71</v>
      </c>
      <c r="D2477" s="27">
        <f>VALUE(C2477*100)</f>
        <v>71</v>
      </c>
    </row>
    <row r="2478" spans="1:4">
      <c r="A2478" s="23" t="s">
        <v>548</v>
      </c>
      <c r="B2478" t="s">
        <v>545</v>
      </c>
      <c r="C2478" t="s">
        <v>921</v>
      </c>
      <c r="D2478" s="29">
        <f>VALUE(LEFT(C2478,LEN(C2478)-2))</f>
        <v>6.5</v>
      </c>
    </row>
    <row r="2479" spans="1:4">
      <c r="A2479" s="23" t="s">
        <v>550</v>
      </c>
      <c r="B2479" t="s">
        <v>545</v>
      </c>
      <c r="C2479" t="s">
        <v>1166</v>
      </c>
      <c r="D2479" s="28">
        <f>VALUE(LEFT(C2479,LEN(C2479)-4))</f>
        <v>1026.0999999999999</v>
      </c>
    </row>
    <row r="2480" spans="1:4">
      <c r="A2480" s="23" t="s">
        <v>552</v>
      </c>
      <c r="B2480" t="s">
        <v>545</v>
      </c>
      <c r="C2480" t="s">
        <v>1167</v>
      </c>
      <c r="D2480" s="29">
        <f>VALUE(LEFT(C2480,LEN(C2480)-FIND("km/h",C2480)+1)/3.6)</f>
        <v>1.25</v>
      </c>
    </row>
    <row r="2481" spans="1:4">
      <c r="A2481" s="23" t="s">
        <v>554</v>
      </c>
      <c r="B2481" t="s">
        <v>545</v>
      </c>
      <c r="C2481" t="s">
        <v>1134</v>
      </c>
      <c r="D2481" s="29">
        <f>VALUE(LEFT(C2481,LEN(C2481)-FIND("km/h",C2481)+1)/3.6)</f>
        <v>2</v>
      </c>
    </row>
    <row r="2482" spans="1:4">
      <c r="A2482" s="23" t="s">
        <v>556</v>
      </c>
      <c r="B2482" t="s">
        <v>545</v>
      </c>
      <c r="C2482" t="s">
        <v>835</v>
      </c>
      <c r="D2482" s="26">
        <f>VALUE(LEFT(C2482,LEN(C2482)-7))</f>
        <v>292</v>
      </c>
    </row>
    <row r="2483" spans="1:4">
      <c r="A2483" s="23" t="s">
        <v>558</v>
      </c>
      <c r="B2483" t="s">
        <v>545</v>
      </c>
      <c r="C2483" t="s">
        <v>1164</v>
      </c>
      <c r="D2483" s="29">
        <f>VALUE(LEFT(C2483,LEN(C2483)-3))</f>
        <v>189.7</v>
      </c>
    </row>
    <row r="2484" spans="1:4">
      <c r="A2484" s="23" t="s">
        <v>560</v>
      </c>
      <c r="B2484" t="s">
        <v>545</v>
      </c>
      <c r="C2484" t="s">
        <v>1165</v>
      </c>
      <c r="D2484" s="29">
        <f>VALUE(LEFT(C2484,LEN(C2484)-3))</f>
        <v>433.1</v>
      </c>
    </row>
    <row r="2485" spans="1:4">
      <c r="A2485" s="23" t="s">
        <v>562</v>
      </c>
      <c r="B2485" t="s">
        <v>545</v>
      </c>
      <c r="C2485" t="s">
        <v>604</v>
      </c>
      <c r="D2485" s="29">
        <f>VALUE(LEFT(C2485,LEN(C2485)-3))</f>
        <v>0</v>
      </c>
    </row>
    <row r="2487" spans="1:4">
      <c r="A2487" s="23" t="s">
        <v>544</v>
      </c>
      <c r="B2487" t="s">
        <v>545</v>
      </c>
      <c r="C2487" t="s">
        <v>1168</v>
      </c>
      <c r="D2487" s="29">
        <f>VALUE(LEFT(C2487,LEN(C2487)-2))</f>
        <v>11.9</v>
      </c>
    </row>
    <row r="2488" spans="1:4">
      <c r="A2488" s="23" t="s">
        <v>547</v>
      </c>
      <c r="B2488" t="s">
        <v>545</v>
      </c>
      <c r="C2488" s="24">
        <v>0.94</v>
      </c>
      <c r="D2488" s="27">
        <f>VALUE(C2488*100)</f>
        <v>94</v>
      </c>
    </row>
    <row r="2489" spans="1:4">
      <c r="A2489" s="23" t="s">
        <v>548</v>
      </c>
      <c r="B2489" t="s">
        <v>545</v>
      </c>
      <c r="C2489" t="s">
        <v>730</v>
      </c>
      <c r="D2489" s="29">
        <f>VALUE(LEFT(C2489,LEN(C2489)-2))</f>
        <v>11</v>
      </c>
    </row>
    <row r="2490" spans="1:4">
      <c r="A2490" s="23" t="s">
        <v>550</v>
      </c>
      <c r="B2490" t="s">
        <v>545</v>
      </c>
      <c r="C2490" t="s">
        <v>1169</v>
      </c>
      <c r="D2490" s="28">
        <f>VALUE(LEFT(C2490,LEN(C2490)-4))</f>
        <v>1027.5999999999999</v>
      </c>
    </row>
    <row r="2491" spans="1:4">
      <c r="A2491" s="23" t="s">
        <v>552</v>
      </c>
      <c r="B2491" t="s">
        <v>545</v>
      </c>
      <c r="C2491" t="s">
        <v>1008</v>
      </c>
      <c r="D2491" s="29">
        <f>VALUE(LEFT(C2491,LEN(C2491)-FIND("km/h",C2491)+1)/3.6)</f>
        <v>1.0277777777777779</v>
      </c>
    </row>
    <row r="2492" spans="1:4">
      <c r="A2492" s="23" t="s">
        <v>554</v>
      </c>
      <c r="B2492" t="s">
        <v>545</v>
      </c>
      <c r="C2492" t="s">
        <v>646</v>
      </c>
      <c r="D2492" s="29">
        <f>VALUE(LEFT(C2492,LEN(C2492)-FIND("km/h",C2492)+1)/3.6)</f>
        <v>1.5833333333333333</v>
      </c>
    </row>
    <row r="2493" spans="1:4">
      <c r="A2493" s="23" t="s">
        <v>556</v>
      </c>
      <c r="B2493" t="s">
        <v>545</v>
      </c>
      <c r="C2493" t="s">
        <v>771</v>
      </c>
      <c r="D2493" s="26">
        <f>VALUE(LEFT(C2493,LEN(C2493)-7))</f>
        <v>233</v>
      </c>
    </row>
    <row r="2494" spans="1:4">
      <c r="A2494" s="23" t="s">
        <v>558</v>
      </c>
      <c r="B2494" t="s">
        <v>545</v>
      </c>
      <c r="C2494" t="s">
        <v>1170</v>
      </c>
      <c r="D2494" s="29">
        <f>VALUE(LEFT(C2494,LEN(C2494)-3))</f>
        <v>192.7</v>
      </c>
    </row>
    <row r="2495" spans="1:4">
      <c r="A2495" s="23" t="s">
        <v>560</v>
      </c>
      <c r="B2495" t="s">
        <v>545</v>
      </c>
      <c r="C2495" t="s">
        <v>1171</v>
      </c>
      <c r="D2495" s="29">
        <f>VALUE(LEFT(C2495,LEN(C2495)-3))</f>
        <v>436.1</v>
      </c>
    </row>
    <row r="2496" spans="1:4">
      <c r="A2496" s="23" t="s">
        <v>562</v>
      </c>
      <c r="B2496" t="s">
        <v>545</v>
      </c>
      <c r="C2496" t="s">
        <v>597</v>
      </c>
      <c r="D2496" s="29">
        <f>VALUE(LEFT(C2496,LEN(C2496)-3))</f>
        <v>3</v>
      </c>
    </row>
    <row r="2498" spans="1:4">
      <c r="A2498" s="23" t="s">
        <v>544</v>
      </c>
      <c r="B2498" t="s">
        <v>545</v>
      </c>
      <c r="C2498" t="s">
        <v>978</v>
      </c>
      <c r="D2498" s="29">
        <f>VALUE(LEFT(C2498,LEN(C2498)-2))</f>
        <v>11.7</v>
      </c>
    </row>
    <row r="2499" spans="1:4">
      <c r="A2499" s="23" t="s">
        <v>547</v>
      </c>
      <c r="B2499" t="s">
        <v>545</v>
      </c>
      <c r="C2499" s="24">
        <v>0.87</v>
      </c>
      <c r="D2499" s="27">
        <f>VALUE(C2499*100)</f>
        <v>87</v>
      </c>
    </row>
    <row r="2500" spans="1:4">
      <c r="A2500" s="23" t="s">
        <v>548</v>
      </c>
      <c r="B2500" t="s">
        <v>545</v>
      </c>
      <c r="C2500" t="s">
        <v>961</v>
      </c>
      <c r="D2500" s="29">
        <f>VALUE(LEFT(C2500,LEN(C2500)-2))</f>
        <v>9.5</v>
      </c>
    </row>
    <row r="2501" spans="1:4">
      <c r="A2501" s="23" t="s">
        <v>550</v>
      </c>
      <c r="B2501" t="s">
        <v>545</v>
      </c>
      <c r="C2501" t="s">
        <v>1172</v>
      </c>
      <c r="D2501" s="28">
        <f>VALUE(LEFT(C2501,LEN(C2501)-4))</f>
        <v>1024.0999999999999</v>
      </c>
    </row>
    <row r="2502" spans="1:4">
      <c r="A2502" s="23" t="s">
        <v>552</v>
      </c>
      <c r="B2502" t="s">
        <v>545</v>
      </c>
      <c r="C2502" t="s">
        <v>673</v>
      </c>
      <c r="D2502" s="29">
        <f>VALUE(LEFT(C2502,LEN(C2502)-FIND("km/h",C2502)+1)/3.6)</f>
        <v>1.3055555555555556</v>
      </c>
    </row>
    <row r="2503" spans="1:4">
      <c r="A2503" s="23" t="s">
        <v>554</v>
      </c>
      <c r="B2503" t="s">
        <v>545</v>
      </c>
      <c r="C2503" t="s">
        <v>770</v>
      </c>
      <c r="D2503" s="29">
        <f>VALUE(LEFT(C2503,LEN(C2503)-FIND("km/h",C2503)+1)/3.6)</f>
        <v>2.0277777777777777</v>
      </c>
    </row>
    <row r="2504" spans="1:4">
      <c r="A2504" s="23" t="s">
        <v>556</v>
      </c>
      <c r="B2504" t="s">
        <v>545</v>
      </c>
      <c r="C2504" t="s">
        <v>670</v>
      </c>
      <c r="D2504" s="26">
        <f>VALUE(LEFT(C2504,LEN(C2504)-7))</f>
        <v>276</v>
      </c>
    </row>
    <row r="2505" spans="1:4">
      <c r="A2505" s="23" t="s">
        <v>558</v>
      </c>
      <c r="B2505" t="s">
        <v>545</v>
      </c>
      <c r="C2505" t="s">
        <v>1170</v>
      </c>
      <c r="D2505" s="29">
        <f>VALUE(LEFT(C2505,LEN(C2505)-3))</f>
        <v>192.7</v>
      </c>
    </row>
    <row r="2506" spans="1:4">
      <c r="A2506" s="23" t="s">
        <v>560</v>
      </c>
      <c r="B2506" t="s">
        <v>545</v>
      </c>
      <c r="C2506" t="s">
        <v>1171</v>
      </c>
      <c r="D2506" s="29">
        <f>VALUE(LEFT(C2506,LEN(C2506)-3))</f>
        <v>436.1</v>
      </c>
    </row>
    <row r="2507" spans="1:4">
      <c r="A2507" s="23" t="s">
        <v>562</v>
      </c>
      <c r="B2507" t="s">
        <v>545</v>
      </c>
      <c r="C2507" t="s">
        <v>604</v>
      </c>
      <c r="D2507" s="29">
        <f>VALUE(LEFT(C2507,LEN(C2507)-3))</f>
        <v>0</v>
      </c>
    </row>
    <row r="2508" spans="1:4">
      <c r="D2508" s="30"/>
    </row>
    <row r="2509" spans="1:4">
      <c r="A2509" s="23" t="s">
        <v>544</v>
      </c>
      <c r="B2509" t="s">
        <v>545</v>
      </c>
      <c r="C2509" t="s">
        <v>546</v>
      </c>
      <c r="D2509" s="29">
        <f>VALUE(LEFT(C2509,LEN(C2509)-2))</f>
        <v>12.9</v>
      </c>
    </row>
    <row r="2510" spans="1:4">
      <c r="A2510" s="23" t="s">
        <v>547</v>
      </c>
      <c r="B2510" t="s">
        <v>545</v>
      </c>
      <c r="C2510" s="24">
        <v>0.97</v>
      </c>
      <c r="D2510" s="27">
        <f>VALUE(C2510*100)</f>
        <v>97</v>
      </c>
    </row>
    <row r="2511" spans="1:4">
      <c r="A2511" s="23" t="s">
        <v>548</v>
      </c>
      <c r="B2511" t="s">
        <v>545</v>
      </c>
      <c r="C2511" t="s">
        <v>549</v>
      </c>
      <c r="D2511" s="29">
        <f>VALUE(LEFT(C2511,LEN(C2511)-2))</f>
        <v>12.5</v>
      </c>
    </row>
    <row r="2512" spans="1:4">
      <c r="A2512" s="23" t="s">
        <v>550</v>
      </c>
      <c r="B2512" t="s">
        <v>545</v>
      </c>
      <c r="C2512" t="s">
        <v>551</v>
      </c>
      <c r="D2512" s="28">
        <f>VALUE(LEFT(C2512,LEN(C2512)-4))</f>
        <v>1012.4</v>
      </c>
    </row>
    <row r="2513" spans="1:4">
      <c r="A2513" s="23" t="s">
        <v>552</v>
      </c>
      <c r="B2513" t="s">
        <v>545</v>
      </c>
      <c r="C2513" t="s">
        <v>553</v>
      </c>
      <c r="D2513" s="29">
        <f>VALUE(LEFT(C2513,LEN(C2513)-FIND("km/h",C2513)+1)/3.6)</f>
        <v>3.9444444444444442</v>
      </c>
    </row>
    <row r="2514" spans="1:4">
      <c r="A2514" s="23" t="s">
        <v>554</v>
      </c>
      <c r="B2514" t="s">
        <v>545</v>
      </c>
      <c r="C2514" t="s">
        <v>555</v>
      </c>
      <c r="D2514" s="29">
        <f>VALUE(LEFT(C2514,LEN(C2514)-FIND("km/h",C2514)+1)/3.6)</f>
        <v>5.7222222222222223</v>
      </c>
    </row>
    <row r="2515" spans="1:4">
      <c r="A2515" s="23" t="s">
        <v>556</v>
      </c>
      <c r="B2515" t="s">
        <v>545</v>
      </c>
      <c r="C2515" t="s">
        <v>557</v>
      </c>
      <c r="D2515" s="26">
        <f>VALUE(LEFT(C2515,LEN(C2515)-7))</f>
        <v>260</v>
      </c>
    </row>
    <row r="2516" spans="1:4">
      <c r="A2516" s="23" t="s">
        <v>558</v>
      </c>
      <c r="B2516" t="s">
        <v>545</v>
      </c>
      <c r="C2516" t="s">
        <v>559</v>
      </c>
      <c r="D2516" s="29">
        <f>VALUE(LEFT(C2516,LEN(C2516)-3))</f>
        <v>8.3000000000000007</v>
      </c>
    </row>
    <row r="2517" spans="1:4">
      <c r="A2517" s="23" t="s">
        <v>560</v>
      </c>
      <c r="B2517" t="s">
        <v>545</v>
      </c>
      <c r="C2517" t="s">
        <v>561</v>
      </c>
      <c r="D2517" s="29">
        <f>VALUE(LEFT(C2517,LEN(C2517)-3))</f>
        <v>444.4</v>
      </c>
    </row>
    <row r="2518" spans="1:4">
      <c r="A2518" s="23" t="s">
        <v>562</v>
      </c>
      <c r="B2518" t="s">
        <v>545</v>
      </c>
      <c r="C2518" t="s">
        <v>559</v>
      </c>
      <c r="D2518" s="29">
        <f>VALUE(LEFT(C2518,LEN(C2518)-3))</f>
        <v>8.3000000000000007</v>
      </c>
    </row>
    <row r="2520" spans="1:4">
      <c r="A2520" s="23" t="s">
        <v>544</v>
      </c>
      <c r="B2520" t="s">
        <v>545</v>
      </c>
      <c r="C2520" t="s">
        <v>564</v>
      </c>
      <c r="D2520" s="29">
        <f>VALUE(LEFT(C2520,LEN(C2520)-2))</f>
        <v>12.7</v>
      </c>
    </row>
    <row r="2521" spans="1:4">
      <c r="A2521" s="23" t="s">
        <v>547</v>
      </c>
      <c r="B2521" t="s">
        <v>545</v>
      </c>
      <c r="C2521" s="24">
        <v>0.98</v>
      </c>
      <c r="D2521" s="27">
        <f>VALUE(C2521*100)</f>
        <v>98</v>
      </c>
    </row>
    <row r="2522" spans="1:4">
      <c r="A2522" s="23" t="s">
        <v>548</v>
      </c>
      <c r="B2522" t="s">
        <v>545</v>
      </c>
      <c r="C2522" t="s">
        <v>565</v>
      </c>
      <c r="D2522" s="29">
        <f>VALUE(LEFT(C2522,LEN(C2522)-2))</f>
        <v>12.4</v>
      </c>
    </row>
    <row r="2523" spans="1:4">
      <c r="A2523" s="23" t="s">
        <v>550</v>
      </c>
      <c r="B2523" t="s">
        <v>545</v>
      </c>
      <c r="C2523" t="s">
        <v>566</v>
      </c>
      <c r="D2523" s="28">
        <f>VALUE(LEFT(C2523,LEN(C2523)-4))</f>
        <v>1010.5</v>
      </c>
    </row>
    <row r="2524" spans="1:4">
      <c r="A2524" s="23" t="s">
        <v>552</v>
      </c>
      <c r="B2524" t="s">
        <v>545</v>
      </c>
      <c r="C2524" t="s">
        <v>567</v>
      </c>
      <c r="D2524" s="29">
        <f>VALUE(LEFT(C2524,LEN(C2524)-FIND("km/h",C2524)+1)/3.6)</f>
        <v>3.1111111111111107</v>
      </c>
    </row>
    <row r="2525" spans="1:4">
      <c r="A2525" s="23" t="s">
        <v>554</v>
      </c>
      <c r="B2525" t="s">
        <v>545</v>
      </c>
      <c r="C2525" t="s">
        <v>568</v>
      </c>
      <c r="D2525" s="29">
        <f>VALUE(LEFT(C2525,LEN(C2525)-FIND("km/h",C2525)+1)/3.6)</f>
        <v>4.6111111111111116</v>
      </c>
    </row>
    <row r="2526" spans="1:4">
      <c r="A2526" s="23" t="s">
        <v>556</v>
      </c>
      <c r="B2526" t="s">
        <v>545</v>
      </c>
      <c r="C2526" t="s">
        <v>569</v>
      </c>
      <c r="D2526" s="26">
        <f>VALUE(LEFT(C2526,LEN(C2526)-7))</f>
        <v>269</v>
      </c>
    </row>
    <row r="2527" spans="1:4">
      <c r="A2527" s="23" t="s">
        <v>558</v>
      </c>
      <c r="B2527" t="s">
        <v>545</v>
      </c>
      <c r="C2527" t="s">
        <v>570</v>
      </c>
      <c r="D2527" s="29">
        <f>VALUE(LEFT(C2527,LEN(C2527)-3))</f>
        <v>15.3</v>
      </c>
    </row>
    <row r="2528" spans="1:4">
      <c r="A2528" s="23" t="s">
        <v>560</v>
      </c>
      <c r="B2528" t="s">
        <v>545</v>
      </c>
      <c r="C2528" t="s">
        <v>571</v>
      </c>
      <c r="D2528" s="29">
        <f>VALUE(LEFT(C2528,LEN(C2528)-3))</f>
        <v>451.4</v>
      </c>
    </row>
    <row r="2529" spans="1:4">
      <c r="A2529" s="23" t="s">
        <v>562</v>
      </c>
      <c r="B2529" t="s">
        <v>545</v>
      </c>
      <c r="C2529" t="s">
        <v>572</v>
      </c>
      <c r="D2529" s="29">
        <f>VALUE(LEFT(C2529,LEN(C2529)-3))</f>
        <v>7</v>
      </c>
    </row>
    <row r="2531" spans="1:4">
      <c r="A2531" s="23" t="s">
        <v>544</v>
      </c>
      <c r="B2531" t="s">
        <v>545</v>
      </c>
      <c r="C2531" t="s">
        <v>573</v>
      </c>
      <c r="D2531" s="29">
        <f>VALUE(LEFT(C2531,LEN(C2531)-2))</f>
        <v>11.4</v>
      </c>
    </row>
    <row r="2532" spans="1:4">
      <c r="A2532" s="23" t="s">
        <v>547</v>
      </c>
      <c r="B2532" t="s">
        <v>545</v>
      </c>
      <c r="C2532" s="24">
        <v>0.7</v>
      </c>
      <c r="D2532" s="27">
        <f>VALUE(C2532*100)</f>
        <v>70</v>
      </c>
    </row>
    <row r="2533" spans="1:4">
      <c r="A2533" s="23" t="s">
        <v>548</v>
      </c>
      <c r="B2533" t="s">
        <v>545</v>
      </c>
      <c r="C2533" t="s">
        <v>574</v>
      </c>
      <c r="D2533" s="29">
        <f>VALUE(LEFT(C2533,LEN(C2533)-2))</f>
        <v>5.9</v>
      </c>
    </row>
    <row r="2534" spans="1:4">
      <c r="A2534" s="23" t="s">
        <v>550</v>
      </c>
      <c r="B2534" t="s">
        <v>545</v>
      </c>
      <c r="C2534" t="s">
        <v>575</v>
      </c>
      <c r="D2534" s="28">
        <f>VALUE(LEFT(C2534,LEN(C2534)-4))</f>
        <v>1015.3</v>
      </c>
    </row>
    <row r="2535" spans="1:4">
      <c r="A2535" s="23" t="s">
        <v>552</v>
      </c>
      <c r="B2535" t="s">
        <v>545</v>
      </c>
      <c r="C2535" t="s">
        <v>576</v>
      </c>
      <c r="D2535" s="29">
        <f>VALUE(LEFT(C2535,LEN(C2535)-FIND("km/h",C2535)+1)/3.6)</f>
        <v>2.9722222222222219</v>
      </c>
    </row>
    <row r="2536" spans="1:4">
      <c r="A2536" s="23" t="s">
        <v>554</v>
      </c>
      <c r="B2536" t="s">
        <v>545</v>
      </c>
      <c r="C2536" t="s">
        <v>577</v>
      </c>
      <c r="D2536" s="29">
        <f>VALUE(LEFT(C2536,LEN(C2536)-FIND("km/h",C2536)+1)/3.6)</f>
        <v>4.5</v>
      </c>
    </row>
    <row r="2537" spans="1:4">
      <c r="A2537" s="23" t="s">
        <v>556</v>
      </c>
      <c r="B2537" t="s">
        <v>545</v>
      </c>
      <c r="C2537" t="s">
        <v>578</v>
      </c>
      <c r="D2537" s="26">
        <f>VALUE(LEFT(C2537,LEN(C2537)-7))</f>
        <v>290</v>
      </c>
    </row>
    <row r="2538" spans="1:4">
      <c r="A2538" s="23" t="s">
        <v>558</v>
      </c>
      <c r="B2538" t="s">
        <v>545</v>
      </c>
      <c r="C2538" t="s">
        <v>579</v>
      </c>
      <c r="D2538" s="29">
        <f>VALUE(LEFT(C2538,LEN(C2538)-3))</f>
        <v>16.3</v>
      </c>
    </row>
    <row r="2539" spans="1:4">
      <c r="A2539" s="23" t="s">
        <v>560</v>
      </c>
      <c r="B2539" t="s">
        <v>545</v>
      </c>
      <c r="C2539" t="s">
        <v>580</v>
      </c>
      <c r="D2539" s="29">
        <f>VALUE(LEFT(C2539,LEN(C2539)-3))</f>
        <v>452.4</v>
      </c>
    </row>
    <row r="2540" spans="1:4">
      <c r="A2540" s="23" t="s">
        <v>562</v>
      </c>
      <c r="B2540" t="s">
        <v>545</v>
      </c>
      <c r="C2540" t="s">
        <v>581</v>
      </c>
      <c r="D2540" s="29">
        <f>VALUE(LEFT(C2540,LEN(C2540)-3))</f>
        <v>1</v>
      </c>
    </row>
    <row r="2542" spans="1:4">
      <c r="A2542" s="23" t="s">
        <v>544</v>
      </c>
      <c r="B2542" t="s">
        <v>545</v>
      </c>
      <c r="C2542" t="s">
        <v>573</v>
      </c>
      <c r="D2542" s="29">
        <f>VALUE(LEFT(C2542,LEN(C2542)-2))</f>
        <v>11.4</v>
      </c>
    </row>
    <row r="2543" spans="1:4">
      <c r="A2543" s="23" t="s">
        <v>547</v>
      </c>
      <c r="B2543" t="s">
        <v>545</v>
      </c>
      <c r="C2543" s="24">
        <v>0.8</v>
      </c>
      <c r="D2543" s="27">
        <f>VALUE(C2543*100)</f>
        <v>80</v>
      </c>
    </row>
    <row r="2544" spans="1:4">
      <c r="A2544" s="23" t="s">
        <v>548</v>
      </c>
      <c r="B2544" t="s">
        <v>545</v>
      </c>
      <c r="C2544" t="s">
        <v>582</v>
      </c>
      <c r="D2544" s="29">
        <f>VALUE(LEFT(C2544,LEN(C2544)-2))</f>
        <v>8</v>
      </c>
    </row>
    <row r="2545" spans="1:4">
      <c r="A2545" s="23" t="s">
        <v>550</v>
      </c>
      <c r="B2545" t="s">
        <v>545</v>
      </c>
      <c r="C2545" t="s">
        <v>583</v>
      </c>
      <c r="D2545" s="28">
        <f>VALUE(LEFT(C2545,LEN(C2545)-4))</f>
        <v>1018.9</v>
      </c>
    </row>
    <row r="2546" spans="1:4">
      <c r="A2546" s="23" t="s">
        <v>552</v>
      </c>
      <c r="B2546" t="s">
        <v>545</v>
      </c>
      <c r="C2546" t="s">
        <v>584</v>
      </c>
      <c r="D2546" s="29">
        <f>VALUE(LEFT(C2546,LEN(C2546)-FIND("km/h",C2546)+1)/3.6)</f>
        <v>1.9166666666666667</v>
      </c>
    </row>
    <row r="2547" spans="1:4">
      <c r="A2547" s="23" t="s">
        <v>554</v>
      </c>
      <c r="B2547" t="s">
        <v>545</v>
      </c>
      <c r="C2547" t="s">
        <v>585</v>
      </c>
      <c r="D2547" s="29">
        <f>VALUE(LEFT(C2547,LEN(C2547)-FIND("km/h",C2547)+1)/3.6)</f>
        <v>2.8888888888888888</v>
      </c>
    </row>
    <row r="2548" spans="1:4">
      <c r="A2548" s="23" t="s">
        <v>556</v>
      </c>
      <c r="B2548" t="s">
        <v>545</v>
      </c>
      <c r="C2548" t="s">
        <v>586</v>
      </c>
      <c r="D2548" s="26">
        <f>VALUE(LEFT(C2548,LEN(C2548)-7))</f>
        <v>261</v>
      </c>
    </row>
    <row r="2549" spans="1:4">
      <c r="A2549" s="23" t="s">
        <v>558</v>
      </c>
      <c r="B2549" t="s">
        <v>545</v>
      </c>
      <c r="C2549" t="s">
        <v>587</v>
      </c>
      <c r="D2549" s="29">
        <f>VALUE(LEFT(C2549,LEN(C2549)-3))</f>
        <v>20.3</v>
      </c>
    </row>
    <row r="2550" spans="1:4">
      <c r="A2550" s="23" t="s">
        <v>560</v>
      </c>
      <c r="B2550" t="s">
        <v>545</v>
      </c>
      <c r="C2550" t="s">
        <v>588</v>
      </c>
      <c r="D2550" s="29">
        <f>VALUE(LEFT(C2550,LEN(C2550)-3))</f>
        <v>456.4</v>
      </c>
    </row>
    <row r="2551" spans="1:4">
      <c r="A2551" s="23" t="s">
        <v>562</v>
      </c>
      <c r="B2551" t="s">
        <v>545</v>
      </c>
      <c r="C2551" t="s">
        <v>589</v>
      </c>
      <c r="D2551" s="29">
        <f>VALUE(LEFT(C2551,LEN(C2551)-3))</f>
        <v>4</v>
      </c>
    </row>
    <row r="2553" spans="1:4">
      <c r="A2553" s="23" t="s">
        <v>544</v>
      </c>
      <c r="B2553" t="s">
        <v>545</v>
      </c>
      <c r="C2553" t="s">
        <v>564</v>
      </c>
      <c r="D2553" s="29">
        <f>VALUE(LEFT(C2553,LEN(C2553)-2))</f>
        <v>12.7</v>
      </c>
    </row>
    <row r="2554" spans="1:4">
      <c r="A2554" s="23" t="s">
        <v>547</v>
      </c>
      <c r="B2554" t="s">
        <v>545</v>
      </c>
      <c r="C2554" s="24">
        <v>0.84</v>
      </c>
      <c r="D2554" s="27">
        <f>VALUE(C2554*100)</f>
        <v>84</v>
      </c>
    </row>
    <row r="2555" spans="1:4">
      <c r="A2555" s="23" t="s">
        <v>548</v>
      </c>
      <c r="B2555" t="s">
        <v>545</v>
      </c>
      <c r="C2555" t="s">
        <v>590</v>
      </c>
      <c r="D2555" s="29">
        <f>VALUE(LEFT(C2555,LEN(C2555)-2))</f>
        <v>9.6999999999999993</v>
      </c>
    </row>
    <row r="2556" spans="1:4">
      <c r="A2556" s="23" t="s">
        <v>550</v>
      </c>
      <c r="B2556" t="s">
        <v>545</v>
      </c>
      <c r="C2556" t="s">
        <v>591</v>
      </c>
      <c r="D2556" s="28">
        <f>VALUE(LEFT(C2556,LEN(C2556)-4))</f>
        <v>1018.7</v>
      </c>
    </row>
    <row r="2557" spans="1:4">
      <c r="A2557" s="23" t="s">
        <v>552</v>
      </c>
      <c r="B2557" t="s">
        <v>545</v>
      </c>
      <c r="C2557" t="s">
        <v>592</v>
      </c>
      <c r="D2557" s="29">
        <f>VALUE(LEFT(C2557,LEN(C2557)-FIND("km/h",C2557)+1)/3.6)</f>
        <v>2.7222222222222223</v>
      </c>
    </row>
    <row r="2558" spans="1:4">
      <c r="A2558" s="23" t="s">
        <v>554</v>
      </c>
      <c r="B2558" t="s">
        <v>545</v>
      </c>
      <c r="C2558" t="s">
        <v>593</v>
      </c>
      <c r="D2558" s="29">
        <f>VALUE(LEFT(C2558,LEN(C2558)-FIND("km/h",C2558)+1)/3.6)</f>
        <v>3.8333333333333335</v>
      </c>
    </row>
    <row r="2559" spans="1:4">
      <c r="A2559" s="23" t="s">
        <v>556</v>
      </c>
      <c r="B2559" t="s">
        <v>545</v>
      </c>
      <c r="C2559" t="s">
        <v>594</v>
      </c>
      <c r="D2559" s="26">
        <f>VALUE(LEFT(C2559,LEN(C2559)-7))</f>
        <v>326</v>
      </c>
    </row>
    <row r="2560" spans="1:4">
      <c r="A2560" s="23" t="s">
        <v>558</v>
      </c>
      <c r="B2560" t="s">
        <v>545</v>
      </c>
      <c r="C2560" t="s">
        <v>595</v>
      </c>
      <c r="D2560" s="29">
        <f>VALUE(LEFT(C2560,LEN(C2560)-3))</f>
        <v>23.3</v>
      </c>
    </row>
    <row r="2561" spans="1:4">
      <c r="A2561" s="23" t="s">
        <v>560</v>
      </c>
      <c r="B2561" t="s">
        <v>545</v>
      </c>
      <c r="C2561" t="s">
        <v>596</v>
      </c>
      <c r="D2561" s="29">
        <f>VALUE(LEFT(C2561,LEN(C2561)-3))</f>
        <v>459.4</v>
      </c>
    </row>
    <row r="2562" spans="1:4">
      <c r="A2562" s="23" t="s">
        <v>562</v>
      </c>
      <c r="B2562" t="s">
        <v>545</v>
      </c>
      <c r="C2562" t="s">
        <v>597</v>
      </c>
      <c r="D2562" s="29">
        <f>VALUE(LEFT(C2562,LEN(C2562)-3))</f>
        <v>3</v>
      </c>
    </row>
    <row r="2564" spans="1:4">
      <c r="A2564" s="23" t="s">
        <v>544</v>
      </c>
      <c r="B2564" t="s">
        <v>545</v>
      </c>
      <c r="C2564" t="s">
        <v>598</v>
      </c>
      <c r="D2564" s="29">
        <f>VALUE(LEFT(C2564,LEN(C2564)-2))</f>
        <v>13.4</v>
      </c>
    </row>
    <row r="2565" spans="1:4">
      <c r="A2565" s="23" t="s">
        <v>547</v>
      </c>
      <c r="B2565" t="s">
        <v>545</v>
      </c>
      <c r="C2565" s="24">
        <v>0.82</v>
      </c>
      <c r="D2565" s="27">
        <f>VALUE(C2565*100)</f>
        <v>82</v>
      </c>
    </row>
    <row r="2566" spans="1:4">
      <c r="A2566" s="23" t="s">
        <v>548</v>
      </c>
      <c r="B2566" t="s">
        <v>545</v>
      </c>
      <c r="C2566" t="s">
        <v>599</v>
      </c>
      <c r="D2566" s="29">
        <f>VALUE(LEFT(C2566,LEN(C2566)-2))</f>
        <v>10.199999999999999</v>
      </c>
    </row>
    <row r="2567" spans="1:4">
      <c r="A2567" s="23" t="s">
        <v>550</v>
      </c>
      <c r="B2567" t="s">
        <v>545</v>
      </c>
      <c r="C2567" t="s">
        <v>600</v>
      </c>
      <c r="D2567" s="28">
        <f>VALUE(LEFT(C2567,LEN(C2567)-4))</f>
        <v>1018.1</v>
      </c>
    </row>
    <row r="2568" spans="1:4">
      <c r="A2568" s="23" t="s">
        <v>552</v>
      </c>
      <c r="B2568" t="s">
        <v>545</v>
      </c>
      <c r="C2568" t="s">
        <v>601</v>
      </c>
      <c r="D2568" s="29">
        <f>VALUE(LEFT(C2568,LEN(C2568)-FIND("km/h",C2568)+1)/3.6)</f>
        <v>0.88888888888888895</v>
      </c>
    </row>
    <row r="2569" spans="1:4">
      <c r="A2569" s="23" t="s">
        <v>554</v>
      </c>
      <c r="B2569" t="s">
        <v>545</v>
      </c>
      <c r="C2569" t="s">
        <v>602</v>
      </c>
      <c r="D2569" s="29">
        <f>VALUE(LEFT(C2569,LEN(C2569)-FIND("km/h",C2569)+1)/3.6)</f>
        <v>1.4444444444444444</v>
      </c>
    </row>
    <row r="2570" spans="1:4">
      <c r="A2570" s="23" t="s">
        <v>556</v>
      </c>
      <c r="B2570" t="s">
        <v>545</v>
      </c>
      <c r="C2570" t="s">
        <v>603</v>
      </c>
      <c r="D2570" s="26">
        <f>VALUE(LEFT(C2570,LEN(C2570)-7))</f>
        <v>332</v>
      </c>
    </row>
    <row r="2571" spans="1:4">
      <c r="A2571" s="23" t="s">
        <v>558</v>
      </c>
      <c r="B2571" t="s">
        <v>545</v>
      </c>
      <c r="C2571" t="s">
        <v>595</v>
      </c>
      <c r="D2571" s="29">
        <f>VALUE(LEFT(C2571,LEN(C2571)-3))</f>
        <v>23.3</v>
      </c>
    </row>
    <row r="2572" spans="1:4">
      <c r="A2572" s="23" t="s">
        <v>560</v>
      </c>
      <c r="B2572" t="s">
        <v>545</v>
      </c>
      <c r="C2572" t="s">
        <v>596</v>
      </c>
      <c r="D2572" s="29">
        <f>VALUE(LEFT(C2572,LEN(C2572)-3))</f>
        <v>459.4</v>
      </c>
    </row>
    <row r="2573" spans="1:4">
      <c r="A2573" s="23" t="s">
        <v>562</v>
      </c>
      <c r="B2573" t="s">
        <v>545</v>
      </c>
      <c r="C2573" t="s">
        <v>604</v>
      </c>
      <c r="D2573" s="29">
        <f>VALUE(LEFT(C2573,LEN(C2573)-3))</f>
        <v>0</v>
      </c>
    </row>
    <row r="2575" spans="1:4">
      <c r="A2575" s="23" t="s">
        <v>544</v>
      </c>
      <c r="B2575" t="s">
        <v>545</v>
      </c>
      <c r="C2575" t="s">
        <v>605</v>
      </c>
      <c r="D2575" s="29">
        <f>VALUE(LEFT(C2575,LEN(C2575)-2))</f>
        <v>14.5</v>
      </c>
    </row>
    <row r="2576" spans="1:4">
      <c r="A2576" s="23" t="s">
        <v>547</v>
      </c>
      <c r="B2576" t="s">
        <v>545</v>
      </c>
      <c r="C2576" s="24">
        <v>0.77</v>
      </c>
      <c r="D2576" s="27">
        <f>VALUE(C2576*100)</f>
        <v>77</v>
      </c>
    </row>
    <row r="2577" spans="1:4">
      <c r="A2577" s="23" t="s">
        <v>548</v>
      </c>
      <c r="B2577" t="s">
        <v>545</v>
      </c>
      <c r="C2577" t="s">
        <v>606</v>
      </c>
      <c r="D2577" s="29">
        <f>VALUE(LEFT(C2577,LEN(C2577)-2))</f>
        <v>9.8000000000000007</v>
      </c>
    </row>
    <row r="2578" spans="1:4">
      <c r="A2578" s="23" t="s">
        <v>550</v>
      </c>
      <c r="B2578" t="s">
        <v>545</v>
      </c>
      <c r="C2578" t="s">
        <v>607</v>
      </c>
      <c r="D2578" s="28">
        <f>VALUE(LEFT(C2578,LEN(C2578)-4))</f>
        <v>1017.7</v>
      </c>
    </row>
    <row r="2579" spans="1:4">
      <c r="A2579" s="23" t="s">
        <v>552</v>
      </c>
      <c r="B2579" t="s">
        <v>545</v>
      </c>
      <c r="C2579" t="s">
        <v>608</v>
      </c>
      <c r="D2579" s="29">
        <f>VALUE(LEFT(C2579,LEN(C2579)-FIND("km/h",C2579)+1)/3.6)</f>
        <v>0.94444444444444442</v>
      </c>
    </row>
    <row r="2580" spans="1:4">
      <c r="A2580" s="23" t="s">
        <v>554</v>
      </c>
      <c r="B2580" t="s">
        <v>545</v>
      </c>
      <c r="C2580" t="s">
        <v>609</v>
      </c>
      <c r="D2580" s="29">
        <f>VALUE(LEFT(C2580,LEN(C2580)-FIND("km/h",C2580)+1)/3.6)</f>
        <v>1.5277777777777777</v>
      </c>
    </row>
    <row r="2581" spans="1:4">
      <c r="A2581" s="23" t="s">
        <v>556</v>
      </c>
      <c r="B2581" t="s">
        <v>545</v>
      </c>
      <c r="C2581" t="s">
        <v>610</v>
      </c>
      <c r="D2581" s="26">
        <f>VALUE(LEFT(C2581,LEN(C2581)-7))</f>
        <v>44</v>
      </c>
    </row>
    <row r="2582" spans="1:4">
      <c r="A2582" s="23" t="s">
        <v>558</v>
      </c>
      <c r="B2582" t="s">
        <v>545</v>
      </c>
      <c r="C2582" t="s">
        <v>595</v>
      </c>
      <c r="D2582" s="29">
        <f>VALUE(LEFT(C2582,LEN(C2582)-3))</f>
        <v>23.3</v>
      </c>
    </row>
    <row r="2583" spans="1:4">
      <c r="A2583" s="23" t="s">
        <v>560</v>
      </c>
      <c r="B2583" t="s">
        <v>545</v>
      </c>
      <c r="C2583" t="s">
        <v>596</v>
      </c>
      <c r="D2583" s="29">
        <f>VALUE(LEFT(C2583,LEN(C2583)-3))</f>
        <v>459.4</v>
      </c>
    </row>
    <row r="2584" spans="1:4">
      <c r="A2584" s="23" t="s">
        <v>562</v>
      </c>
      <c r="B2584" t="s">
        <v>545</v>
      </c>
      <c r="C2584" t="s">
        <v>604</v>
      </c>
      <c r="D2584" s="29">
        <f>VALUE(LEFT(C2584,LEN(C2584)-3))</f>
        <v>0</v>
      </c>
    </row>
    <row r="2586" spans="1:4">
      <c r="A2586" s="23" t="s">
        <v>544</v>
      </c>
      <c r="B2586" t="s">
        <v>545</v>
      </c>
      <c r="C2586" t="s">
        <v>611</v>
      </c>
      <c r="D2586" s="29">
        <f>VALUE(LEFT(C2586,LEN(C2586)-2))</f>
        <v>17.100000000000001</v>
      </c>
    </row>
    <row r="2587" spans="1:4">
      <c r="A2587" s="23" t="s">
        <v>547</v>
      </c>
      <c r="B2587" t="s">
        <v>545</v>
      </c>
      <c r="C2587" s="24">
        <v>0.54</v>
      </c>
      <c r="D2587" s="27">
        <f>VALUE(C2587*100)</f>
        <v>54</v>
      </c>
    </row>
    <row r="2588" spans="1:4">
      <c r="A2588" s="23" t="s">
        <v>548</v>
      </c>
      <c r="B2588" t="s">
        <v>545</v>
      </c>
      <c r="C2588" t="s">
        <v>612</v>
      </c>
      <c r="D2588" s="29">
        <f>VALUE(LEFT(C2588,LEN(C2588)-2))</f>
        <v>6.4</v>
      </c>
    </row>
    <row r="2589" spans="1:4">
      <c r="A2589" s="23" t="s">
        <v>550</v>
      </c>
      <c r="B2589" t="s">
        <v>545</v>
      </c>
      <c r="C2589" t="s">
        <v>613</v>
      </c>
      <c r="D2589" s="28">
        <f>VALUE(LEFT(C2589,LEN(C2589)-4))</f>
        <v>1014.9</v>
      </c>
    </row>
    <row r="2590" spans="1:4">
      <c r="A2590" s="23" t="s">
        <v>552</v>
      </c>
      <c r="B2590" t="s">
        <v>545</v>
      </c>
      <c r="C2590" t="s">
        <v>585</v>
      </c>
      <c r="D2590" s="29">
        <f>VALUE(LEFT(C2590,LEN(C2590)-FIND("km/h",C2590)+1)/3.6)</f>
        <v>2.8888888888888888</v>
      </c>
    </row>
    <row r="2591" spans="1:4">
      <c r="A2591" s="23" t="s">
        <v>554</v>
      </c>
      <c r="B2591" t="s">
        <v>545</v>
      </c>
      <c r="C2591" t="s">
        <v>614</v>
      </c>
      <c r="D2591" s="29">
        <f>VALUE(LEFT(C2591,LEN(C2591)-FIND("km/h",C2591)+1)/3.6)</f>
        <v>4.166666666666667</v>
      </c>
    </row>
    <row r="2592" spans="1:4">
      <c r="A2592" s="23" t="s">
        <v>556</v>
      </c>
      <c r="B2592" t="s">
        <v>545</v>
      </c>
      <c r="C2592" t="s">
        <v>615</v>
      </c>
      <c r="D2592" s="26">
        <f>VALUE(LEFT(C2592,LEN(C2592)-7))</f>
        <v>109</v>
      </c>
    </row>
    <row r="2593" spans="1:4">
      <c r="A2593" s="23" t="s">
        <v>558</v>
      </c>
      <c r="B2593" t="s">
        <v>545</v>
      </c>
      <c r="C2593" t="s">
        <v>595</v>
      </c>
      <c r="D2593" s="29">
        <f>VALUE(LEFT(C2593,LEN(C2593)-3))</f>
        <v>23.3</v>
      </c>
    </row>
    <row r="2594" spans="1:4">
      <c r="A2594" s="23" t="s">
        <v>560</v>
      </c>
      <c r="B2594" t="s">
        <v>545</v>
      </c>
      <c r="C2594" t="s">
        <v>596</v>
      </c>
      <c r="D2594" s="29">
        <f>VALUE(LEFT(C2594,LEN(C2594)-3))</f>
        <v>459.4</v>
      </c>
    </row>
    <row r="2595" spans="1:4">
      <c r="A2595" s="23" t="s">
        <v>562</v>
      </c>
      <c r="B2595" t="s">
        <v>545</v>
      </c>
      <c r="C2595" t="s">
        <v>604</v>
      </c>
      <c r="D2595" s="29">
        <f>VALUE(LEFT(C2595,LEN(C2595)-3))</f>
        <v>0</v>
      </c>
    </row>
    <row r="2597" spans="1:4">
      <c r="A2597" s="23" t="s">
        <v>544</v>
      </c>
      <c r="B2597" t="s">
        <v>545</v>
      </c>
      <c r="C2597" t="s">
        <v>611</v>
      </c>
      <c r="D2597" s="29">
        <f>VALUE(LEFT(C2597,LEN(C2597)-2))</f>
        <v>17.100000000000001</v>
      </c>
    </row>
    <row r="2598" spans="1:4">
      <c r="A2598" s="23" t="s">
        <v>547</v>
      </c>
      <c r="B2598" t="s">
        <v>545</v>
      </c>
      <c r="C2598" s="24">
        <v>0.54</v>
      </c>
      <c r="D2598" s="27">
        <f>VALUE(C2598*100)</f>
        <v>54</v>
      </c>
    </row>
    <row r="2599" spans="1:4">
      <c r="A2599" s="23" t="s">
        <v>548</v>
      </c>
      <c r="B2599" t="s">
        <v>545</v>
      </c>
      <c r="C2599" t="s">
        <v>612</v>
      </c>
      <c r="D2599" s="29">
        <f>VALUE(LEFT(C2599,LEN(C2599)-2))</f>
        <v>6.4</v>
      </c>
    </row>
    <row r="2600" spans="1:4">
      <c r="A2600" s="23" t="s">
        <v>550</v>
      </c>
      <c r="B2600" t="s">
        <v>545</v>
      </c>
      <c r="C2600" t="s">
        <v>613</v>
      </c>
      <c r="D2600" s="28">
        <f>VALUE(LEFT(C2600,LEN(C2600)-4))</f>
        <v>1014.9</v>
      </c>
    </row>
    <row r="2601" spans="1:4">
      <c r="A2601" s="23" t="s">
        <v>552</v>
      </c>
      <c r="B2601" t="s">
        <v>545</v>
      </c>
      <c r="C2601" t="s">
        <v>585</v>
      </c>
      <c r="D2601" s="29">
        <f>VALUE(LEFT(C2601,LEN(C2601)-FIND("km/h",C2601)+1)/3.6)</f>
        <v>2.8888888888888888</v>
      </c>
    </row>
    <row r="2602" spans="1:4">
      <c r="A2602" s="23" t="s">
        <v>554</v>
      </c>
      <c r="B2602" t="s">
        <v>545</v>
      </c>
      <c r="C2602" t="s">
        <v>614</v>
      </c>
      <c r="D2602" s="29">
        <f>VALUE(LEFT(C2602,LEN(C2602)-FIND("km/h",C2602)+1)/3.6)</f>
        <v>4.166666666666667</v>
      </c>
    </row>
    <row r="2603" spans="1:4">
      <c r="A2603" s="23" t="s">
        <v>556</v>
      </c>
      <c r="B2603" t="s">
        <v>545</v>
      </c>
      <c r="C2603" t="s">
        <v>615</v>
      </c>
      <c r="D2603" s="26">
        <f>VALUE(LEFT(C2603,LEN(C2603)-7))</f>
        <v>109</v>
      </c>
    </row>
    <row r="2604" spans="1:4">
      <c r="A2604" s="23" t="s">
        <v>558</v>
      </c>
      <c r="B2604" t="s">
        <v>545</v>
      </c>
      <c r="C2604" t="s">
        <v>595</v>
      </c>
      <c r="D2604" s="29">
        <f>VALUE(LEFT(C2604,LEN(C2604)-3))</f>
        <v>23.3</v>
      </c>
    </row>
    <row r="2605" spans="1:4">
      <c r="A2605" s="23" t="s">
        <v>560</v>
      </c>
      <c r="B2605" t="s">
        <v>545</v>
      </c>
      <c r="C2605" t="s">
        <v>596</v>
      </c>
      <c r="D2605" s="29">
        <f>VALUE(LEFT(C2605,LEN(C2605)-3))</f>
        <v>459.4</v>
      </c>
    </row>
    <row r="2606" spans="1:4">
      <c r="A2606" s="23" t="s">
        <v>562</v>
      </c>
      <c r="B2606" t="s">
        <v>545</v>
      </c>
      <c r="C2606" t="s">
        <v>604</v>
      </c>
      <c r="D2606" s="29">
        <f>VALUE(LEFT(C2606,LEN(C2606)-3))</f>
        <v>0</v>
      </c>
    </row>
    <row r="2608" spans="1:4">
      <c r="A2608" s="23" t="s">
        <v>544</v>
      </c>
      <c r="B2608" t="s">
        <v>545</v>
      </c>
      <c r="C2608" t="s">
        <v>616</v>
      </c>
      <c r="D2608" s="29">
        <f>VALUE(LEFT(C2608,LEN(C2608)-2))</f>
        <v>15.9</v>
      </c>
    </row>
    <row r="2609" spans="1:4">
      <c r="A2609" s="23" t="s">
        <v>547</v>
      </c>
      <c r="B2609" t="s">
        <v>545</v>
      </c>
      <c r="C2609" s="24">
        <v>0.37</v>
      </c>
      <c r="D2609" s="27">
        <f>VALUE(C2609*100)</f>
        <v>37</v>
      </c>
    </row>
    <row r="2610" spans="1:4">
      <c r="A2610" s="23" t="s">
        <v>548</v>
      </c>
      <c r="B2610" t="s">
        <v>545</v>
      </c>
      <c r="C2610" t="s">
        <v>617</v>
      </c>
      <c r="D2610" s="29">
        <f>VALUE(LEFT(C2610,LEN(C2610)-2))</f>
        <v>0.8</v>
      </c>
    </row>
    <row r="2611" spans="1:4">
      <c r="A2611" s="23" t="s">
        <v>550</v>
      </c>
      <c r="B2611" t="s">
        <v>545</v>
      </c>
      <c r="C2611" t="s">
        <v>618</v>
      </c>
      <c r="D2611" s="28">
        <f>VALUE(LEFT(C2611,LEN(C2611)-4))</f>
        <v>1016</v>
      </c>
    </row>
    <row r="2612" spans="1:4">
      <c r="A2612" s="23" t="s">
        <v>552</v>
      </c>
      <c r="B2612" t="s">
        <v>545</v>
      </c>
      <c r="C2612" t="s">
        <v>619</v>
      </c>
      <c r="D2612" s="29">
        <f>VALUE(LEFT(C2612,LEN(C2612)-FIND("km/h",C2612)+1)/3.6)</f>
        <v>2.1111111111111112</v>
      </c>
    </row>
    <row r="2613" spans="1:4">
      <c r="A2613" s="23" t="s">
        <v>554</v>
      </c>
      <c r="B2613" t="s">
        <v>545</v>
      </c>
      <c r="C2613" t="s">
        <v>576</v>
      </c>
      <c r="D2613" s="29">
        <f>VALUE(LEFT(C2613,LEN(C2613)-FIND("km/h",C2613)+1)/3.6)</f>
        <v>2.9722222222222219</v>
      </c>
    </row>
    <row r="2614" spans="1:4">
      <c r="A2614" s="23" t="s">
        <v>556</v>
      </c>
      <c r="B2614" t="s">
        <v>545</v>
      </c>
      <c r="C2614" t="s">
        <v>620</v>
      </c>
      <c r="D2614" s="26">
        <f>VALUE(LEFT(C2614,LEN(C2614)-7))</f>
        <v>90</v>
      </c>
    </row>
    <row r="2615" spans="1:4">
      <c r="A2615" s="23" t="s">
        <v>558</v>
      </c>
      <c r="B2615" t="s">
        <v>545</v>
      </c>
      <c r="C2615" t="s">
        <v>595</v>
      </c>
      <c r="D2615" s="29">
        <f>VALUE(LEFT(C2615,LEN(C2615)-3))</f>
        <v>23.3</v>
      </c>
    </row>
    <row r="2616" spans="1:4">
      <c r="A2616" s="23" t="s">
        <v>560</v>
      </c>
      <c r="B2616" t="s">
        <v>545</v>
      </c>
      <c r="C2616" t="s">
        <v>596</v>
      </c>
      <c r="D2616" s="29">
        <f>VALUE(LEFT(C2616,LEN(C2616)-3))</f>
        <v>459.4</v>
      </c>
    </row>
    <row r="2617" spans="1:4">
      <c r="A2617" s="23" t="s">
        <v>562</v>
      </c>
      <c r="B2617" t="s">
        <v>545</v>
      </c>
      <c r="C2617" t="s">
        <v>604</v>
      </c>
      <c r="D2617" s="29">
        <f>VALUE(LEFT(C2617,LEN(C2617)-3))</f>
        <v>0</v>
      </c>
    </row>
    <row r="2619" spans="1:4">
      <c r="A2619" s="23" t="s">
        <v>544</v>
      </c>
      <c r="B2619" t="s">
        <v>545</v>
      </c>
      <c r="C2619" t="s">
        <v>621</v>
      </c>
      <c r="D2619" s="29">
        <f>VALUE(LEFT(C2619,LEN(C2619)-2))</f>
        <v>13.8</v>
      </c>
    </row>
    <row r="2620" spans="1:4">
      <c r="A2620" s="23" t="s">
        <v>547</v>
      </c>
      <c r="B2620" t="s">
        <v>545</v>
      </c>
      <c r="C2620" s="24">
        <v>0.51</v>
      </c>
      <c r="D2620" s="27">
        <f>VALUE(C2620*100)</f>
        <v>51</v>
      </c>
    </row>
    <row r="2621" spans="1:4">
      <c r="A2621" s="23" t="s">
        <v>548</v>
      </c>
      <c r="B2621" t="s">
        <v>545</v>
      </c>
      <c r="C2621" t="s">
        <v>622</v>
      </c>
      <c r="D2621" s="29">
        <f>VALUE(LEFT(C2621,LEN(C2621)-2))</f>
        <v>2.6</v>
      </c>
    </row>
    <row r="2622" spans="1:4">
      <c r="A2622" s="23" t="s">
        <v>550</v>
      </c>
      <c r="B2622" t="s">
        <v>545</v>
      </c>
      <c r="C2622" t="s">
        <v>623</v>
      </c>
      <c r="D2622" s="28">
        <f>VALUE(LEFT(C2622,LEN(C2622)-4))</f>
        <v>1015.2</v>
      </c>
    </row>
    <row r="2623" spans="1:4">
      <c r="A2623" s="23" t="s">
        <v>552</v>
      </c>
      <c r="B2623" t="s">
        <v>545</v>
      </c>
      <c r="C2623" t="s">
        <v>601</v>
      </c>
      <c r="D2623" s="29">
        <f>VALUE(LEFT(C2623,LEN(C2623)-FIND("km/h",C2623)+1)/3.6)</f>
        <v>0.88888888888888895</v>
      </c>
    </row>
    <row r="2624" spans="1:4">
      <c r="A2624" s="23" t="s">
        <v>554</v>
      </c>
      <c r="B2624" t="s">
        <v>545</v>
      </c>
      <c r="C2624" t="s">
        <v>624</v>
      </c>
      <c r="D2624" s="29">
        <f>VALUE(LEFT(C2624,LEN(C2624)-FIND("km/h",C2624)+1)/3.6)</f>
        <v>1.3888888888888888</v>
      </c>
    </row>
    <row r="2625" spans="1:4">
      <c r="A2625" s="23" t="s">
        <v>556</v>
      </c>
      <c r="B2625" t="s">
        <v>545</v>
      </c>
      <c r="C2625" t="s">
        <v>625</v>
      </c>
      <c r="D2625" s="26">
        <f>VALUE(LEFT(C2625,LEN(C2625)-7))</f>
        <v>74</v>
      </c>
    </row>
    <row r="2626" spans="1:4">
      <c r="A2626" s="23" t="s">
        <v>558</v>
      </c>
      <c r="B2626" t="s">
        <v>545</v>
      </c>
      <c r="C2626" t="s">
        <v>595</v>
      </c>
      <c r="D2626" s="29">
        <f>VALUE(LEFT(C2626,LEN(C2626)-3))</f>
        <v>23.3</v>
      </c>
    </row>
    <row r="2627" spans="1:4">
      <c r="A2627" s="23" t="s">
        <v>560</v>
      </c>
      <c r="B2627" t="s">
        <v>545</v>
      </c>
      <c r="C2627" t="s">
        <v>596</v>
      </c>
      <c r="D2627" s="29">
        <f>VALUE(LEFT(C2627,LEN(C2627)-3))</f>
        <v>459.4</v>
      </c>
    </row>
    <row r="2628" spans="1:4">
      <c r="A2628" s="23" t="s">
        <v>562</v>
      </c>
      <c r="B2628" t="s">
        <v>545</v>
      </c>
      <c r="C2628" t="s">
        <v>604</v>
      </c>
      <c r="D2628" s="29">
        <f>VALUE(LEFT(C2628,LEN(C2628)-3))</f>
        <v>0</v>
      </c>
    </row>
    <row r="2630" spans="1:4">
      <c r="A2630" s="23" t="s">
        <v>544</v>
      </c>
      <c r="B2630" t="s">
        <v>545</v>
      </c>
      <c r="C2630" t="s">
        <v>626</v>
      </c>
      <c r="D2630" s="29">
        <f>VALUE(LEFT(C2630,LEN(C2630)-2))</f>
        <v>14.2</v>
      </c>
    </row>
    <row r="2631" spans="1:4">
      <c r="A2631" s="23" t="s">
        <v>547</v>
      </c>
      <c r="B2631" t="s">
        <v>545</v>
      </c>
      <c r="C2631" s="24">
        <v>0.5</v>
      </c>
      <c r="D2631" s="27">
        <f>VALUE(C2631*100)</f>
        <v>50</v>
      </c>
    </row>
    <row r="2632" spans="1:4">
      <c r="A2632" s="23" t="s">
        <v>548</v>
      </c>
      <c r="B2632" t="s">
        <v>545</v>
      </c>
      <c r="C2632" t="s">
        <v>627</v>
      </c>
      <c r="D2632" s="29">
        <f>VALUE(LEFT(C2632,LEN(C2632)-2))</f>
        <v>3.2</v>
      </c>
    </row>
    <row r="2633" spans="1:4">
      <c r="A2633" s="23" t="s">
        <v>550</v>
      </c>
      <c r="B2633" t="s">
        <v>545</v>
      </c>
      <c r="C2633" t="s">
        <v>628</v>
      </c>
      <c r="D2633" s="28">
        <f>VALUE(LEFT(C2633,LEN(C2633)-4))</f>
        <v>1018.8</v>
      </c>
    </row>
    <row r="2634" spans="1:4">
      <c r="A2634" s="23" t="s">
        <v>552</v>
      </c>
      <c r="B2634" t="s">
        <v>545</v>
      </c>
      <c r="C2634" t="s">
        <v>629</v>
      </c>
      <c r="D2634" s="29">
        <f>VALUE(LEFT(C2634,LEN(C2634)-FIND("km/h",C2634)+1)/3.6)</f>
        <v>1.0833333333333333</v>
      </c>
    </row>
    <row r="2635" spans="1:4">
      <c r="A2635" s="23" t="s">
        <v>554</v>
      </c>
      <c r="B2635" t="s">
        <v>545</v>
      </c>
      <c r="C2635" t="s">
        <v>630</v>
      </c>
      <c r="D2635" s="29">
        <f>VALUE(LEFT(C2635,LEN(C2635)-FIND("km/h",C2635)+1)/3.6)</f>
        <v>1.6666666666666665</v>
      </c>
    </row>
    <row r="2636" spans="1:4">
      <c r="A2636" s="23" t="s">
        <v>556</v>
      </c>
      <c r="B2636" t="s">
        <v>545</v>
      </c>
      <c r="C2636" t="s">
        <v>631</v>
      </c>
      <c r="D2636" s="26">
        <f>VALUE(LEFT(C2636,LEN(C2636)-7))</f>
        <v>119</v>
      </c>
    </row>
    <row r="2637" spans="1:4">
      <c r="A2637" s="23" t="s">
        <v>558</v>
      </c>
      <c r="B2637" t="s">
        <v>545</v>
      </c>
      <c r="C2637" t="s">
        <v>595</v>
      </c>
      <c r="D2637" s="29">
        <f>VALUE(LEFT(C2637,LEN(C2637)-3))</f>
        <v>23.3</v>
      </c>
    </row>
    <row r="2638" spans="1:4">
      <c r="A2638" s="23" t="s">
        <v>560</v>
      </c>
      <c r="B2638" t="s">
        <v>545</v>
      </c>
      <c r="C2638" t="s">
        <v>596</v>
      </c>
      <c r="D2638" s="29">
        <f>VALUE(LEFT(C2638,LEN(C2638)-3))</f>
        <v>459.4</v>
      </c>
    </row>
    <row r="2639" spans="1:4">
      <c r="A2639" s="23" t="s">
        <v>562</v>
      </c>
      <c r="B2639" t="s">
        <v>545</v>
      </c>
      <c r="C2639" t="s">
        <v>604</v>
      </c>
      <c r="D2639" s="29">
        <f>VALUE(LEFT(C2639,LEN(C2639)-3))</f>
        <v>0</v>
      </c>
    </row>
    <row r="2641" spans="1:4">
      <c r="A2641" s="23" t="s">
        <v>544</v>
      </c>
      <c r="B2641" t="s">
        <v>545</v>
      </c>
      <c r="C2641" t="s">
        <v>632</v>
      </c>
      <c r="D2641" s="29">
        <f>VALUE(LEFT(C2641,LEN(C2641)-2))</f>
        <v>13.1</v>
      </c>
    </row>
    <row r="2642" spans="1:4">
      <c r="A2642" s="23" t="s">
        <v>547</v>
      </c>
      <c r="B2642" t="s">
        <v>545</v>
      </c>
      <c r="C2642" s="24">
        <v>0.7</v>
      </c>
      <c r="D2642" s="27">
        <f>VALUE(C2642*100)</f>
        <v>70</v>
      </c>
    </row>
    <row r="2643" spans="1:4">
      <c r="A2643" s="23" t="s">
        <v>548</v>
      </c>
      <c r="B2643" t="s">
        <v>545</v>
      </c>
      <c r="C2643" t="s">
        <v>633</v>
      </c>
      <c r="D2643" s="29">
        <f>VALUE(LEFT(C2643,LEN(C2643)-2))</f>
        <v>7.2</v>
      </c>
    </row>
    <row r="2644" spans="1:4">
      <c r="A2644" s="23" t="s">
        <v>550</v>
      </c>
      <c r="B2644" t="s">
        <v>545</v>
      </c>
      <c r="C2644" t="s">
        <v>634</v>
      </c>
      <c r="D2644" s="28">
        <f>VALUE(LEFT(C2644,LEN(C2644)-4))</f>
        <v>1021</v>
      </c>
    </row>
    <row r="2645" spans="1:4">
      <c r="A2645" s="23" t="s">
        <v>552</v>
      </c>
      <c r="B2645" t="s">
        <v>545</v>
      </c>
      <c r="C2645" t="s">
        <v>635</v>
      </c>
      <c r="D2645" s="29">
        <f>VALUE(LEFT(C2645,LEN(C2645)-FIND("km/h",C2645)+1)/3.6)</f>
        <v>0.80555555555555547</v>
      </c>
    </row>
    <row r="2646" spans="1:4">
      <c r="A2646" s="23" t="s">
        <v>554</v>
      </c>
      <c r="B2646" t="s">
        <v>545</v>
      </c>
      <c r="C2646" t="s">
        <v>636</v>
      </c>
      <c r="D2646" s="29">
        <f>VALUE(LEFT(C2646,LEN(C2646)-FIND("km/h",C2646)+1)/3.6)</f>
        <v>1.3333333333333333</v>
      </c>
    </row>
    <row r="2647" spans="1:4">
      <c r="A2647" s="23" t="s">
        <v>556</v>
      </c>
      <c r="B2647" t="s">
        <v>545</v>
      </c>
      <c r="C2647" t="s">
        <v>637</v>
      </c>
      <c r="D2647" s="26">
        <f>VALUE(LEFT(C2647,LEN(C2647)-7))</f>
        <v>282</v>
      </c>
    </row>
    <row r="2648" spans="1:4">
      <c r="A2648" s="23" t="s">
        <v>558</v>
      </c>
      <c r="B2648" t="s">
        <v>545</v>
      </c>
      <c r="C2648" t="s">
        <v>595</v>
      </c>
      <c r="D2648" s="29">
        <f>VALUE(LEFT(C2648,LEN(C2648)-3))</f>
        <v>23.3</v>
      </c>
    </row>
    <row r="2649" spans="1:4">
      <c r="A2649" s="23" t="s">
        <v>560</v>
      </c>
      <c r="B2649" t="s">
        <v>545</v>
      </c>
      <c r="C2649" t="s">
        <v>596</v>
      </c>
      <c r="D2649" s="29">
        <f>VALUE(LEFT(C2649,LEN(C2649)-3))</f>
        <v>459.4</v>
      </c>
    </row>
    <row r="2650" spans="1:4">
      <c r="A2650" s="23" t="s">
        <v>562</v>
      </c>
      <c r="B2650" t="s">
        <v>545</v>
      </c>
      <c r="C2650" t="s">
        <v>604</v>
      </c>
      <c r="D2650" s="29">
        <f>VALUE(LEFT(C2650,LEN(C2650)-3))</f>
        <v>0</v>
      </c>
    </row>
    <row r="2652" spans="1:4">
      <c r="A2652" s="23" t="s">
        <v>544</v>
      </c>
      <c r="B2652" t="s">
        <v>545</v>
      </c>
      <c r="C2652" t="s">
        <v>546</v>
      </c>
      <c r="D2652" s="29">
        <f>VALUE(LEFT(C2652,LEN(C2652)-2))</f>
        <v>12.9</v>
      </c>
    </row>
    <row r="2653" spans="1:4">
      <c r="A2653" s="23" t="s">
        <v>547</v>
      </c>
      <c r="B2653" t="s">
        <v>545</v>
      </c>
      <c r="C2653" s="24">
        <v>0.69</v>
      </c>
      <c r="D2653" s="27">
        <f>VALUE(C2653*100)</f>
        <v>69</v>
      </c>
    </row>
    <row r="2654" spans="1:4">
      <c r="A2654" s="23" t="s">
        <v>548</v>
      </c>
      <c r="B2654" t="s">
        <v>545</v>
      </c>
      <c r="C2654" t="s">
        <v>612</v>
      </c>
      <c r="D2654" s="29">
        <f>VALUE(LEFT(C2654,LEN(C2654)-2))</f>
        <v>6.4</v>
      </c>
    </row>
    <row r="2655" spans="1:4">
      <c r="A2655" s="23" t="s">
        <v>550</v>
      </c>
      <c r="B2655" t="s">
        <v>545</v>
      </c>
      <c r="C2655" t="s">
        <v>638</v>
      </c>
      <c r="D2655" s="28">
        <f>VALUE(LEFT(C2655,LEN(C2655)-4))</f>
        <v>1023.7</v>
      </c>
    </row>
    <row r="2656" spans="1:4">
      <c r="A2656" s="23" t="s">
        <v>552</v>
      </c>
      <c r="B2656" t="s">
        <v>545</v>
      </c>
      <c r="C2656" t="s">
        <v>639</v>
      </c>
      <c r="D2656" s="29">
        <f>VALUE(LEFT(C2656,LEN(C2656)-FIND("km/h",C2656)+1)/3.6)</f>
        <v>0.91666666666666663</v>
      </c>
    </row>
    <row r="2657" spans="1:4">
      <c r="A2657" s="23" t="s">
        <v>554</v>
      </c>
      <c r="B2657" t="s">
        <v>545</v>
      </c>
      <c r="C2657" t="s">
        <v>640</v>
      </c>
      <c r="D2657" s="29">
        <f>VALUE(LEFT(C2657,LEN(C2657)-FIND("km/h",C2657)+1)/3.6)</f>
        <v>1.4166666666666665</v>
      </c>
    </row>
    <row r="2658" spans="1:4">
      <c r="A2658" s="23" t="s">
        <v>556</v>
      </c>
      <c r="B2658" t="s">
        <v>545</v>
      </c>
      <c r="C2658" t="s">
        <v>641</v>
      </c>
      <c r="D2658" s="26">
        <f>VALUE(LEFT(C2658,LEN(C2658)-7))</f>
        <v>4</v>
      </c>
    </row>
    <row r="2659" spans="1:4">
      <c r="A2659" s="23" t="s">
        <v>558</v>
      </c>
      <c r="B2659" t="s">
        <v>545</v>
      </c>
      <c r="C2659" t="s">
        <v>595</v>
      </c>
      <c r="D2659" s="29">
        <f>VALUE(LEFT(C2659,LEN(C2659)-3))</f>
        <v>23.3</v>
      </c>
    </row>
    <row r="2660" spans="1:4">
      <c r="A2660" s="23" t="s">
        <v>560</v>
      </c>
      <c r="B2660" t="s">
        <v>545</v>
      </c>
      <c r="C2660" t="s">
        <v>596</v>
      </c>
      <c r="D2660" s="29">
        <f>VALUE(LEFT(C2660,LEN(C2660)-3))</f>
        <v>459.4</v>
      </c>
    </row>
    <row r="2661" spans="1:4">
      <c r="A2661" s="23" t="s">
        <v>562</v>
      </c>
      <c r="B2661" t="s">
        <v>545</v>
      </c>
      <c r="C2661" t="s">
        <v>604</v>
      </c>
      <c r="D2661" s="29">
        <f>VALUE(LEFT(C2661,LEN(C2661)-3))</f>
        <v>0</v>
      </c>
    </row>
    <row r="2663" spans="1:4">
      <c r="A2663" s="23" t="s">
        <v>544</v>
      </c>
      <c r="B2663" t="s">
        <v>545</v>
      </c>
      <c r="C2663" t="s">
        <v>642</v>
      </c>
      <c r="D2663" s="29">
        <f>VALUE(LEFT(C2663,LEN(C2663)-2))</f>
        <v>13.7</v>
      </c>
    </row>
    <row r="2664" spans="1:4">
      <c r="A2664" s="23" t="s">
        <v>547</v>
      </c>
      <c r="B2664" t="s">
        <v>545</v>
      </c>
      <c r="C2664" s="24">
        <v>0.71</v>
      </c>
      <c r="D2664" s="27">
        <f>VALUE(C2664*100)</f>
        <v>71</v>
      </c>
    </row>
    <row r="2665" spans="1:4">
      <c r="A2665" s="23" t="s">
        <v>548</v>
      </c>
      <c r="B2665" t="s">
        <v>545</v>
      </c>
      <c r="C2665" t="s">
        <v>643</v>
      </c>
      <c r="D2665" s="29">
        <f>VALUE(LEFT(C2665,LEN(C2665)-2))</f>
        <v>7.9</v>
      </c>
    </row>
    <row r="2666" spans="1:4">
      <c r="A2666" s="23" t="s">
        <v>550</v>
      </c>
      <c r="B2666" t="s">
        <v>545</v>
      </c>
      <c r="C2666" t="s">
        <v>644</v>
      </c>
      <c r="D2666" s="28">
        <f>VALUE(LEFT(C2666,LEN(C2666)-4))</f>
        <v>1025.3</v>
      </c>
    </row>
    <row r="2667" spans="1:4">
      <c r="A2667" s="23" t="s">
        <v>552</v>
      </c>
      <c r="B2667" t="s">
        <v>545</v>
      </c>
      <c r="C2667" t="s">
        <v>645</v>
      </c>
      <c r="D2667" s="29">
        <f>VALUE(LEFT(C2667,LEN(C2667)-FIND("km/h",C2667)+1)/3.6)</f>
        <v>1</v>
      </c>
    </row>
    <row r="2668" spans="1:4">
      <c r="A2668" s="23" t="s">
        <v>554</v>
      </c>
      <c r="B2668" t="s">
        <v>545</v>
      </c>
      <c r="C2668" t="s">
        <v>646</v>
      </c>
      <c r="D2668" s="29">
        <f>VALUE(LEFT(C2668,LEN(C2668)-FIND("km/h",C2668)+1)/3.6)</f>
        <v>1.5833333333333333</v>
      </c>
    </row>
    <row r="2669" spans="1:4">
      <c r="A2669" s="23" t="s">
        <v>556</v>
      </c>
      <c r="B2669" t="s">
        <v>545</v>
      </c>
      <c r="C2669" t="s">
        <v>647</v>
      </c>
      <c r="D2669" s="26">
        <f>VALUE(LEFT(C2669,LEN(C2669)-7))</f>
        <v>328</v>
      </c>
    </row>
    <row r="2670" spans="1:4">
      <c r="A2670" s="23" t="s">
        <v>558</v>
      </c>
      <c r="B2670" t="s">
        <v>545</v>
      </c>
      <c r="C2670" t="s">
        <v>595</v>
      </c>
      <c r="D2670" s="29">
        <f>VALUE(LEFT(C2670,LEN(C2670)-3))</f>
        <v>23.3</v>
      </c>
    </row>
    <row r="2671" spans="1:4">
      <c r="A2671" s="23" t="s">
        <v>560</v>
      </c>
      <c r="B2671" t="s">
        <v>545</v>
      </c>
      <c r="C2671" t="s">
        <v>596</v>
      </c>
      <c r="D2671" s="29">
        <f>VALUE(LEFT(C2671,LEN(C2671)-3))</f>
        <v>459.4</v>
      </c>
    </row>
    <row r="2672" spans="1:4">
      <c r="A2672" s="23" t="s">
        <v>562</v>
      </c>
      <c r="B2672" t="s">
        <v>545</v>
      </c>
      <c r="C2672" t="s">
        <v>604</v>
      </c>
      <c r="D2672" s="29">
        <f>VALUE(LEFT(C2672,LEN(C2672)-3))</f>
        <v>0</v>
      </c>
    </row>
    <row r="2674" spans="1:4">
      <c r="A2674" s="23" t="s">
        <v>544</v>
      </c>
      <c r="B2674" t="s">
        <v>545</v>
      </c>
      <c r="C2674" t="s">
        <v>648</v>
      </c>
      <c r="D2674" s="29">
        <f>VALUE(LEFT(C2674,LEN(C2674)-2))</f>
        <v>12.8</v>
      </c>
    </row>
    <row r="2675" spans="1:4">
      <c r="A2675" s="23" t="s">
        <v>547</v>
      </c>
      <c r="B2675" t="s">
        <v>545</v>
      </c>
      <c r="C2675" s="24">
        <v>0.66</v>
      </c>
      <c r="D2675" s="27">
        <f>VALUE(C2675*100)</f>
        <v>66</v>
      </c>
    </row>
    <row r="2676" spans="1:4">
      <c r="A2676" s="23" t="s">
        <v>548</v>
      </c>
      <c r="B2676" t="s">
        <v>545</v>
      </c>
      <c r="C2676" t="s">
        <v>649</v>
      </c>
      <c r="D2676" s="29">
        <f>VALUE(LEFT(C2676,LEN(C2676)-2))</f>
        <v>5.6</v>
      </c>
    </row>
    <row r="2677" spans="1:4">
      <c r="A2677" s="23" t="s">
        <v>550</v>
      </c>
      <c r="B2677" t="s">
        <v>545</v>
      </c>
      <c r="C2677" t="s">
        <v>650</v>
      </c>
      <c r="D2677" s="28">
        <f>VALUE(LEFT(C2677,LEN(C2677)-4))</f>
        <v>1022</v>
      </c>
    </row>
    <row r="2678" spans="1:4">
      <c r="A2678" s="23" t="s">
        <v>552</v>
      </c>
      <c r="B2678" t="s">
        <v>545</v>
      </c>
      <c r="C2678" t="s">
        <v>635</v>
      </c>
      <c r="D2678" s="29">
        <f>VALUE(LEFT(C2678,LEN(C2678)-FIND("km/h",C2678)+1)/3.6)</f>
        <v>0.80555555555555547</v>
      </c>
    </row>
    <row r="2679" spans="1:4">
      <c r="A2679" s="23" t="s">
        <v>554</v>
      </c>
      <c r="B2679" t="s">
        <v>545</v>
      </c>
      <c r="C2679" t="s">
        <v>651</v>
      </c>
      <c r="D2679" s="29">
        <f>VALUE(LEFT(C2679,LEN(C2679)-FIND("km/h",C2679)+1)/3.6)</f>
        <v>1.2777777777777777</v>
      </c>
    </row>
    <row r="2680" spans="1:4">
      <c r="A2680" s="23" t="s">
        <v>556</v>
      </c>
      <c r="B2680" t="s">
        <v>545</v>
      </c>
      <c r="C2680" t="s">
        <v>647</v>
      </c>
      <c r="D2680" s="26">
        <f>VALUE(LEFT(C2680,LEN(C2680)-7))</f>
        <v>328</v>
      </c>
    </row>
    <row r="2681" spans="1:4">
      <c r="A2681" s="23" t="s">
        <v>558</v>
      </c>
      <c r="B2681" t="s">
        <v>545</v>
      </c>
      <c r="C2681" t="s">
        <v>595</v>
      </c>
      <c r="D2681" s="29">
        <f>VALUE(LEFT(C2681,LEN(C2681)-3))</f>
        <v>23.3</v>
      </c>
    </row>
    <row r="2682" spans="1:4">
      <c r="A2682" s="23" t="s">
        <v>560</v>
      </c>
      <c r="B2682" t="s">
        <v>545</v>
      </c>
      <c r="C2682" t="s">
        <v>596</v>
      </c>
      <c r="D2682" s="29">
        <f>VALUE(LEFT(C2682,LEN(C2682)-3))</f>
        <v>459.4</v>
      </c>
    </row>
    <row r="2683" spans="1:4">
      <c r="A2683" s="23" t="s">
        <v>562</v>
      </c>
      <c r="B2683" t="s">
        <v>545</v>
      </c>
      <c r="C2683" t="s">
        <v>604</v>
      </c>
      <c r="D2683" s="29">
        <f>VALUE(LEFT(C2683,LEN(C2683)-3))</f>
        <v>0</v>
      </c>
    </row>
    <row r="2685" spans="1:4">
      <c r="A2685" s="23" t="s">
        <v>544</v>
      </c>
      <c r="B2685" t="s">
        <v>545</v>
      </c>
      <c r="C2685" t="s">
        <v>565</v>
      </c>
      <c r="D2685" s="29">
        <f>VALUE(LEFT(C2685,LEN(C2685)-2))</f>
        <v>12.4</v>
      </c>
    </row>
    <row r="2686" spans="1:4">
      <c r="A2686" s="23" t="s">
        <v>547</v>
      </c>
      <c r="B2686" t="s">
        <v>545</v>
      </c>
      <c r="C2686" s="24">
        <v>0.74</v>
      </c>
      <c r="D2686" s="27">
        <f>VALUE(C2686*100)</f>
        <v>74</v>
      </c>
    </row>
    <row r="2687" spans="1:4">
      <c r="A2687" s="23" t="s">
        <v>548</v>
      </c>
      <c r="B2687" t="s">
        <v>545</v>
      </c>
      <c r="C2687" t="s">
        <v>652</v>
      </c>
      <c r="D2687" s="29">
        <f>VALUE(LEFT(C2687,LEN(C2687)-2))</f>
        <v>7.5</v>
      </c>
    </row>
    <row r="2688" spans="1:4">
      <c r="A2688" s="23" t="s">
        <v>550</v>
      </c>
      <c r="B2688" t="s">
        <v>545</v>
      </c>
      <c r="C2688" t="s">
        <v>653</v>
      </c>
      <c r="D2688" s="28">
        <f>VALUE(LEFT(C2688,LEN(C2688)-4))</f>
        <v>1020.4</v>
      </c>
    </row>
    <row r="2689" spans="1:4">
      <c r="A2689" s="23" t="s">
        <v>552</v>
      </c>
      <c r="B2689" t="s">
        <v>545</v>
      </c>
      <c r="C2689" t="s">
        <v>654</v>
      </c>
      <c r="D2689" s="29">
        <f>VALUE(LEFT(C2689,LEN(C2689)-FIND("km/h",C2689)+1)/3.6)</f>
        <v>1.1944444444444444</v>
      </c>
    </row>
    <row r="2690" spans="1:4">
      <c r="A2690" s="23" t="s">
        <v>554</v>
      </c>
      <c r="B2690" t="s">
        <v>545</v>
      </c>
      <c r="C2690" t="s">
        <v>655</v>
      </c>
      <c r="D2690" s="29">
        <f>VALUE(LEFT(C2690,LEN(C2690)-FIND("km/h",C2690)+1)/3.6)</f>
        <v>1.8611111111111112</v>
      </c>
    </row>
    <row r="2691" spans="1:4">
      <c r="A2691" s="23" t="s">
        <v>556</v>
      </c>
      <c r="B2691" t="s">
        <v>545</v>
      </c>
      <c r="C2691" t="s">
        <v>656</v>
      </c>
      <c r="D2691" s="26">
        <f>VALUE(LEFT(C2691,LEN(C2691)-7))</f>
        <v>330</v>
      </c>
    </row>
    <row r="2692" spans="1:4">
      <c r="A2692" s="23" t="s">
        <v>558</v>
      </c>
      <c r="B2692" t="s">
        <v>545</v>
      </c>
      <c r="C2692" t="s">
        <v>595</v>
      </c>
      <c r="D2692" s="29">
        <f>VALUE(LEFT(C2692,LEN(C2692)-3))</f>
        <v>23.3</v>
      </c>
    </row>
    <row r="2693" spans="1:4">
      <c r="A2693" s="23" t="s">
        <v>560</v>
      </c>
      <c r="B2693" t="s">
        <v>545</v>
      </c>
      <c r="C2693" t="s">
        <v>596</v>
      </c>
      <c r="D2693" s="29">
        <f>VALUE(LEFT(C2693,LEN(C2693)-3))</f>
        <v>459.4</v>
      </c>
    </row>
    <row r="2694" spans="1:4">
      <c r="A2694" s="23" t="s">
        <v>562</v>
      </c>
      <c r="B2694" t="s">
        <v>545</v>
      </c>
      <c r="C2694" t="s">
        <v>604</v>
      </c>
      <c r="D2694" s="29">
        <f>VALUE(LEFT(C2694,LEN(C2694)-3))</f>
        <v>0</v>
      </c>
    </row>
    <row r="2696" spans="1:4">
      <c r="A2696" s="23" t="s">
        <v>544</v>
      </c>
      <c r="B2696" t="s">
        <v>545</v>
      </c>
      <c r="C2696" t="s">
        <v>657</v>
      </c>
      <c r="D2696" s="29">
        <f>VALUE(LEFT(C2696,LEN(C2696)-2))</f>
        <v>13.2</v>
      </c>
    </row>
    <row r="2697" spans="1:4">
      <c r="A2697" s="23" t="s">
        <v>547</v>
      </c>
      <c r="B2697" t="s">
        <v>545</v>
      </c>
      <c r="C2697" s="24">
        <v>0.69</v>
      </c>
      <c r="D2697" s="27">
        <f>VALUE(C2697*100)</f>
        <v>69</v>
      </c>
    </row>
    <row r="2698" spans="1:4">
      <c r="A2698" s="23" t="s">
        <v>548</v>
      </c>
      <c r="B2698" t="s">
        <v>545</v>
      </c>
      <c r="C2698" t="s">
        <v>658</v>
      </c>
      <c r="D2698" s="29">
        <f>VALUE(LEFT(C2698,LEN(C2698)-2))</f>
        <v>7.4</v>
      </c>
    </row>
    <row r="2699" spans="1:4">
      <c r="A2699" s="23" t="s">
        <v>550</v>
      </c>
      <c r="B2699" t="s">
        <v>545</v>
      </c>
      <c r="C2699" t="s">
        <v>659</v>
      </c>
      <c r="D2699" s="28">
        <f>VALUE(LEFT(C2699,LEN(C2699)-4))</f>
        <v>1020</v>
      </c>
    </row>
    <row r="2700" spans="1:4">
      <c r="A2700" s="23" t="s">
        <v>552</v>
      </c>
      <c r="B2700" t="s">
        <v>545</v>
      </c>
      <c r="C2700" t="s">
        <v>660</v>
      </c>
      <c r="D2700" s="29">
        <f>VALUE(LEFT(C2700,LEN(C2700)-FIND("km/h",C2700)+1)/3.6)</f>
        <v>2.5555555555555554</v>
      </c>
    </row>
    <row r="2701" spans="1:4">
      <c r="A2701" s="23" t="s">
        <v>554</v>
      </c>
      <c r="B2701" t="s">
        <v>545</v>
      </c>
      <c r="C2701" t="s">
        <v>661</v>
      </c>
      <c r="D2701" s="29">
        <f>VALUE(LEFT(C2701,LEN(C2701)-FIND("km/h",C2701)+1)/3.6)</f>
        <v>3.6111111111111112</v>
      </c>
    </row>
    <row r="2702" spans="1:4">
      <c r="A2702" s="23" t="s">
        <v>556</v>
      </c>
      <c r="B2702" t="s">
        <v>545</v>
      </c>
      <c r="C2702" t="s">
        <v>662</v>
      </c>
      <c r="D2702" s="26">
        <f>VALUE(LEFT(C2702,LEN(C2702)-7))</f>
        <v>341</v>
      </c>
    </row>
    <row r="2703" spans="1:4">
      <c r="A2703" s="23" t="s">
        <v>558</v>
      </c>
      <c r="B2703" t="s">
        <v>545</v>
      </c>
      <c r="C2703" t="s">
        <v>595</v>
      </c>
      <c r="D2703" s="29">
        <f>VALUE(LEFT(C2703,LEN(C2703)-3))</f>
        <v>23.3</v>
      </c>
    </row>
    <row r="2704" spans="1:4">
      <c r="A2704" s="23" t="s">
        <v>560</v>
      </c>
      <c r="B2704" t="s">
        <v>545</v>
      </c>
      <c r="C2704" t="s">
        <v>596</v>
      </c>
      <c r="D2704" s="29">
        <f>VALUE(LEFT(C2704,LEN(C2704)-3))</f>
        <v>459.4</v>
      </c>
    </row>
    <row r="2705" spans="1:4">
      <c r="A2705" s="23" t="s">
        <v>562</v>
      </c>
      <c r="B2705" t="s">
        <v>545</v>
      </c>
      <c r="C2705" t="s">
        <v>604</v>
      </c>
      <c r="D2705" s="29">
        <f>VALUE(LEFT(C2705,LEN(C2705)-3))</f>
        <v>0</v>
      </c>
    </row>
    <row r="2707" spans="1:4">
      <c r="A2707" s="23" t="s">
        <v>544</v>
      </c>
      <c r="B2707" t="s">
        <v>545</v>
      </c>
      <c r="C2707" t="s">
        <v>642</v>
      </c>
      <c r="D2707" s="29">
        <f>VALUE(LEFT(C2707,LEN(C2707)-2))</f>
        <v>13.7</v>
      </c>
    </row>
    <row r="2708" spans="1:4">
      <c r="A2708" s="23" t="s">
        <v>547</v>
      </c>
      <c r="B2708" t="s">
        <v>545</v>
      </c>
      <c r="C2708" s="24">
        <v>0.76</v>
      </c>
      <c r="D2708" s="27">
        <f>VALUE(C2708*100)</f>
        <v>76</v>
      </c>
    </row>
    <row r="2709" spans="1:4">
      <c r="A2709" s="23" t="s">
        <v>548</v>
      </c>
      <c r="B2709" t="s">
        <v>545</v>
      </c>
      <c r="C2709" t="s">
        <v>663</v>
      </c>
      <c r="D2709" s="29">
        <f>VALUE(LEFT(C2709,LEN(C2709)-2))</f>
        <v>8.9</v>
      </c>
    </row>
    <row r="2710" spans="1:4">
      <c r="A2710" s="23" t="s">
        <v>550</v>
      </c>
      <c r="B2710" t="s">
        <v>545</v>
      </c>
      <c r="C2710" t="s">
        <v>664</v>
      </c>
      <c r="D2710" s="28">
        <f>VALUE(LEFT(C2710,LEN(C2710)-4))</f>
        <v>1016.9</v>
      </c>
    </row>
    <row r="2711" spans="1:4">
      <c r="A2711" s="23" t="s">
        <v>552</v>
      </c>
      <c r="B2711" t="s">
        <v>545</v>
      </c>
      <c r="C2711" t="s">
        <v>665</v>
      </c>
      <c r="D2711" s="29">
        <f>VALUE(LEFT(C2711,LEN(C2711)-FIND("km/h",C2711)+1)/3.6)</f>
        <v>0.86111111111111116</v>
      </c>
    </row>
    <row r="2712" spans="1:4">
      <c r="A2712" s="23" t="s">
        <v>554</v>
      </c>
      <c r="B2712" t="s">
        <v>545</v>
      </c>
      <c r="C2712" t="s">
        <v>640</v>
      </c>
      <c r="D2712" s="29">
        <f>VALUE(LEFT(C2712,LEN(C2712)-FIND("km/h",C2712)+1)/3.6)</f>
        <v>1.4166666666666665</v>
      </c>
    </row>
    <row r="2713" spans="1:4">
      <c r="A2713" s="23" t="s">
        <v>556</v>
      </c>
      <c r="B2713" t="s">
        <v>545</v>
      </c>
      <c r="C2713" t="s">
        <v>666</v>
      </c>
      <c r="D2713" s="26">
        <f>VALUE(LEFT(C2713,LEN(C2713)-7))</f>
        <v>300</v>
      </c>
    </row>
    <row r="2714" spans="1:4">
      <c r="A2714" s="23" t="s">
        <v>558</v>
      </c>
      <c r="B2714" t="s">
        <v>545</v>
      </c>
      <c r="C2714" t="s">
        <v>595</v>
      </c>
      <c r="D2714" s="29">
        <f>VALUE(LEFT(C2714,LEN(C2714)-3))</f>
        <v>23.3</v>
      </c>
    </row>
    <row r="2715" spans="1:4">
      <c r="A2715" s="23" t="s">
        <v>560</v>
      </c>
      <c r="B2715" t="s">
        <v>545</v>
      </c>
      <c r="C2715" t="s">
        <v>596</v>
      </c>
      <c r="D2715" s="29">
        <f>VALUE(LEFT(C2715,LEN(C2715)-3))</f>
        <v>459.4</v>
      </c>
    </row>
    <row r="2716" spans="1:4">
      <c r="A2716" s="23" t="s">
        <v>562</v>
      </c>
      <c r="B2716" t="s">
        <v>545</v>
      </c>
      <c r="C2716" t="s">
        <v>604</v>
      </c>
      <c r="D2716" s="29">
        <f>VALUE(LEFT(C2716,LEN(C2716)-3))</f>
        <v>0</v>
      </c>
    </row>
    <row r="2718" spans="1:4">
      <c r="A2718" s="23" t="s">
        <v>544</v>
      </c>
      <c r="B2718" t="s">
        <v>545</v>
      </c>
      <c r="C2718" t="s">
        <v>657</v>
      </c>
      <c r="D2718" s="29">
        <f>VALUE(LEFT(C2718,LEN(C2718)-2))</f>
        <v>13.2</v>
      </c>
    </row>
    <row r="2719" spans="1:4">
      <c r="A2719" s="23" t="s">
        <v>547</v>
      </c>
      <c r="B2719" t="s">
        <v>545</v>
      </c>
      <c r="C2719" s="24">
        <v>0.8</v>
      </c>
      <c r="D2719" s="27">
        <f>VALUE(C2719*100)</f>
        <v>80</v>
      </c>
    </row>
    <row r="2720" spans="1:4">
      <c r="A2720" s="23" t="s">
        <v>548</v>
      </c>
      <c r="B2720" t="s">
        <v>545</v>
      </c>
      <c r="C2720" t="s">
        <v>667</v>
      </c>
      <c r="D2720" s="29">
        <f>VALUE(LEFT(C2720,LEN(C2720)-2))</f>
        <v>9.6</v>
      </c>
    </row>
    <row r="2721" spans="1:4">
      <c r="A2721" s="23" t="s">
        <v>550</v>
      </c>
      <c r="B2721" t="s">
        <v>545</v>
      </c>
      <c r="C2721" t="s">
        <v>668</v>
      </c>
      <c r="D2721" s="28">
        <f>VALUE(LEFT(C2721,LEN(C2721)-4))</f>
        <v>1017.8</v>
      </c>
    </row>
    <row r="2722" spans="1:4">
      <c r="A2722" s="23" t="s">
        <v>552</v>
      </c>
      <c r="B2722" t="s">
        <v>545</v>
      </c>
      <c r="C2722" t="s">
        <v>665</v>
      </c>
      <c r="D2722" s="29">
        <f>VALUE(LEFT(C2722,LEN(C2722)-FIND("km/h",C2722)+1)/3.6)</f>
        <v>0.86111111111111116</v>
      </c>
    </row>
    <row r="2723" spans="1:4">
      <c r="A2723" s="23" t="s">
        <v>554</v>
      </c>
      <c r="B2723" t="s">
        <v>545</v>
      </c>
      <c r="C2723" t="s">
        <v>669</v>
      </c>
      <c r="D2723" s="29">
        <f>VALUE(LEFT(C2723,LEN(C2723)-FIND("km/h",C2723)+1)/3.6)</f>
        <v>1.4722222222222221</v>
      </c>
    </row>
    <row r="2724" spans="1:4">
      <c r="A2724" s="23" t="s">
        <v>556</v>
      </c>
      <c r="B2724" t="s">
        <v>545</v>
      </c>
      <c r="C2724" t="s">
        <v>670</v>
      </c>
      <c r="D2724" s="26">
        <f>VALUE(LEFT(C2724,LEN(C2724)-7))</f>
        <v>276</v>
      </c>
    </row>
    <row r="2725" spans="1:4">
      <c r="A2725" s="23" t="s">
        <v>558</v>
      </c>
      <c r="B2725" t="s">
        <v>545</v>
      </c>
      <c r="C2725" t="s">
        <v>595</v>
      </c>
      <c r="D2725" s="29">
        <f>VALUE(LEFT(C2725,LEN(C2725)-3))</f>
        <v>23.3</v>
      </c>
    </row>
    <row r="2726" spans="1:4">
      <c r="A2726" s="23" t="s">
        <v>560</v>
      </c>
      <c r="B2726" t="s">
        <v>545</v>
      </c>
      <c r="C2726" t="s">
        <v>596</v>
      </c>
      <c r="D2726" s="29">
        <f>VALUE(LEFT(C2726,LEN(C2726)-3))</f>
        <v>459.4</v>
      </c>
    </row>
    <row r="2727" spans="1:4">
      <c r="A2727" s="23" t="s">
        <v>562</v>
      </c>
      <c r="B2727" t="s">
        <v>545</v>
      </c>
      <c r="C2727" t="s">
        <v>604</v>
      </c>
      <c r="D2727" s="29">
        <f>VALUE(LEFT(C2727,LEN(C2727)-3))</f>
        <v>0</v>
      </c>
    </row>
    <row r="2729" spans="1:4">
      <c r="A2729" s="23" t="s">
        <v>544</v>
      </c>
      <c r="B2729" t="s">
        <v>545</v>
      </c>
      <c r="C2729" t="s">
        <v>564</v>
      </c>
      <c r="D2729" s="29">
        <f>VALUE(LEFT(C2729,LEN(C2729)-2))</f>
        <v>12.7</v>
      </c>
    </row>
    <row r="2730" spans="1:4">
      <c r="A2730" s="23" t="s">
        <v>547</v>
      </c>
      <c r="B2730" t="s">
        <v>545</v>
      </c>
      <c r="C2730" s="24">
        <v>0.87</v>
      </c>
      <c r="D2730" s="27">
        <f>VALUE(C2730*100)</f>
        <v>87</v>
      </c>
    </row>
    <row r="2731" spans="1:4">
      <c r="A2731" s="23" t="s">
        <v>548</v>
      </c>
      <c r="B2731" t="s">
        <v>545</v>
      </c>
      <c r="C2731" t="s">
        <v>671</v>
      </c>
      <c r="D2731" s="29">
        <f>VALUE(LEFT(C2731,LEN(C2731)-2))</f>
        <v>10.5</v>
      </c>
    </row>
    <row r="2732" spans="1:4">
      <c r="A2732" s="23" t="s">
        <v>550</v>
      </c>
      <c r="B2732" t="s">
        <v>545</v>
      </c>
      <c r="C2732" t="s">
        <v>672</v>
      </c>
      <c r="D2732" s="28">
        <f>VALUE(LEFT(C2732,LEN(C2732)-4))</f>
        <v>1018</v>
      </c>
    </row>
    <row r="2733" spans="1:4">
      <c r="A2733" s="23" t="s">
        <v>552</v>
      </c>
      <c r="B2733" t="s">
        <v>545</v>
      </c>
      <c r="C2733" t="s">
        <v>673</v>
      </c>
      <c r="D2733" s="29">
        <f>VALUE(LEFT(C2733,LEN(C2733)-FIND("km/h",C2733)+1)/3.6)</f>
        <v>1.3055555555555556</v>
      </c>
    </row>
    <row r="2734" spans="1:4">
      <c r="A2734" s="23" t="s">
        <v>554</v>
      </c>
      <c r="B2734" t="s">
        <v>545</v>
      </c>
      <c r="C2734" t="s">
        <v>584</v>
      </c>
      <c r="D2734" s="29">
        <f>VALUE(LEFT(C2734,LEN(C2734)-FIND("km/h",C2734)+1)/3.6)</f>
        <v>1.9166666666666667</v>
      </c>
    </row>
    <row r="2735" spans="1:4">
      <c r="A2735" s="23" t="s">
        <v>556</v>
      </c>
      <c r="B2735" t="s">
        <v>545</v>
      </c>
      <c r="C2735" t="s">
        <v>674</v>
      </c>
      <c r="D2735" s="26">
        <f>VALUE(LEFT(C2735,LEN(C2735)-7))</f>
        <v>219</v>
      </c>
    </row>
    <row r="2736" spans="1:4">
      <c r="A2736" s="23" t="s">
        <v>558</v>
      </c>
      <c r="B2736" t="s">
        <v>545</v>
      </c>
      <c r="C2736" t="s">
        <v>675</v>
      </c>
      <c r="D2736" s="29">
        <f>VALUE(LEFT(C2736,LEN(C2736)-3))</f>
        <v>28.3</v>
      </c>
    </row>
    <row r="2737" spans="1:4">
      <c r="A2737" s="23" t="s">
        <v>560</v>
      </c>
      <c r="B2737" t="s">
        <v>545</v>
      </c>
      <c r="C2737" t="s">
        <v>676</v>
      </c>
      <c r="D2737" s="29">
        <f>VALUE(LEFT(C2737,LEN(C2737)-3))</f>
        <v>464.4</v>
      </c>
    </row>
    <row r="2738" spans="1:4">
      <c r="A2738" s="23" t="s">
        <v>562</v>
      </c>
      <c r="B2738" t="s">
        <v>545</v>
      </c>
      <c r="C2738" t="s">
        <v>677</v>
      </c>
      <c r="D2738" s="29">
        <f>VALUE(LEFT(C2738,LEN(C2738)-3))</f>
        <v>5</v>
      </c>
    </row>
    <row r="2740" spans="1:4">
      <c r="A2740" s="23" t="s">
        <v>544</v>
      </c>
      <c r="B2740" t="s">
        <v>545</v>
      </c>
      <c r="C2740" t="s">
        <v>678</v>
      </c>
      <c r="D2740" s="29">
        <f>VALUE(LEFT(C2740,LEN(C2740)-2))</f>
        <v>11.2</v>
      </c>
    </row>
    <row r="2741" spans="1:4">
      <c r="A2741" s="23" t="s">
        <v>547</v>
      </c>
      <c r="B2741" t="s">
        <v>545</v>
      </c>
      <c r="C2741" s="24">
        <v>0.78</v>
      </c>
      <c r="D2741" s="27">
        <f>VALUE(C2741*100)</f>
        <v>78</v>
      </c>
    </row>
    <row r="2742" spans="1:4">
      <c r="A2742" s="23" t="s">
        <v>548</v>
      </c>
      <c r="B2742" t="s">
        <v>545</v>
      </c>
      <c r="C2742" t="s">
        <v>679</v>
      </c>
      <c r="D2742" s="29">
        <f>VALUE(LEFT(C2742,LEN(C2742)-2))</f>
        <v>7</v>
      </c>
    </row>
    <row r="2743" spans="1:4">
      <c r="A2743" s="23" t="s">
        <v>550</v>
      </c>
      <c r="B2743" t="s">
        <v>545</v>
      </c>
      <c r="C2743" t="s">
        <v>680</v>
      </c>
      <c r="D2743" s="28">
        <f>VALUE(LEFT(C2743,LEN(C2743)-4))</f>
        <v>1017.9</v>
      </c>
    </row>
    <row r="2744" spans="1:4">
      <c r="A2744" s="23" t="s">
        <v>552</v>
      </c>
      <c r="B2744" t="s">
        <v>545</v>
      </c>
      <c r="C2744" t="s">
        <v>609</v>
      </c>
      <c r="D2744" s="29">
        <f>VALUE(LEFT(C2744,LEN(C2744)-FIND("km/h",C2744)+1)/3.6)</f>
        <v>1.5277777777777777</v>
      </c>
    </row>
    <row r="2745" spans="1:4">
      <c r="A2745" s="23" t="s">
        <v>554</v>
      </c>
      <c r="B2745" t="s">
        <v>545</v>
      </c>
      <c r="C2745" t="s">
        <v>681</v>
      </c>
      <c r="D2745" s="29">
        <f>VALUE(LEFT(C2745,LEN(C2745)-FIND("km/h",C2745)+1)/3.6)</f>
        <v>2.3888888888888888</v>
      </c>
    </row>
    <row r="2746" spans="1:4">
      <c r="A2746" s="23" t="s">
        <v>556</v>
      </c>
      <c r="B2746" t="s">
        <v>545</v>
      </c>
      <c r="C2746" t="s">
        <v>682</v>
      </c>
      <c r="D2746" s="26">
        <f>VALUE(LEFT(C2746,LEN(C2746)-7))</f>
        <v>316</v>
      </c>
    </row>
    <row r="2747" spans="1:4">
      <c r="A2747" s="23" t="s">
        <v>558</v>
      </c>
      <c r="B2747" t="s">
        <v>545</v>
      </c>
      <c r="C2747" t="s">
        <v>683</v>
      </c>
      <c r="D2747" s="29">
        <f>VALUE(LEFT(C2747,LEN(C2747)-3))</f>
        <v>30.3</v>
      </c>
    </row>
    <row r="2748" spans="1:4">
      <c r="A2748" s="23" t="s">
        <v>560</v>
      </c>
      <c r="B2748" t="s">
        <v>545</v>
      </c>
      <c r="C2748" t="s">
        <v>684</v>
      </c>
      <c r="D2748" s="29">
        <f>VALUE(LEFT(C2748,LEN(C2748)-3))</f>
        <v>466.4</v>
      </c>
    </row>
    <row r="2749" spans="1:4">
      <c r="A2749" s="23" t="s">
        <v>562</v>
      </c>
      <c r="B2749" t="s">
        <v>545</v>
      </c>
      <c r="C2749" t="s">
        <v>685</v>
      </c>
      <c r="D2749" s="29">
        <f>VALUE(LEFT(C2749,LEN(C2749)-3))</f>
        <v>2</v>
      </c>
    </row>
    <row r="2751" spans="1:4">
      <c r="A2751" s="23" t="s">
        <v>544</v>
      </c>
      <c r="B2751" t="s">
        <v>545</v>
      </c>
      <c r="C2751" t="s">
        <v>671</v>
      </c>
      <c r="D2751" s="29">
        <f>VALUE(LEFT(C2751,LEN(C2751)-2))</f>
        <v>10.5</v>
      </c>
    </row>
    <row r="2752" spans="1:4">
      <c r="A2752" s="23" t="s">
        <v>547</v>
      </c>
      <c r="B2752" t="s">
        <v>545</v>
      </c>
      <c r="C2752" s="24">
        <v>0.67</v>
      </c>
      <c r="D2752" s="27">
        <f>VALUE(C2752*100)</f>
        <v>67</v>
      </c>
    </row>
    <row r="2753" spans="1:4">
      <c r="A2753" s="23" t="s">
        <v>548</v>
      </c>
      <c r="B2753" t="s">
        <v>545</v>
      </c>
      <c r="C2753" t="s">
        <v>686</v>
      </c>
      <c r="D2753" s="29">
        <f>VALUE(LEFT(C2753,LEN(C2753)-2))</f>
        <v>4.4000000000000004</v>
      </c>
    </row>
    <row r="2754" spans="1:4">
      <c r="A2754" s="23" t="s">
        <v>550</v>
      </c>
      <c r="B2754" t="s">
        <v>545</v>
      </c>
      <c r="C2754" t="s">
        <v>687</v>
      </c>
      <c r="D2754" s="28">
        <f>VALUE(LEFT(C2754,LEN(C2754)-4))</f>
        <v>1019.6</v>
      </c>
    </row>
    <row r="2755" spans="1:4">
      <c r="A2755" s="23" t="s">
        <v>552</v>
      </c>
      <c r="B2755" t="s">
        <v>545</v>
      </c>
      <c r="C2755" t="s">
        <v>688</v>
      </c>
      <c r="D2755" s="29">
        <f>VALUE(LEFT(C2755,LEN(C2755)-FIND("km/h",C2755)+1)/3.6)</f>
        <v>0.83333333333333326</v>
      </c>
    </row>
    <row r="2756" spans="1:4">
      <c r="A2756" s="23" t="s">
        <v>554</v>
      </c>
      <c r="B2756" t="s">
        <v>545</v>
      </c>
      <c r="C2756" t="s">
        <v>673</v>
      </c>
      <c r="D2756" s="29">
        <f>VALUE(LEFT(C2756,LEN(C2756)-FIND("km/h",C2756)+1)/3.6)</f>
        <v>1.3055555555555556</v>
      </c>
    </row>
    <row r="2757" spans="1:4">
      <c r="A2757" s="23" t="s">
        <v>556</v>
      </c>
      <c r="B2757" t="s">
        <v>545</v>
      </c>
      <c r="C2757" t="s">
        <v>656</v>
      </c>
      <c r="D2757" s="26">
        <f>VALUE(LEFT(C2757,LEN(C2757)-7))</f>
        <v>330</v>
      </c>
    </row>
    <row r="2758" spans="1:4">
      <c r="A2758" s="23" t="s">
        <v>558</v>
      </c>
      <c r="B2758" t="s">
        <v>545</v>
      </c>
      <c r="C2758" t="s">
        <v>683</v>
      </c>
      <c r="D2758" s="29">
        <f>VALUE(LEFT(C2758,LEN(C2758)-3))</f>
        <v>30.3</v>
      </c>
    </row>
    <row r="2759" spans="1:4">
      <c r="A2759" s="23" t="s">
        <v>560</v>
      </c>
      <c r="B2759" t="s">
        <v>545</v>
      </c>
      <c r="C2759" t="s">
        <v>684</v>
      </c>
      <c r="D2759" s="29">
        <f>VALUE(LEFT(C2759,LEN(C2759)-3))</f>
        <v>466.4</v>
      </c>
    </row>
    <row r="2760" spans="1:4">
      <c r="A2760" s="23" t="s">
        <v>562</v>
      </c>
      <c r="B2760" t="s">
        <v>545</v>
      </c>
      <c r="C2760" t="s">
        <v>604</v>
      </c>
      <c r="D2760" s="29">
        <f>VALUE(LEFT(C2760,LEN(C2760)-3))</f>
        <v>0</v>
      </c>
    </row>
    <row r="2762" spans="1:4">
      <c r="A2762" s="23" t="s">
        <v>544</v>
      </c>
      <c r="B2762" t="s">
        <v>545</v>
      </c>
      <c r="C2762" t="s">
        <v>689</v>
      </c>
      <c r="D2762" s="29">
        <f>VALUE(LEFT(C2762,LEN(C2762)-2))</f>
        <v>10.7</v>
      </c>
    </row>
    <row r="2763" spans="1:4">
      <c r="A2763" s="23" t="s">
        <v>547</v>
      </c>
      <c r="B2763" t="s">
        <v>545</v>
      </c>
      <c r="C2763" s="24">
        <v>0.79</v>
      </c>
      <c r="D2763" s="27">
        <f>VALUE(C2763*100)</f>
        <v>79</v>
      </c>
    </row>
    <row r="2764" spans="1:4">
      <c r="A2764" s="23" t="s">
        <v>548</v>
      </c>
      <c r="B2764" t="s">
        <v>545</v>
      </c>
      <c r="C2764" t="s">
        <v>690</v>
      </c>
      <c r="D2764" s="29">
        <f>VALUE(LEFT(C2764,LEN(C2764)-2))</f>
        <v>6.9</v>
      </c>
    </row>
    <row r="2765" spans="1:4">
      <c r="A2765" s="23" t="s">
        <v>550</v>
      </c>
      <c r="B2765" t="s">
        <v>545</v>
      </c>
      <c r="C2765" t="s">
        <v>691</v>
      </c>
      <c r="D2765" s="28">
        <f>VALUE(LEFT(C2765,LEN(C2765)-4))</f>
        <v>1020.2</v>
      </c>
    </row>
    <row r="2766" spans="1:4">
      <c r="A2766" s="23" t="s">
        <v>552</v>
      </c>
      <c r="B2766" t="s">
        <v>545</v>
      </c>
      <c r="C2766" t="s">
        <v>692</v>
      </c>
      <c r="D2766" s="29">
        <f>VALUE(LEFT(C2766,LEN(C2766)-FIND("km/h",C2766)+1)/3.6)</f>
        <v>2.1388888888888888</v>
      </c>
    </row>
    <row r="2767" spans="1:4">
      <c r="A2767" s="23" t="s">
        <v>554</v>
      </c>
      <c r="B2767" t="s">
        <v>545</v>
      </c>
      <c r="C2767" t="s">
        <v>693</v>
      </c>
      <c r="D2767" s="29">
        <f>VALUE(LEFT(C2767,LEN(C2767)-FIND("km/h",C2767)+1)/3.6)</f>
        <v>3.1944444444444442</v>
      </c>
    </row>
    <row r="2768" spans="1:4">
      <c r="A2768" s="23" t="s">
        <v>556</v>
      </c>
      <c r="B2768" t="s">
        <v>545</v>
      </c>
      <c r="C2768" t="s">
        <v>637</v>
      </c>
      <c r="D2768" s="26">
        <f>VALUE(LEFT(C2768,LEN(C2768)-7))</f>
        <v>282</v>
      </c>
    </row>
    <row r="2769" spans="1:4">
      <c r="A2769" s="23" t="s">
        <v>558</v>
      </c>
      <c r="B2769" t="s">
        <v>545</v>
      </c>
      <c r="C2769" t="s">
        <v>694</v>
      </c>
      <c r="D2769" s="29">
        <f>VALUE(LEFT(C2769,LEN(C2769)-3))</f>
        <v>33.299999999999997</v>
      </c>
    </row>
    <row r="2770" spans="1:4">
      <c r="A2770" s="23" t="s">
        <v>560</v>
      </c>
      <c r="B2770" t="s">
        <v>545</v>
      </c>
      <c r="C2770" t="s">
        <v>695</v>
      </c>
      <c r="D2770" s="29">
        <f>VALUE(LEFT(C2770,LEN(C2770)-3))</f>
        <v>469.4</v>
      </c>
    </row>
    <row r="2771" spans="1:4">
      <c r="A2771" s="23" t="s">
        <v>562</v>
      </c>
      <c r="B2771" t="s">
        <v>545</v>
      </c>
      <c r="C2771" t="s">
        <v>597</v>
      </c>
      <c r="D2771" s="29">
        <f>VALUE(LEFT(C2771,LEN(C2771)-3))</f>
        <v>3</v>
      </c>
    </row>
    <row r="2773" spans="1:4">
      <c r="A2773" s="23" t="s">
        <v>544</v>
      </c>
      <c r="B2773" t="s">
        <v>545</v>
      </c>
      <c r="C2773" t="s">
        <v>696</v>
      </c>
      <c r="D2773" s="29">
        <f>VALUE(LEFT(C2773,LEN(C2773)-2))</f>
        <v>12.1</v>
      </c>
    </row>
    <row r="2774" spans="1:4">
      <c r="A2774" s="23" t="s">
        <v>547</v>
      </c>
      <c r="B2774" t="s">
        <v>545</v>
      </c>
      <c r="C2774" s="24">
        <v>0.74</v>
      </c>
      <c r="D2774" s="27">
        <f>VALUE(C2774*100)</f>
        <v>74</v>
      </c>
    </row>
    <row r="2775" spans="1:4">
      <c r="A2775" s="23" t="s">
        <v>548</v>
      </c>
      <c r="B2775" t="s">
        <v>545</v>
      </c>
      <c r="C2775" t="s">
        <v>652</v>
      </c>
      <c r="D2775" s="29">
        <f>VALUE(LEFT(C2775,LEN(C2775)-2))</f>
        <v>7.5</v>
      </c>
    </row>
    <row r="2776" spans="1:4">
      <c r="A2776" s="23" t="s">
        <v>550</v>
      </c>
      <c r="B2776" t="s">
        <v>545</v>
      </c>
      <c r="C2776" t="s">
        <v>697</v>
      </c>
      <c r="D2776" s="28">
        <f>VALUE(LEFT(C2776,LEN(C2776)-4))</f>
        <v>1024.8</v>
      </c>
    </row>
    <row r="2777" spans="1:4">
      <c r="A2777" s="23" t="s">
        <v>552</v>
      </c>
      <c r="B2777" t="s">
        <v>545</v>
      </c>
      <c r="C2777" t="s">
        <v>698</v>
      </c>
      <c r="D2777" s="29">
        <f>VALUE(LEFT(C2777,LEN(C2777)-FIND("km/h",C2777)+1)/3.6)</f>
        <v>3.0555555555555554</v>
      </c>
    </row>
    <row r="2778" spans="1:4">
      <c r="A2778" s="23" t="s">
        <v>554</v>
      </c>
      <c r="B2778" t="s">
        <v>545</v>
      </c>
      <c r="C2778" t="s">
        <v>699</v>
      </c>
      <c r="D2778" s="29">
        <f>VALUE(LEFT(C2778,LEN(C2778)-FIND("km/h",C2778)+1)/3.6)</f>
        <v>4.583333333333333</v>
      </c>
    </row>
    <row r="2779" spans="1:4">
      <c r="A2779" s="23" t="s">
        <v>556</v>
      </c>
      <c r="B2779" t="s">
        <v>545</v>
      </c>
      <c r="C2779" t="s">
        <v>700</v>
      </c>
      <c r="D2779" s="26">
        <f>VALUE(LEFT(C2779,LEN(C2779)-7))</f>
        <v>299</v>
      </c>
    </row>
    <row r="2780" spans="1:4">
      <c r="A2780" s="23" t="s">
        <v>558</v>
      </c>
      <c r="B2780" t="s">
        <v>545</v>
      </c>
      <c r="C2780" t="s">
        <v>701</v>
      </c>
      <c r="D2780" s="29">
        <f>VALUE(LEFT(C2780,LEN(C2780)-3))</f>
        <v>34.299999999999997</v>
      </c>
    </row>
    <row r="2781" spans="1:4">
      <c r="A2781" s="23" t="s">
        <v>560</v>
      </c>
      <c r="B2781" t="s">
        <v>545</v>
      </c>
      <c r="C2781" t="s">
        <v>702</v>
      </c>
      <c r="D2781" s="29">
        <f>VALUE(LEFT(C2781,LEN(C2781)-3))</f>
        <v>470.4</v>
      </c>
    </row>
    <row r="2782" spans="1:4">
      <c r="A2782" s="23" t="s">
        <v>562</v>
      </c>
      <c r="B2782" t="s">
        <v>545</v>
      </c>
      <c r="C2782" t="s">
        <v>581</v>
      </c>
      <c r="D2782" s="29">
        <f>VALUE(LEFT(C2782,LEN(C2782)-3))</f>
        <v>1</v>
      </c>
    </row>
    <row r="2784" spans="1:4">
      <c r="A2784" s="23" t="s">
        <v>544</v>
      </c>
      <c r="B2784" t="s">
        <v>545</v>
      </c>
      <c r="C2784" t="s">
        <v>689</v>
      </c>
      <c r="D2784" s="29">
        <f>VALUE(LEFT(C2784,LEN(C2784)-2))</f>
        <v>10.7</v>
      </c>
    </row>
    <row r="2785" spans="1:4">
      <c r="A2785" s="23" t="s">
        <v>547</v>
      </c>
      <c r="B2785" t="s">
        <v>545</v>
      </c>
      <c r="C2785" s="24">
        <v>0.67</v>
      </c>
      <c r="D2785" s="27">
        <f>VALUE(C2785*100)</f>
        <v>67</v>
      </c>
    </row>
    <row r="2786" spans="1:4">
      <c r="A2786" s="23" t="s">
        <v>548</v>
      </c>
      <c r="B2786" t="s">
        <v>545</v>
      </c>
      <c r="C2786" t="s">
        <v>703</v>
      </c>
      <c r="D2786" s="29">
        <f>VALUE(LEFT(C2786,LEN(C2786)-2))</f>
        <v>4.5</v>
      </c>
    </row>
    <row r="2787" spans="1:4">
      <c r="A2787" s="23" t="s">
        <v>550</v>
      </c>
      <c r="B2787" t="s">
        <v>545</v>
      </c>
      <c r="C2787" t="s">
        <v>691</v>
      </c>
      <c r="D2787" s="28">
        <f>VALUE(LEFT(C2787,LEN(C2787)-4))</f>
        <v>1020.2</v>
      </c>
    </row>
    <row r="2788" spans="1:4">
      <c r="A2788" s="23" t="s">
        <v>552</v>
      </c>
      <c r="B2788" t="s">
        <v>545</v>
      </c>
      <c r="C2788" t="s">
        <v>704</v>
      </c>
      <c r="D2788" s="29">
        <f>VALUE(LEFT(C2788,LEN(C2788)-FIND("km/h",C2788)+1)/3.6)</f>
        <v>3.1388888888888888</v>
      </c>
    </row>
    <row r="2789" spans="1:4">
      <c r="A2789" s="23" t="s">
        <v>554</v>
      </c>
      <c r="B2789" t="s">
        <v>545</v>
      </c>
      <c r="C2789" t="s">
        <v>705</v>
      </c>
      <c r="D2789" s="29">
        <f>VALUE(LEFT(C2789,LEN(C2789)-FIND("km/h",C2789)+1)/3.6)</f>
        <v>4.4722222222222223</v>
      </c>
    </row>
    <row r="2790" spans="1:4">
      <c r="A2790" s="23" t="s">
        <v>556</v>
      </c>
      <c r="B2790" t="s">
        <v>545</v>
      </c>
      <c r="C2790" t="s">
        <v>656</v>
      </c>
      <c r="D2790" s="26">
        <f>VALUE(LEFT(C2790,LEN(C2790)-7))</f>
        <v>330</v>
      </c>
    </row>
    <row r="2791" spans="1:4">
      <c r="A2791" s="23" t="s">
        <v>558</v>
      </c>
      <c r="B2791" t="s">
        <v>545</v>
      </c>
      <c r="C2791" t="s">
        <v>706</v>
      </c>
      <c r="D2791" s="29">
        <f>VALUE(LEFT(C2791,LEN(C2791)-3))</f>
        <v>35.299999999999997</v>
      </c>
    </row>
    <row r="2792" spans="1:4">
      <c r="A2792" s="23" t="s">
        <v>560</v>
      </c>
      <c r="B2792" t="s">
        <v>545</v>
      </c>
      <c r="C2792" t="s">
        <v>707</v>
      </c>
      <c r="D2792" s="29">
        <f>VALUE(LEFT(C2792,LEN(C2792)-3))</f>
        <v>471.4</v>
      </c>
    </row>
    <row r="2793" spans="1:4">
      <c r="A2793" s="23" t="s">
        <v>562</v>
      </c>
      <c r="B2793" t="s">
        <v>545</v>
      </c>
      <c r="C2793" t="s">
        <v>581</v>
      </c>
      <c r="D2793" s="29">
        <f>VALUE(LEFT(C2793,LEN(C2793)-3))</f>
        <v>1</v>
      </c>
    </row>
    <row r="2795" spans="1:4">
      <c r="A2795" s="23" t="s">
        <v>544</v>
      </c>
      <c r="B2795" t="s">
        <v>545</v>
      </c>
      <c r="C2795" t="s">
        <v>667</v>
      </c>
      <c r="D2795" s="29">
        <f>VALUE(LEFT(C2795,LEN(C2795)-2))</f>
        <v>9.6</v>
      </c>
    </row>
    <row r="2796" spans="1:4">
      <c r="A2796" s="23" t="s">
        <v>547</v>
      </c>
      <c r="B2796" t="s">
        <v>545</v>
      </c>
      <c r="C2796" s="24">
        <v>0.75</v>
      </c>
      <c r="D2796" s="27">
        <f>VALUE(C2796*100)</f>
        <v>75</v>
      </c>
    </row>
    <row r="2797" spans="1:4">
      <c r="A2797" s="23" t="s">
        <v>548</v>
      </c>
      <c r="B2797" t="s">
        <v>545</v>
      </c>
      <c r="C2797" t="s">
        <v>708</v>
      </c>
      <c r="D2797" s="29">
        <f>VALUE(LEFT(C2797,LEN(C2797)-2))</f>
        <v>5.0999999999999996</v>
      </c>
    </row>
    <row r="2798" spans="1:4">
      <c r="A2798" s="23" t="s">
        <v>550</v>
      </c>
      <c r="B2798" t="s">
        <v>545</v>
      </c>
      <c r="C2798" t="s">
        <v>709</v>
      </c>
      <c r="D2798" s="28">
        <f>VALUE(LEFT(C2798,LEN(C2798)-4))</f>
        <v>1007.6</v>
      </c>
    </row>
    <row r="2799" spans="1:4">
      <c r="A2799" s="23" t="s">
        <v>552</v>
      </c>
      <c r="B2799" t="s">
        <v>545</v>
      </c>
      <c r="C2799" t="s">
        <v>692</v>
      </c>
      <c r="D2799" s="29">
        <f>VALUE(LEFT(C2799,LEN(C2799)-FIND("km/h",C2799)+1)/3.6)</f>
        <v>2.1388888888888888</v>
      </c>
    </row>
    <row r="2800" spans="1:4">
      <c r="A2800" s="23" t="s">
        <v>554</v>
      </c>
      <c r="B2800" t="s">
        <v>545</v>
      </c>
      <c r="C2800" t="s">
        <v>710</v>
      </c>
      <c r="D2800" s="29">
        <f>VALUE(LEFT(C2800,LEN(C2800)-FIND("km/h",C2800)+1)/3.6)</f>
        <v>3.0277777777777777</v>
      </c>
    </row>
    <row r="2801" spans="1:4">
      <c r="A2801" s="23" t="s">
        <v>556</v>
      </c>
      <c r="B2801" t="s">
        <v>545</v>
      </c>
      <c r="C2801" t="s">
        <v>711</v>
      </c>
      <c r="D2801" s="26">
        <f>VALUE(LEFT(C2801,LEN(C2801)-7))</f>
        <v>127</v>
      </c>
    </row>
    <row r="2802" spans="1:4">
      <c r="A2802" s="23" t="s">
        <v>558</v>
      </c>
      <c r="B2802" t="s">
        <v>545</v>
      </c>
      <c r="C2802" t="s">
        <v>712</v>
      </c>
      <c r="D2802" s="29">
        <f>VALUE(LEFT(C2802,LEN(C2802)-3))</f>
        <v>36.299999999999997</v>
      </c>
    </row>
    <row r="2803" spans="1:4">
      <c r="A2803" s="23" t="s">
        <v>560</v>
      </c>
      <c r="B2803" t="s">
        <v>545</v>
      </c>
      <c r="C2803" t="s">
        <v>713</v>
      </c>
      <c r="D2803" s="29">
        <f>VALUE(LEFT(C2803,LEN(C2803)-3))</f>
        <v>472.4</v>
      </c>
    </row>
    <row r="2804" spans="1:4">
      <c r="A2804" s="23" t="s">
        <v>562</v>
      </c>
      <c r="B2804" t="s">
        <v>545</v>
      </c>
      <c r="C2804" t="s">
        <v>581</v>
      </c>
      <c r="D2804" s="29">
        <f>VALUE(LEFT(C2804,LEN(C2804)-3))</f>
        <v>1</v>
      </c>
    </row>
    <row r="2806" spans="1:4">
      <c r="A2806" s="23" t="s">
        <v>544</v>
      </c>
      <c r="B2806" t="s">
        <v>545</v>
      </c>
      <c r="C2806" t="s">
        <v>714</v>
      </c>
      <c r="D2806" s="29">
        <f>VALUE(LEFT(C2806,LEN(C2806)-2))</f>
        <v>10.4</v>
      </c>
    </row>
    <row r="2807" spans="1:4">
      <c r="A2807" s="23" t="s">
        <v>547</v>
      </c>
      <c r="B2807" t="s">
        <v>545</v>
      </c>
      <c r="C2807" s="24">
        <v>0.75</v>
      </c>
      <c r="D2807" s="27">
        <f>VALUE(C2807*100)</f>
        <v>75</v>
      </c>
    </row>
    <row r="2808" spans="1:4">
      <c r="A2808" s="23" t="s">
        <v>548</v>
      </c>
      <c r="B2808" t="s">
        <v>545</v>
      </c>
      <c r="C2808" t="s">
        <v>715</v>
      </c>
      <c r="D2808" s="29">
        <f>VALUE(LEFT(C2808,LEN(C2808)-2))</f>
        <v>5.7</v>
      </c>
    </row>
    <row r="2809" spans="1:4">
      <c r="A2809" s="23" t="s">
        <v>550</v>
      </c>
      <c r="B2809" t="s">
        <v>545</v>
      </c>
      <c r="C2809" t="s">
        <v>716</v>
      </c>
      <c r="D2809" s="28">
        <f>VALUE(LEFT(C2809,LEN(C2809)-4))</f>
        <v>1000.4</v>
      </c>
    </row>
    <row r="2810" spans="1:4">
      <c r="A2810" s="23" t="s">
        <v>552</v>
      </c>
      <c r="B2810" t="s">
        <v>545</v>
      </c>
      <c r="C2810" t="s">
        <v>640</v>
      </c>
      <c r="D2810" s="29">
        <f>VALUE(LEFT(C2810,LEN(C2810)-FIND("km/h",C2810)+1)/3.6)</f>
        <v>1.4166666666666665</v>
      </c>
    </row>
    <row r="2811" spans="1:4">
      <c r="A2811" s="23" t="s">
        <v>554</v>
      </c>
      <c r="B2811" t="s">
        <v>545</v>
      </c>
      <c r="C2811" t="s">
        <v>692</v>
      </c>
      <c r="D2811" s="29">
        <f>VALUE(LEFT(C2811,LEN(C2811)-FIND("km/h",C2811)+1)/3.6)</f>
        <v>2.1388888888888888</v>
      </c>
    </row>
    <row r="2812" spans="1:4">
      <c r="A2812" s="23" t="s">
        <v>556</v>
      </c>
      <c r="B2812" t="s">
        <v>545</v>
      </c>
      <c r="C2812" t="s">
        <v>717</v>
      </c>
      <c r="D2812" s="26">
        <f>VALUE(LEFT(C2812,LEN(C2812)-7))</f>
        <v>155</v>
      </c>
    </row>
    <row r="2813" spans="1:4">
      <c r="A2813" s="23" t="s">
        <v>558</v>
      </c>
      <c r="B2813" t="s">
        <v>545</v>
      </c>
      <c r="C2813" t="s">
        <v>718</v>
      </c>
      <c r="D2813" s="29">
        <f>VALUE(LEFT(C2813,LEN(C2813)-3))</f>
        <v>40.299999999999997</v>
      </c>
    </row>
    <row r="2814" spans="1:4">
      <c r="A2814" s="23" t="s">
        <v>560</v>
      </c>
      <c r="B2814" t="s">
        <v>545</v>
      </c>
      <c r="C2814" t="s">
        <v>719</v>
      </c>
      <c r="D2814" s="29">
        <f>VALUE(LEFT(C2814,LEN(C2814)-3))</f>
        <v>476.4</v>
      </c>
    </row>
    <row r="2815" spans="1:4">
      <c r="A2815" s="23" t="s">
        <v>562</v>
      </c>
      <c r="B2815" t="s">
        <v>545</v>
      </c>
      <c r="C2815" t="s">
        <v>589</v>
      </c>
      <c r="D2815" s="29">
        <f>VALUE(LEFT(C2815,LEN(C2815)-3))</f>
        <v>4</v>
      </c>
    </row>
    <row r="2817" spans="1:4">
      <c r="A2817" s="23" t="s">
        <v>544</v>
      </c>
      <c r="B2817" t="s">
        <v>545</v>
      </c>
      <c r="C2817" t="s">
        <v>599</v>
      </c>
      <c r="D2817" s="29">
        <f>VALUE(LEFT(C2817,LEN(C2817)-2))</f>
        <v>10.199999999999999</v>
      </c>
    </row>
    <row r="2818" spans="1:4">
      <c r="A2818" s="23" t="s">
        <v>547</v>
      </c>
      <c r="B2818" t="s">
        <v>545</v>
      </c>
      <c r="C2818" s="24">
        <v>0.7</v>
      </c>
      <c r="D2818" s="27">
        <f>VALUE(C2818*100)</f>
        <v>70</v>
      </c>
    </row>
    <row r="2819" spans="1:4">
      <c r="A2819" s="23" t="s">
        <v>548</v>
      </c>
      <c r="B2819" t="s">
        <v>545</v>
      </c>
      <c r="C2819" t="s">
        <v>686</v>
      </c>
      <c r="D2819" s="29">
        <f>VALUE(LEFT(C2819,LEN(C2819)-2))</f>
        <v>4.4000000000000004</v>
      </c>
    </row>
    <row r="2820" spans="1:4">
      <c r="A2820" s="23" t="s">
        <v>550</v>
      </c>
      <c r="B2820" t="s">
        <v>545</v>
      </c>
      <c r="C2820" t="s">
        <v>720</v>
      </c>
      <c r="D2820" s="28">
        <f>VALUE(LEFT(C2820,LEN(C2820)-4))</f>
        <v>1002.1</v>
      </c>
    </row>
    <row r="2821" spans="1:4">
      <c r="A2821" s="23" t="s">
        <v>552</v>
      </c>
      <c r="B2821" t="s">
        <v>545</v>
      </c>
      <c r="C2821" t="s">
        <v>645</v>
      </c>
      <c r="D2821" s="29">
        <f>VALUE(LEFT(C2821,LEN(C2821)-FIND("km/h",C2821)+1)/3.6)</f>
        <v>1</v>
      </c>
    </row>
    <row r="2822" spans="1:4">
      <c r="A2822" s="23" t="s">
        <v>554</v>
      </c>
      <c r="B2822" t="s">
        <v>545</v>
      </c>
      <c r="C2822" t="s">
        <v>721</v>
      </c>
      <c r="D2822" s="29">
        <f>VALUE(LEFT(C2822,LEN(C2822)-FIND("km/h",C2822)+1)/3.6)</f>
        <v>1.5555555555555554</v>
      </c>
    </row>
    <row r="2823" spans="1:4">
      <c r="A2823" s="23" t="s">
        <v>556</v>
      </c>
      <c r="B2823" t="s">
        <v>545</v>
      </c>
      <c r="C2823" t="s">
        <v>722</v>
      </c>
      <c r="D2823" s="26">
        <f>VALUE(LEFT(C2823,LEN(C2823)-7))</f>
        <v>301</v>
      </c>
    </row>
    <row r="2824" spans="1:4">
      <c r="A2824" s="23" t="s">
        <v>558</v>
      </c>
      <c r="B2824" t="s">
        <v>545</v>
      </c>
      <c r="C2824" t="s">
        <v>718</v>
      </c>
      <c r="D2824" s="29">
        <f>VALUE(LEFT(C2824,LEN(C2824)-3))</f>
        <v>40.299999999999997</v>
      </c>
    </row>
    <row r="2825" spans="1:4">
      <c r="A2825" s="23" t="s">
        <v>560</v>
      </c>
      <c r="B2825" t="s">
        <v>545</v>
      </c>
      <c r="C2825" t="s">
        <v>719</v>
      </c>
      <c r="D2825" s="29">
        <f>VALUE(LEFT(C2825,LEN(C2825)-3))</f>
        <v>476.4</v>
      </c>
    </row>
    <row r="2826" spans="1:4">
      <c r="A2826" s="23" t="s">
        <v>562</v>
      </c>
      <c r="B2826" t="s">
        <v>545</v>
      </c>
      <c r="C2826" t="s">
        <v>604</v>
      </c>
      <c r="D2826" s="29">
        <f>VALUE(LEFT(C2826,LEN(C2826)-3))</f>
        <v>0</v>
      </c>
    </row>
    <row r="2828" spans="1:4">
      <c r="A2828" s="23" t="s">
        <v>544</v>
      </c>
      <c r="B2828" t="s">
        <v>545</v>
      </c>
      <c r="C2828" t="s">
        <v>678</v>
      </c>
      <c r="D2828" s="29">
        <f>VALUE(LEFT(C2828,LEN(C2828)-2))</f>
        <v>11.2</v>
      </c>
    </row>
    <row r="2829" spans="1:4">
      <c r="A2829" s="23" t="s">
        <v>547</v>
      </c>
      <c r="B2829" t="s">
        <v>545</v>
      </c>
      <c r="C2829" s="24">
        <v>0.79</v>
      </c>
      <c r="D2829" s="27">
        <f>VALUE(C2829*100)</f>
        <v>79</v>
      </c>
    </row>
    <row r="2830" spans="1:4">
      <c r="A2830" s="23" t="s">
        <v>548</v>
      </c>
      <c r="B2830" t="s">
        <v>545</v>
      </c>
      <c r="C2830" t="s">
        <v>723</v>
      </c>
      <c r="D2830" s="29">
        <f>VALUE(LEFT(C2830,LEN(C2830)-2))</f>
        <v>7.6</v>
      </c>
    </row>
    <row r="2831" spans="1:4">
      <c r="A2831" s="23" t="s">
        <v>550</v>
      </c>
      <c r="B2831" t="s">
        <v>545</v>
      </c>
      <c r="C2831" t="s">
        <v>724</v>
      </c>
      <c r="D2831" s="28">
        <f>VALUE(LEFT(C2831,LEN(C2831)-4))</f>
        <v>1005.2</v>
      </c>
    </row>
    <row r="2832" spans="1:4">
      <c r="A2832" s="23" t="s">
        <v>552</v>
      </c>
      <c r="B2832" t="s">
        <v>545</v>
      </c>
      <c r="C2832" t="s">
        <v>660</v>
      </c>
      <c r="D2832" s="29">
        <f>VALUE(LEFT(C2832,LEN(C2832)-FIND("km/h",C2832)+1)/3.6)</f>
        <v>2.5555555555555554</v>
      </c>
    </row>
    <row r="2833" spans="1:4">
      <c r="A2833" s="23" t="s">
        <v>554</v>
      </c>
      <c r="B2833" t="s">
        <v>545</v>
      </c>
      <c r="C2833" t="s">
        <v>725</v>
      </c>
      <c r="D2833" s="29">
        <f>VALUE(LEFT(C2833,LEN(C2833)-FIND("km/h",C2833)+1)/3.6)</f>
        <v>3.5277777777777777</v>
      </c>
    </row>
    <row r="2834" spans="1:4">
      <c r="A2834" s="23" t="s">
        <v>556</v>
      </c>
      <c r="B2834" t="s">
        <v>545</v>
      </c>
      <c r="C2834" t="s">
        <v>726</v>
      </c>
      <c r="D2834" s="26">
        <f>VALUE(LEFT(C2834,LEN(C2834)-7))</f>
        <v>180</v>
      </c>
    </row>
    <row r="2835" spans="1:4">
      <c r="A2835" s="23" t="s">
        <v>558</v>
      </c>
      <c r="B2835" t="s">
        <v>545</v>
      </c>
      <c r="C2835" t="s">
        <v>727</v>
      </c>
      <c r="D2835" s="29">
        <f>VALUE(LEFT(C2835,LEN(C2835)-3))</f>
        <v>48.7</v>
      </c>
    </row>
    <row r="2836" spans="1:4">
      <c r="A2836" s="23" t="s">
        <v>560</v>
      </c>
      <c r="B2836" t="s">
        <v>545</v>
      </c>
      <c r="C2836" t="s">
        <v>728</v>
      </c>
      <c r="D2836" s="29">
        <f>VALUE(LEFT(C2836,LEN(C2836)-3))</f>
        <v>484.8</v>
      </c>
    </row>
    <row r="2837" spans="1:4">
      <c r="A2837" s="23" t="s">
        <v>562</v>
      </c>
      <c r="B2837" t="s">
        <v>545</v>
      </c>
      <c r="C2837" t="s">
        <v>729</v>
      </c>
      <c r="D2837" s="29">
        <f>VALUE(LEFT(C2837,LEN(C2837)-3))</f>
        <v>8.4</v>
      </c>
    </row>
    <row r="2839" spans="1:4">
      <c r="A2839" s="23" t="s">
        <v>544</v>
      </c>
      <c r="B2839" t="s">
        <v>545</v>
      </c>
      <c r="C2839" t="s">
        <v>657</v>
      </c>
      <c r="D2839" s="29">
        <f>VALUE(LEFT(C2839,LEN(C2839)-2))</f>
        <v>13.2</v>
      </c>
    </row>
    <row r="2840" spans="1:4">
      <c r="A2840" s="23" t="s">
        <v>547</v>
      </c>
      <c r="B2840" t="s">
        <v>545</v>
      </c>
      <c r="C2840" s="24">
        <v>0.87</v>
      </c>
      <c r="D2840" s="27">
        <f>VALUE(C2840*100)</f>
        <v>87</v>
      </c>
    </row>
    <row r="2841" spans="1:4">
      <c r="A2841" s="23" t="s">
        <v>548</v>
      </c>
      <c r="B2841" t="s">
        <v>545</v>
      </c>
      <c r="C2841" t="s">
        <v>730</v>
      </c>
      <c r="D2841" s="29">
        <f>VALUE(LEFT(C2841,LEN(C2841)-2))</f>
        <v>11</v>
      </c>
    </row>
    <row r="2842" spans="1:4">
      <c r="A2842" s="23" t="s">
        <v>550</v>
      </c>
      <c r="B2842" t="s">
        <v>545</v>
      </c>
      <c r="C2842" t="s">
        <v>731</v>
      </c>
      <c r="D2842" s="28">
        <f>VALUE(LEFT(C2842,LEN(C2842)-4))</f>
        <v>1004</v>
      </c>
    </row>
    <row r="2843" spans="1:4">
      <c r="A2843" s="23" t="s">
        <v>552</v>
      </c>
      <c r="B2843" t="s">
        <v>545</v>
      </c>
      <c r="C2843" t="s">
        <v>698</v>
      </c>
      <c r="D2843" s="29">
        <f>VALUE(LEFT(C2843,LEN(C2843)-FIND("km/h",C2843)+1)/3.6)</f>
        <v>3.0555555555555554</v>
      </c>
    </row>
    <row r="2844" spans="1:4">
      <c r="A2844" s="23" t="s">
        <v>554</v>
      </c>
      <c r="B2844" t="s">
        <v>545</v>
      </c>
      <c r="C2844" t="s">
        <v>732</v>
      </c>
      <c r="D2844" s="29">
        <f>VALUE(LEFT(C2844,LEN(C2844)-FIND("km/h",C2844)+1)/3.6)</f>
        <v>4.1111111111111116</v>
      </c>
    </row>
    <row r="2845" spans="1:4">
      <c r="A2845" s="23" t="s">
        <v>556</v>
      </c>
      <c r="B2845" t="s">
        <v>545</v>
      </c>
      <c r="C2845" t="s">
        <v>733</v>
      </c>
      <c r="D2845" s="26">
        <f>VALUE(LEFT(C2845,LEN(C2845)-7))</f>
        <v>165</v>
      </c>
    </row>
    <row r="2846" spans="1:4">
      <c r="A2846" s="23" t="s">
        <v>558</v>
      </c>
      <c r="B2846" t="s">
        <v>545</v>
      </c>
      <c r="C2846" t="s">
        <v>734</v>
      </c>
      <c r="D2846" s="29">
        <f>VALUE(LEFT(C2846,LEN(C2846)-3))</f>
        <v>72.400000000000006</v>
      </c>
    </row>
    <row r="2847" spans="1:4">
      <c r="A2847" s="23" t="s">
        <v>560</v>
      </c>
      <c r="B2847" t="s">
        <v>545</v>
      </c>
      <c r="C2847" t="s">
        <v>735</v>
      </c>
      <c r="D2847" s="29">
        <f>VALUE(LEFT(C2847,LEN(C2847)-3))</f>
        <v>508.5</v>
      </c>
    </row>
    <row r="2848" spans="1:4">
      <c r="A2848" s="23" t="s">
        <v>562</v>
      </c>
      <c r="B2848" t="s">
        <v>545</v>
      </c>
      <c r="C2848" t="s">
        <v>736</v>
      </c>
      <c r="D2848" s="29">
        <f>VALUE(LEFT(C2848,LEN(C2848)-3))</f>
        <v>23.7</v>
      </c>
    </row>
    <row r="2849" spans="1:4" s="30" customFormat="1"/>
    <row r="2850" spans="1:4">
      <c r="A2850" s="23" t="s">
        <v>544</v>
      </c>
      <c r="B2850" t="s">
        <v>545</v>
      </c>
      <c r="C2850" t="s">
        <v>549</v>
      </c>
      <c r="D2850" s="29">
        <f>VALUE(LEFT(C2850,LEN(C2850)-2))</f>
        <v>12.5</v>
      </c>
    </row>
    <row r="2851" spans="1:4">
      <c r="A2851" s="23" t="s">
        <v>547</v>
      </c>
      <c r="B2851" t="s">
        <v>545</v>
      </c>
      <c r="C2851" s="24">
        <v>0.88</v>
      </c>
      <c r="D2851" s="27">
        <f>VALUE(C2851*100)</f>
        <v>88</v>
      </c>
    </row>
    <row r="2852" spans="1:4">
      <c r="A2852" s="23" t="s">
        <v>548</v>
      </c>
      <c r="B2852" t="s">
        <v>545</v>
      </c>
      <c r="C2852" t="s">
        <v>737</v>
      </c>
      <c r="D2852" s="29">
        <f>VALUE(LEFT(C2852,LEN(C2852)-2))</f>
        <v>10.6</v>
      </c>
    </row>
    <row r="2853" spans="1:4">
      <c r="A2853" s="23" t="s">
        <v>550</v>
      </c>
      <c r="B2853" t="s">
        <v>545</v>
      </c>
      <c r="C2853" t="s">
        <v>738</v>
      </c>
      <c r="D2853" s="28">
        <f>VALUE(LEFT(C2853,LEN(C2853)-4))</f>
        <v>997.6</v>
      </c>
    </row>
    <row r="2854" spans="1:4">
      <c r="A2854" s="23" t="s">
        <v>552</v>
      </c>
      <c r="B2854" t="s">
        <v>545</v>
      </c>
      <c r="C2854" t="s">
        <v>739</v>
      </c>
      <c r="D2854" s="29">
        <f>VALUE(LEFT(C2854,LEN(C2854)-FIND("km/h",C2854)+1)/3.6)</f>
        <v>3.75</v>
      </c>
    </row>
    <row r="2855" spans="1:4">
      <c r="A2855" s="23" t="s">
        <v>554</v>
      </c>
      <c r="B2855" t="s">
        <v>545</v>
      </c>
      <c r="C2855" t="s">
        <v>740</v>
      </c>
      <c r="D2855" s="29">
        <f>VALUE(LEFT(C2855,LEN(C2855)-FIND("km/h",C2855)+1)/3.6)</f>
        <v>4.9722222222222214</v>
      </c>
    </row>
    <row r="2856" spans="1:4">
      <c r="A2856" s="23" t="s">
        <v>556</v>
      </c>
      <c r="B2856" t="s">
        <v>545</v>
      </c>
      <c r="C2856" t="s">
        <v>741</v>
      </c>
      <c r="D2856" s="26">
        <f>VALUE(LEFT(C2856,LEN(C2856)-7))</f>
        <v>173</v>
      </c>
    </row>
    <row r="2857" spans="1:4">
      <c r="A2857" s="23" t="s">
        <v>558</v>
      </c>
      <c r="B2857" t="s">
        <v>545</v>
      </c>
      <c r="C2857" t="s">
        <v>742</v>
      </c>
      <c r="D2857" s="29">
        <f>VALUE(LEFT(C2857,LEN(C2857)-3))</f>
        <v>45.3</v>
      </c>
    </row>
    <row r="2858" spans="1:4">
      <c r="A2858" s="23" t="s">
        <v>560</v>
      </c>
      <c r="B2858" t="s">
        <v>545</v>
      </c>
      <c r="C2858" t="s">
        <v>743</v>
      </c>
      <c r="D2858" s="29">
        <f>VALUE(LEFT(C2858,LEN(C2858)-3))</f>
        <v>553.79999999999995</v>
      </c>
    </row>
    <row r="2859" spans="1:4">
      <c r="A2859" s="23" t="s">
        <v>562</v>
      </c>
      <c r="B2859" t="s">
        <v>545</v>
      </c>
      <c r="C2859" t="s">
        <v>742</v>
      </c>
      <c r="D2859" s="29">
        <f>VALUE(LEFT(C2859,LEN(C2859)-3))</f>
        <v>45.3</v>
      </c>
    </row>
    <row r="2861" spans="1:4">
      <c r="A2861" s="23" t="s">
        <v>544</v>
      </c>
      <c r="B2861" t="s">
        <v>545</v>
      </c>
      <c r="C2861" t="s">
        <v>744</v>
      </c>
      <c r="D2861" s="29">
        <f>VALUE(LEFT(C2861,LEN(C2861)-2))</f>
        <v>12</v>
      </c>
    </row>
    <row r="2862" spans="1:4">
      <c r="A2862" s="23" t="s">
        <v>547</v>
      </c>
      <c r="B2862" t="s">
        <v>545</v>
      </c>
      <c r="C2862" s="24">
        <v>0.81</v>
      </c>
      <c r="D2862" s="27">
        <f>VALUE(C2862*100)</f>
        <v>81</v>
      </c>
    </row>
    <row r="2863" spans="1:4">
      <c r="A2863" s="23" t="s">
        <v>548</v>
      </c>
      <c r="B2863" t="s">
        <v>545</v>
      </c>
      <c r="C2863" t="s">
        <v>745</v>
      </c>
      <c r="D2863" s="29">
        <f>VALUE(LEFT(C2863,LEN(C2863)-2))</f>
        <v>8.6999999999999993</v>
      </c>
    </row>
    <row r="2864" spans="1:4">
      <c r="A2864" s="23" t="s">
        <v>550</v>
      </c>
      <c r="B2864" t="s">
        <v>545</v>
      </c>
      <c r="C2864" t="s">
        <v>746</v>
      </c>
      <c r="D2864" s="28">
        <f>VALUE(LEFT(C2864,LEN(C2864)-4))</f>
        <v>996.5</v>
      </c>
    </row>
    <row r="2865" spans="1:4">
      <c r="A2865" s="23" t="s">
        <v>552</v>
      </c>
      <c r="B2865" t="s">
        <v>545</v>
      </c>
      <c r="C2865" t="s">
        <v>747</v>
      </c>
      <c r="D2865" s="29">
        <f>VALUE(LEFT(C2865,LEN(C2865)-FIND("km/h",C2865)+1)/3.6)</f>
        <v>2.0555555555555558</v>
      </c>
    </row>
    <row r="2866" spans="1:4">
      <c r="A2866" s="23" t="s">
        <v>554</v>
      </c>
      <c r="B2866" t="s">
        <v>545</v>
      </c>
      <c r="C2866" t="s">
        <v>748</v>
      </c>
      <c r="D2866" s="29">
        <f>VALUE(LEFT(C2866,LEN(C2866)-FIND("km/h",C2866)+1)/3.6)</f>
        <v>2.8611111111111112</v>
      </c>
    </row>
    <row r="2867" spans="1:4">
      <c r="A2867" s="23" t="s">
        <v>556</v>
      </c>
      <c r="B2867" t="s">
        <v>545</v>
      </c>
      <c r="C2867" t="s">
        <v>749</v>
      </c>
      <c r="D2867" s="26">
        <f>VALUE(LEFT(C2867,LEN(C2867)-7))</f>
        <v>175</v>
      </c>
    </row>
    <row r="2868" spans="1:4">
      <c r="A2868" s="23" t="s">
        <v>558</v>
      </c>
      <c r="B2868" t="s">
        <v>545</v>
      </c>
      <c r="C2868" t="s">
        <v>750</v>
      </c>
      <c r="D2868" s="29">
        <f>VALUE(LEFT(C2868,LEN(C2868)-3))</f>
        <v>53.9</v>
      </c>
    </row>
    <row r="2869" spans="1:4">
      <c r="A2869" s="23" t="s">
        <v>560</v>
      </c>
      <c r="B2869" t="s">
        <v>545</v>
      </c>
      <c r="C2869" t="s">
        <v>751</v>
      </c>
      <c r="D2869" s="29">
        <f>VALUE(LEFT(C2869,LEN(C2869)-3))</f>
        <v>562.4</v>
      </c>
    </row>
    <row r="2870" spans="1:4">
      <c r="A2870" s="23" t="s">
        <v>562</v>
      </c>
      <c r="B2870" t="s">
        <v>545</v>
      </c>
      <c r="C2870" t="s">
        <v>752</v>
      </c>
      <c r="D2870" s="29">
        <f>VALUE(LEFT(C2870,LEN(C2870)-3))</f>
        <v>8.6</v>
      </c>
    </row>
    <row r="2872" spans="1:4">
      <c r="A2872" s="23" t="s">
        <v>544</v>
      </c>
      <c r="B2872" t="s">
        <v>545</v>
      </c>
      <c r="C2872" t="s">
        <v>753</v>
      </c>
      <c r="D2872" s="29">
        <f>VALUE(LEFT(C2872,LEN(C2872)-2))</f>
        <v>11.5</v>
      </c>
    </row>
    <row r="2873" spans="1:4">
      <c r="A2873" s="23" t="s">
        <v>547</v>
      </c>
      <c r="B2873" t="s">
        <v>545</v>
      </c>
      <c r="C2873" s="24">
        <v>0.81</v>
      </c>
      <c r="D2873" s="27">
        <f>VALUE(C2873*100)</f>
        <v>81</v>
      </c>
    </row>
    <row r="2874" spans="1:4">
      <c r="A2874" s="23" t="s">
        <v>548</v>
      </c>
      <c r="B2874" t="s">
        <v>545</v>
      </c>
      <c r="C2874" t="s">
        <v>754</v>
      </c>
      <c r="D2874" s="29">
        <f>VALUE(LEFT(C2874,LEN(C2874)-2))</f>
        <v>8.1</v>
      </c>
    </row>
    <row r="2875" spans="1:4">
      <c r="A2875" s="23" t="s">
        <v>550</v>
      </c>
      <c r="B2875" t="s">
        <v>545</v>
      </c>
      <c r="C2875" t="s">
        <v>724</v>
      </c>
      <c r="D2875" s="28">
        <f>VALUE(LEFT(C2875,LEN(C2875)-4))</f>
        <v>1005.2</v>
      </c>
    </row>
    <row r="2876" spans="1:4">
      <c r="A2876" s="23" t="s">
        <v>552</v>
      </c>
      <c r="B2876" t="s">
        <v>545</v>
      </c>
      <c r="C2876" t="s">
        <v>602</v>
      </c>
      <c r="D2876" s="29">
        <f>VALUE(LEFT(C2876,LEN(C2876)-FIND("km/h",C2876)+1)/3.6)</f>
        <v>1.4444444444444444</v>
      </c>
    </row>
    <row r="2877" spans="1:4">
      <c r="A2877" s="23" t="s">
        <v>554</v>
      </c>
      <c r="B2877" t="s">
        <v>545</v>
      </c>
      <c r="C2877" t="s">
        <v>755</v>
      </c>
      <c r="D2877" s="29">
        <f>VALUE(LEFT(C2877,LEN(C2877)-FIND("km/h",C2877)+1)/3.6)</f>
        <v>2.1944444444444446</v>
      </c>
    </row>
    <row r="2878" spans="1:4">
      <c r="A2878" s="23" t="s">
        <v>556</v>
      </c>
      <c r="B2878" t="s">
        <v>545</v>
      </c>
      <c r="C2878" t="s">
        <v>756</v>
      </c>
      <c r="D2878" s="26">
        <f>VALUE(LEFT(C2878,LEN(C2878)-7))</f>
        <v>267</v>
      </c>
    </row>
    <row r="2879" spans="1:4">
      <c r="A2879" s="23" t="s">
        <v>558</v>
      </c>
      <c r="B2879" t="s">
        <v>545</v>
      </c>
      <c r="C2879" t="s">
        <v>757</v>
      </c>
      <c r="D2879" s="29">
        <f>VALUE(LEFT(C2879,LEN(C2879)-3))</f>
        <v>58.9</v>
      </c>
    </row>
    <row r="2880" spans="1:4">
      <c r="A2880" s="23" t="s">
        <v>560</v>
      </c>
      <c r="B2880" t="s">
        <v>545</v>
      </c>
      <c r="C2880" t="s">
        <v>758</v>
      </c>
      <c r="D2880" s="29">
        <f>VALUE(LEFT(C2880,LEN(C2880)-3))</f>
        <v>567.4</v>
      </c>
    </row>
    <row r="2881" spans="1:4">
      <c r="A2881" s="23" t="s">
        <v>562</v>
      </c>
      <c r="B2881" t="s">
        <v>545</v>
      </c>
      <c r="C2881" t="s">
        <v>677</v>
      </c>
      <c r="D2881" s="29">
        <f>VALUE(LEFT(C2881,LEN(C2881)-3))</f>
        <v>5</v>
      </c>
    </row>
    <row r="2883" spans="1:4">
      <c r="A2883" s="23" t="s">
        <v>544</v>
      </c>
      <c r="B2883" t="s">
        <v>545</v>
      </c>
      <c r="C2883" t="s">
        <v>759</v>
      </c>
      <c r="D2883" s="29">
        <f>VALUE(LEFT(C2883,LEN(C2883)-2))</f>
        <v>12.3</v>
      </c>
    </row>
    <row r="2884" spans="1:4">
      <c r="A2884" s="23" t="s">
        <v>547</v>
      </c>
      <c r="B2884" t="s">
        <v>545</v>
      </c>
      <c r="C2884" s="24">
        <v>0.93</v>
      </c>
      <c r="D2884" s="27">
        <f>VALUE(C2884*100)</f>
        <v>93</v>
      </c>
    </row>
    <row r="2885" spans="1:4">
      <c r="A2885" s="23" t="s">
        <v>548</v>
      </c>
      <c r="B2885" t="s">
        <v>545</v>
      </c>
      <c r="C2885" t="s">
        <v>760</v>
      </c>
      <c r="D2885" s="29">
        <f>VALUE(LEFT(C2885,LEN(C2885)-2))</f>
        <v>11.3</v>
      </c>
    </row>
    <row r="2886" spans="1:4">
      <c r="A2886" s="23" t="s">
        <v>550</v>
      </c>
      <c r="B2886" t="s">
        <v>545</v>
      </c>
      <c r="C2886" t="s">
        <v>761</v>
      </c>
      <c r="D2886" s="28">
        <f>VALUE(LEFT(C2886,LEN(C2886)-4))</f>
        <v>1014.8</v>
      </c>
    </row>
    <row r="2887" spans="1:4">
      <c r="A2887" s="23" t="s">
        <v>552</v>
      </c>
      <c r="B2887" t="s">
        <v>545</v>
      </c>
      <c r="C2887" t="s">
        <v>762</v>
      </c>
      <c r="D2887" s="29">
        <f>VALUE(LEFT(C2887,LEN(C2887)-FIND("km/h",C2887)+1)/3.6)</f>
        <v>2.4722222222222223</v>
      </c>
    </row>
    <row r="2888" spans="1:4">
      <c r="A2888" s="23" t="s">
        <v>554</v>
      </c>
      <c r="B2888" t="s">
        <v>545</v>
      </c>
      <c r="C2888" t="s">
        <v>763</v>
      </c>
      <c r="D2888" s="29">
        <f>VALUE(LEFT(C2888,LEN(C2888)-FIND("km/h",C2888)+1)/3.6)</f>
        <v>3.3888888888888884</v>
      </c>
    </row>
    <row r="2889" spans="1:4">
      <c r="A2889" s="23" t="s">
        <v>556</v>
      </c>
      <c r="B2889" t="s">
        <v>545</v>
      </c>
      <c r="C2889" t="s">
        <v>764</v>
      </c>
      <c r="D2889" s="26">
        <f>VALUE(LEFT(C2889,LEN(C2889)-7))</f>
        <v>202</v>
      </c>
    </row>
    <row r="2890" spans="1:4">
      <c r="A2890" s="23" t="s">
        <v>558</v>
      </c>
      <c r="B2890" t="s">
        <v>545</v>
      </c>
      <c r="C2890" t="s">
        <v>765</v>
      </c>
      <c r="D2890" s="29">
        <f>VALUE(LEFT(C2890,LEN(C2890)-3))</f>
        <v>86.4</v>
      </c>
    </row>
    <row r="2891" spans="1:4">
      <c r="A2891" s="23" t="s">
        <v>560</v>
      </c>
      <c r="B2891" t="s">
        <v>545</v>
      </c>
      <c r="C2891" t="s">
        <v>766</v>
      </c>
      <c r="D2891" s="29">
        <f>VALUE(LEFT(C2891,LEN(C2891)-3))</f>
        <v>594.9</v>
      </c>
    </row>
    <row r="2892" spans="1:4">
      <c r="A2892" s="23" t="s">
        <v>562</v>
      </c>
      <c r="B2892" t="s">
        <v>545</v>
      </c>
      <c r="C2892" t="s">
        <v>767</v>
      </c>
      <c r="D2892" s="29">
        <f>VALUE(LEFT(C2892,LEN(C2892)-3))</f>
        <v>27.5</v>
      </c>
    </row>
    <row r="2894" spans="1:4">
      <c r="A2894" s="23" t="s">
        <v>544</v>
      </c>
      <c r="B2894" t="s">
        <v>545</v>
      </c>
      <c r="C2894" t="s">
        <v>768</v>
      </c>
      <c r="D2894" s="29">
        <f>VALUE(LEFT(C2894,LEN(C2894)-2))</f>
        <v>16</v>
      </c>
    </row>
    <row r="2895" spans="1:4">
      <c r="A2895" s="23" t="s">
        <v>547</v>
      </c>
      <c r="B2895" t="s">
        <v>545</v>
      </c>
      <c r="C2895" s="24">
        <v>0.92</v>
      </c>
      <c r="D2895" s="27">
        <f>VALUE(C2895*100)</f>
        <v>92</v>
      </c>
    </row>
    <row r="2896" spans="1:4">
      <c r="A2896" s="23" t="s">
        <v>548</v>
      </c>
      <c r="B2896" t="s">
        <v>545</v>
      </c>
      <c r="C2896" t="s">
        <v>605</v>
      </c>
      <c r="D2896" s="29">
        <f>VALUE(LEFT(C2896,LEN(C2896)-2))</f>
        <v>14.5</v>
      </c>
    </row>
    <row r="2897" spans="1:4">
      <c r="A2897" s="23" t="s">
        <v>550</v>
      </c>
      <c r="B2897" t="s">
        <v>545</v>
      </c>
      <c r="C2897" t="s">
        <v>769</v>
      </c>
      <c r="D2897" s="28">
        <f>VALUE(LEFT(C2897,LEN(C2897)-4))</f>
        <v>1018.2</v>
      </c>
    </row>
    <row r="2898" spans="1:4">
      <c r="A2898" s="23" t="s">
        <v>552</v>
      </c>
      <c r="B2898" t="s">
        <v>545</v>
      </c>
      <c r="C2898" t="s">
        <v>770</v>
      </c>
      <c r="D2898" s="29">
        <f>VALUE(LEFT(C2898,LEN(C2898)-FIND("km/h",C2898)+1)/3.6)</f>
        <v>2.0277777777777777</v>
      </c>
    </row>
    <row r="2899" spans="1:4">
      <c r="A2899" s="23" t="s">
        <v>554</v>
      </c>
      <c r="B2899" t="s">
        <v>545</v>
      </c>
      <c r="C2899" t="s">
        <v>748</v>
      </c>
      <c r="D2899" s="29">
        <f>VALUE(LEFT(C2899,LEN(C2899)-FIND("km/h",C2899)+1)/3.6)</f>
        <v>2.8611111111111112</v>
      </c>
    </row>
    <row r="2900" spans="1:4">
      <c r="A2900" s="23" t="s">
        <v>556</v>
      </c>
      <c r="B2900" t="s">
        <v>545</v>
      </c>
      <c r="C2900" t="s">
        <v>771</v>
      </c>
      <c r="D2900" s="26">
        <f>VALUE(LEFT(C2900,LEN(C2900)-7))</f>
        <v>233</v>
      </c>
    </row>
    <row r="2901" spans="1:4">
      <c r="A2901" s="23" t="s">
        <v>558</v>
      </c>
      <c r="B2901" t="s">
        <v>545</v>
      </c>
      <c r="C2901" t="s">
        <v>772</v>
      </c>
      <c r="D2901" s="29">
        <f>VALUE(LEFT(C2901,LEN(C2901)-3))</f>
        <v>87.4</v>
      </c>
    </row>
    <row r="2902" spans="1:4">
      <c r="A2902" s="23" t="s">
        <v>560</v>
      </c>
      <c r="B2902" t="s">
        <v>545</v>
      </c>
      <c r="C2902" t="s">
        <v>773</v>
      </c>
      <c r="D2902" s="29">
        <f>VALUE(LEFT(C2902,LEN(C2902)-3))</f>
        <v>595.9</v>
      </c>
    </row>
    <row r="2903" spans="1:4">
      <c r="A2903" s="23" t="s">
        <v>562</v>
      </c>
      <c r="B2903" t="s">
        <v>545</v>
      </c>
      <c r="C2903" t="s">
        <v>581</v>
      </c>
      <c r="D2903" s="29">
        <f>VALUE(LEFT(C2903,LEN(C2903)-3))</f>
        <v>1</v>
      </c>
    </row>
    <row r="2905" spans="1:4">
      <c r="A2905" s="23" t="s">
        <v>544</v>
      </c>
      <c r="B2905" t="s">
        <v>545</v>
      </c>
      <c r="C2905" t="s">
        <v>774</v>
      </c>
      <c r="D2905" s="29">
        <f>VALUE(LEFT(C2905,LEN(C2905)-2))</f>
        <v>16.399999999999999</v>
      </c>
    </row>
    <row r="2906" spans="1:4">
      <c r="A2906" s="23" t="s">
        <v>547</v>
      </c>
      <c r="B2906" t="s">
        <v>545</v>
      </c>
      <c r="C2906" s="24">
        <v>0.79</v>
      </c>
      <c r="D2906" s="27">
        <f>VALUE(C2906*100)</f>
        <v>79</v>
      </c>
    </row>
    <row r="2907" spans="1:4">
      <c r="A2907" s="23" t="s">
        <v>548</v>
      </c>
      <c r="B2907" t="s">
        <v>545</v>
      </c>
      <c r="C2907" t="s">
        <v>565</v>
      </c>
      <c r="D2907" s="29">
        <f>VALUE(LEFT(C2907,LEN(C2907)-2))</f>
        <v>12.4</v>
      </c>
    </row>
    <row r="2908" spans="1:4">
      <c r="A2908" s="23" t="s">
        <v>550</v>
      </c>
      <c r="B2908" t="s">
        <v>545</v>
      </c>
      <c r="C2908" t="s">
        <v>775</v>
      </c>
      <c r="D2908" s="28">
        <f>VALUE(LEFT(C2908,LEN(C2908)-4))</f>
        <v>1016.8</v>
      </c>
    </row>
    <row r="2909" spans="1:4">
      <c r="A2909" s="23" t="s">
        <v>552</v>
      </c>
      <c r="B2909" t="s">
        <v>545</v>
      </c>
      <c r="C2909" t="s">
        <v>776</v>
      </c>
      <c r="D2909" s="29">
        <f>VALUE(LEFT(C2909,LEN(C2909)-FIND("km/h",C2909)+1)/3.6)</f>
        <v>0.77777777777777768</v>
      </c>
    </row>
    <row r="2910" spans="1:4">
      <c r="A2910" s="23" t="s">
        <v>554</v>
      </c>
      <c r="B2910" t="s">
        <v>545</v>
      </c>
      <c r="C2910" t="s">
        <v>777</v>
      </c>
      <c r="D2910" s="29">
        <f>VALUE(LEFT(C2910,LEN(C2910)-FIND("km/h",C2910)+1)/3.6)</f>
        <v>1.1388888888888888</v>
      </c>
    </row>
    <row r="2911" spans="1:4">
      <c r="A2911" s="23" t="s">
        <v>556</v>
      </c>
      <c r="B2911" t="s">
        <v>545</v>
      </c>
      <c r="C2911" t="s">
        <v>778</v>
      </c>
      <c r="D2911" s="26">
        <f>VALUE(LEFT(C2911,LEN(C2911)-7))</f>
        <v>257</v>
      </c>
    </row>
    <row r="2912" spans="1:4">
      <c r="A2912" s="23" t="s">
        <v>558</v>
      </c>
      <c r="B2912" t="s">
        <v>545</v>
      </c>
      <c r="C2912" t="s">
        <v>772</v>
      </c>
      <c r="D2912" s="29">
        <f>VALUE(LEFT(C2912,LEN(C2912)-3))</f>
        <v>87.4</v>
      </c>
    </row>
    <row r="2913" spans="1:4">
      <c r="A2913" s="23" t="s">
        <v>560</v>
      </c>
      <c r="B2913" t="s">
        <v>545</v>
      </c>
      <c r="C2913" t="s">
        <v>773</v>
      </c>
      <c r="D2913" s="29">
        <f>VALUE(LEFT(C2913,LEN(C2913)-3))</f>
        <v>595.9</v>
      </c>
    </row>
    <row r="2914" spans="1:4">
      <c r="A2914" s="23" t="s">
        <v>562</v>
      </c>
      <c r="B2914" t="s">
        <v>545</v>
      </c>
      <c r="C2914" t="s">
        <v>604</v>
      </c>
      <c r="D2914" s="29">
        <f>VALUE(LEFT(C2914,LEN(C2914)-3))</f>
        <v>0</v>
      </c>
    </row>
    <row r="2916" spans="1:4">
      <c r="A2916" s="23" t="s">
        <v>544</v>
      </c>
      <c r="B2916" t="s">
        <v>545</v>
      </c>
      <c r="C2916" t="s">
        <v>779</v>
      </c>
      <c r="D2916" s="29">
        <f>VALUE(LEFT(C2916,LEN(C2916)-2))</f>
        <v>14.8</v>
      </c>
    </row>
    <row r="2917" spans="1:4">
      <c r="A2917" s="23" t="s">
        <v>547</v>
      </c>
      <c r="B2917" t="s">
        <v>545</v>
      </c>
      <c r="C2917" s="24">
        <v>0.78</v>
      </c>
      <c r="D2917" s="27">
        <f>VALUE(C2917*100)</f>
        <v>78</v>
      </c>
    </row>
    <row r="2918" spans="1:4">
      <c r="A2918" s="23" t="s">
        <v>548</v>
      </c>
      <c r="B2918" t="s">
        <v>545</v>
      </c>
      <c r="C2918" t="s">
        <v>714</v>
      </c>
      <c r="D2918" s="29">
        <f>VALUE(LEFT(C2918,LEN(C2918)-2))</f>
        <v>10.4</v>
      </c>
    </row>
    <row r="2919" spans="1:4">
      <c r="A2919" s="23" t="s">
        <v>550</v>
      </c>
      <c r="B2919" t="s">
        <v>545</v>
      </c>
      <c r="C2919" t="s">
        <v>775</v>
      </c>
      <c r="D2919" s="28">
        <f>VALUE(LEFT(C2919,LEN(C2919)-4))</f>
        <v>1016.8</v>
      </c>
    </row>
    <row r="2920" spans="1:4">
      <c r="A2920" s="23" t="s">
        <v>552</v>
      </c>
      <c r="B2920" t="s">
        <v>545</v>
      </c>
      <c r="C2920" t="s">
        <v>780</v>
      </c>
      <c r="D2920" s="29">
        <f>VALUE(LEFT(C2920,LEN(C2920)-FIND("km/h",C2920)+1)/3.6)</f>
        <v>1.1666666666666667</v>
      </c>
    </row>
    <row r="2921" spans="1:4">
      <c r="A2921" s="23" t="s">
        <v>554</v>
      </c>
      <c r="B2921" t="s">
        <v>545</v>
      </c>
      <c r="C2921" t="s">
        <v>781</v>
      </c>
      <c r="D2921" s="29">
        <f>VALUE(LEFT(C2921,LEN(C2921)-FIND("km/h",C2921)+1)/3.6)</f>
        <v>1.8333333333333333</v>
      </c>
    </row>
    <row r="2922" spans="1:4">
      <c r="A2922" s="23" t="s">
        <v>556</v>
      </c>
      <c r="B2922" t="s">
        <v>545</v>
      </c>
      <c r="C2922" t="s">
        <v>782</v>
      </c>
      <c r="D2922" s="26">
        <f>VALUE(LEFT(C2922,LEN(C2922)-7))</f>
        <v>324</v>
      </c>
    </row>
    <row r="2923" spans="1:4">
      <c r="A2923" s="23" t="s">
        <v>558</v>
      </c>
      <c r="B2923" t="s">
        <v>545</v>
      </c>
      <c r="C2923" t="s">
        <v>772</v>
      </c>
      <c r="D2923" s="29">
        <f>VALUE(LEFT(C2923,LEN(C2923)-3))</f>
        <v>87.4</v>
      </c>
    </row>
    <row r="2924" spans="1:4">
      <c r="A2924" s="23" t="s">
        <v>560</v>
      </c>
      <c r="B2924" t="s">
        <v>545</v>
      </c>
      <c r="C2924" t="s">
        <v>773</v>
      </c>
      <c r="D2924" s="29">
        <f>VALUE(LEFT(C2924,LEN(C2924)-3))</f>
        <v>595.9</v>
      </c>
    </row>
    <row r="2925" spans="1:4">
      <c r="A2925" s="23" t="s">
        <v>562</v>
      </c>
      <c r="B2925" t="s">
        <v>545</v>
      </c>
      <c r="C2925" t="s">
        <v>604</v>
      </c>
      <c r="D2925" s="29">
        <f>VALUE(LEFT(C2925,LEN(C2925)-3))</f>
        <v>0</v>
      </c>
    </row>
    <row r="2927" spans="1:4">
      <c r="A2927" s="23" t="s">
        <v>544</v>
      </c>
      <c r="B2927" t="s">
        <v>545</v>
      </c>
      <c r="C2927" t="s">
        <v>611</v>
      </c>
      <c r="D2927" s="29">
        <f>VALUE(LEFT(C2927,LEN(C2927)-2))</f>
        <v>17.100000000000001</v>
      </c>
    </row>
    <row r="2928" spans="1:4">
      <c r="A2928" s="23" t="s">
        <v>547</v>
      </c>
      <c r="B2928" t="s">
        <v>545</v>
      </c>
      <c r="C2928" s="24">
        <v>0.78</v>
      </c>
      <c r="D2928" s="27">
        <f>VALUE(C2928*100)</f>
        <v>78</v>
      </c>
    </row>
    <row r="2929" spans="1:4">
      <c r="A2929" s="23" t="s">
        <v>548</v>
      </c>
      <c r="B2929" t="s">
        <v>545</v>
      </c>
      <c r="C2929" t="s">
        <v>783</v>
      </c>
      <c r="D2929" s="29">
        <f>VALUE(LEFT(C2929,LEN(C2929)-2))</f>
        <v>12.6</v>
      </c>
    </row>
    <row r="2930" spans="1:4">
      <c r="A2930" s="23" t="s">
        <v>550</v>
      </c>
      <c r="B2930" t="s">
        <v>545</v>
      </c>
      <c r="C2930" t="s">
        <v>784</v>
      </c>
      <c r="D2930" s="28">
        <f>VALUE(LEFT(C2930,LEN(C2930)-4))</f>
        <v>1017.5</v>
      </c>
    </row>
    <row r="2931" spans="1:4">
      <c r="A2931" s="23" t="s">
        <v>552</v>
      </c>
      <c r="B2931" t="s">
        <v>545</v>
      </c>
      <c r="C2931" t="s">
        <v>785</v>
      </c>
      <c r="D2931" s="29">
        <f>VALUE(LEFT(C2931,LEN(C2931)-FIND("km/h",C2931)+1)/3.6)</f>
        <v>1.7222222222222223</v>
      </c>
    </row>
    <row r="2932" spans="1:4">
      <c r="A2932" s="23" t="s">
        <v>554</v>
      </c>
      <c r="B2932" t="s">
        <v>545</v>
      </c>
      <c r="C2932" t="s">
        <v>681</v>
      </c>
      <c r="D2932" s="29">
        <f>VALUE(LEFT(C2932,LEN(C2932)-FIND("km/h",C2932)+1)/3.6)</f>
        <v>2.3888888888888888</v>
      </c>
    </row>
    <row r="2933" spans="1:4">
      <c r="A2933" s="23" t="s">
        <v>556</v>
      </c>
      <c r="B2933" t="s">
        <v>545</v>
      </c>
      <c r="C2933" t="s">
        <v>786</v>
      </c>
      <c r="D2933" s="26">
        <f>VALUE(LEFT(C2933,LEN(C2933)-7))</f>
        <v>345</v>
      </c>
    </row>
    <row r="2934" spans="1:4">
      <c r="A2934" s="23" t="s">
        <v>558</v>
      </c>
      <c r="B2934" t="s">
        <v>545</v>
      </c>
      <c r="C2934" t="s">
        <v>772</v>
      </c>
      <c r="D2934" s="29">
        <f>VALUE(LEFT(C2934,LEN(C2934)-3))</f>
        <v>87.4</v>
      </c>
    </row>
    <row r="2935" spans="1:4">
      <c r="A2935" s="23" t="s">
        <v>560</v>
      </c>
      <c r="B2935" t="s">
        <v>545</v>
      </c>
      <c r="C2935" t="s">
        <v>773</v>
      </c>
      <c r="D2935" s="29">
        <f>VALUE(LEFT(C2935,LEN(C2935)-3))</f>
        <v>595.9</v>
      </c>
    </row>
    <row r="2936" spans="1:4">
      <c r="A2936" s="23" t="s">
        <v>562</v>
      </c>
      <c r="B2936" t="s">
        <v>545</v>
      </c>
      <c r="C2936" t="s">
        <v>604</v>
      </c>
      <c r="D2936" s="29">
        <f>VALUE(LEFT(C2936,LEN(C2936)-3))</f>
        <v>0</v>
      </c>
    </row>
    <row r="2938" spans="1:4">
      <c r="A2938" s="23" t="s">
        <v>544</v>
      </c>
      <c r="B2938" t="s">
        <v>545</v>
      </c>
      <c r="C2938" t="s">
        <v>787</v>
      </c>
      <c r="D2938" s="29">
        <f>VALUE(LEFT(C2938,LEN(C2938)-2))</f>
        <v>19.2</v>
      </c>
    </row>
    <row r="2939" spans="1:4">
      <c r="A2939" s="23" t="s">
        <v>547</v>
      </c>
      <c r="B2939" t="s">
        <v>545</v>
      </c>
      <c r="C2939" s="24">
        <v>0.62</v>
      </c>
      <c r="D2939" s="27">
        <f>VALUE(C2939*100)</f>
        <v>62</v>
      </c>
    </row>
    <row r="2940" spans="1:4">
      <c r="A2940" s="23" t="s">
        <v>548</v>
      </c>
      <c r="B2940" t="s">
        <v>545</v>
      </c>
      <c r="C2940" t="s">
        <v>678</v>
      </c>
      <c r="D2940" s="29">
        <f>VALUE(LEFT(C2940,LEN(C2940)-2))</f>
        <v>11.2</v>
      </c>
    </row>
    <row r="2941" spans="1:4">
      <c r="A2941" s="23" t="s">
        <v>550</v>
      </c>
      <c r="B2941" t="s">
        <v>545</v>
      </c>
      <c r="C2941" t="s">
        <v>788</v>
      </c>
      <c r="D2941" s="28">
        <f>VALUE(LEFT(C2941,LEN(C2941)-4))</f>
        <v>1013.3</v>
      </c>
    </row>
    <row r="2942" spans="1:4">
      <c r="A2942" s="23" t="s">
        <v>552</v>
      </c>
      <c r="B2942" t="s">
        <v>545</v>
      </c>
      <c r="C2942" t="s">
        <v>789</v>
      </c>
      <c r="D2942" s="29">
        <f>VALUE(LEFT(C2942,LEN(C2942)-FIND("km/h",C2942)+1)/3.6)</f>
        <v>1.8055555555555556</v>
      </c>
    </row>
    <row r="2943" spans="1:4">
      <c r="A2943" s="23" t="s">
        <v>554</v>
      </c>
      <c r="B2943" t="s">
        <v>545</v>
      </c>
      <c r="C2943" t="s">
        <v>790</v>
      </c>
      <c r="D2943" s="29">
        <f>VALUE(LEFT(C2943,LEN(C2943)-FIND("km/h",C2943)+1)/3.6)</f>
        <v>2.6111111111111112</v>
      </c>
    </row>
    <row r="2944" spans="1:4">
      <c r="A2944" s="23" t="s">
        <v>556</v>
      </c>
      <c r="B2944" t="s">
        <v>545</v>
      </c>
      <c r="C2944" t="s">
        <v>791</v>
      </c>
      <c r="D2944" s="26">
        <f>VALUE(LEFT(C2944,LEN(C2944)-7))</f>
        <v>108</v>
      </c>
    </row>
    <row r="2945" spans="1:4">
      <c r="A2945" s="23" t="s">
        <v>558</v>
      </c>
      <c r="B2945" t="s">
        <v>545</v>
      </c>
      <c r="C2945" t="s">
        <v>772</v>
      </c>
      <c r="D2945" s="29">
        <f>VALUE(LEFT(C2945,LEN(C2945)-3))</f>
        <v>87.4</v>
      </c>
    </row>
    <row r="2946" spans="1:4">
      <c r="A2946" s="23" t="s">
        <v>560</v>
      </c>
      <c r="B2946" t="s">
        <v>545</v>
      </c>
      <c r="C2946" t="s">
        <v>773</v>
      </c>
      <c r="D2946" s="29">
        <f>VALUE(LEFT(C2946,LEN(C2946)-3))</f>
        <v>595.9</v>
      </c>
    </row>
    <row r="2947" spans="1:4">
      <c r="A2947" s="23" t="s">
        <v>562</v>
      </c>
      <c r="B2947" t="s">
        <v>545</v>
      </c>
      <c r="C2947" t="s">
        <v>604</v>
      </c>
      <c r="D2947" s="29">
        <f>VALUE(LEFT(C2947,LEN(C2947)-3))</f>
        <v>0</v>
      </c>
    </row>
    <row r="2949" spans="1:4">
      <c r="A2949" s="23" t="s">
        <v>544</v>
      </c>
      <c r="B2949" t="s">
        <v>545</v>
      </c>
      <c r="C2949" t="s">
        <v>792</v>
      </c>
      <c r="D2949" s="29">
        <f>VALUE(LEFT(C2949,LEN(C2949)-2))</f>
        <v>16.7</v>
      </c>
    </row>
    <row r="2950" spans="1:4">
      <c r="A2950" s="23" t="s">
        <v>547</v>
      </c>
      <c r="B2950" t="s">
        <v>545</v>
      </c>
      <c r="C2950" s="24">
        <v>0.7</v>
      </c>
      <c r="D2950" s="27">
        <f>VALUE(C2950*100)</f>
        <v>70</v>
      </c>
    </row>
    <row r="2951" spans="1:4">
      <c r="A2951" s="23" t="s">
        <v>548</v>
      </c>
      <c r="B2951" t="s">
        <v>545</v>
      </c>
      <c r="C2951" t="s">
        <v>793</v>
      </c>
      <c r="D2951" s="29">
        <f>VALUE(LEFT(C2951,LEN(C2951)-2))</f>
        <v>10.8</v>
      </c>
    </row>
    <row r="2952" spans="1:4">
      <c r="A2952" s="23" t="s">
        <v>550</v>
      </c>
      <c r="B2952" t="s">
        <v>545</v>
      </c>
      <c r="C2952" t="s">
        <v>794</v>
      </c>
      <c r="D2952" s="28">
        <f>VALUE(LEFT(C2952,LEN(C2952)-4))</f>
        <v>1012.5</v>
      </c>
    </row>
    <row r="2953" spans="1:4">
      <c r="A2953" s="23" t="s">
        <v>552</v>
      </c>
      <c r="B2953" t="s">
        <v>545</v>
      </c>
      <c r="C2953" t="s">
        <v>629</v>
      </c>
      <c r="D2953" s="29">
        <f>VALUE(LEFT(C2953,LEN(C2953)-FIND("km/h",C2953)+1)/3.6)</f>
        <v>1.0833333333333333</v>
      </c>
    </row>
    <row r="2954" spans="1:4">
      <c r="A2954" s="23" t="s">
        <v>554</v>
      </c>
      <c r="B2954" t="s">
        <v>545</v>
      </c>
      <c r="C2954" t="s">
        <v>795</v>
      </c>
      <c r="D2954" s="29">
        <f>VALUE(LEFT(C2954,LEN(C2954)-FIND("km/h",C2954)+1)/3.6)</f>
        <v>1.6111111111111109</v>
      </c>
    </row>
    <row r="2955" spans="1:4">
      <c r="A2955" s="23" t="s">
        <v>556</v>
      </c>
      <c r="B2955" t="s">
        <v>545</v>
      </c>
      <c r="C2955" t="s">
        <v>796</v>
      </c>
      <c r="D2955" s="26">
        <f>VALUE(LEFT(C2955,LEN(C2955)-7))</f>
        <v>268</v>
      </c>
    </row>
    <row r="2956" spans="1:4">
      <c r="A2956" s="23" t="s">
        <v>558</v>
      </c>
      <c r="B2956" t="s">
        <v>545</v>
      </c>
      <c r="C2956" t="s">
        <v>772</v>
      </c>
      <c r="D2956" s="29">
        <f>VALUE(LEFT(C2956,LEN(C2956)-3))</f>
        <v>87.4</v>
      </c>
    </row>
    <row r="2957" spans="1:4">
      <c r="A2957" s="23" t="s">
        <v>560</v>
      </c>
      <c r="B2957" t="s">
        <v>545</v>
      </c>
      <c r="C2957" t="s">
        <v>773</v>
      </c>
      <c r="D2957" s="29">
        <f>VALUE(LEFT(C2957,LEN(C2957)-3))</f>
        <v>595.9</v>
      </c>
    </row>
    <row r="2958" spans="1:4">
      <c r="A2958" s="23" t="s">
        <v>562</v>
      </c>
      <c r="B2958" t="s">
        <v>545</v>
      </c>
      <c r="C2958" t="s">
        <v>604</v>
      </c>
      <c r="D2958" s="29">
        <f>VALUE(LEFT(C2958,LEN(C2958)-3))</f>
        <v>0</v>
      </c>
    </row>
    <row r="2960" spans="1:4">
      <c r="A2960" s="23" t="s">
        <v>544</v>
      </c>
      <c r="B2960" t="s">
        <v>545</v>
      </c>
      <c r="C2960" t="s">
        <v>797</v>
      </c>
      <c r="D2960" s="29">
        <f>VALUE(LEFT(C2960,LEN(C2960)-2))</f>
        <v>14.1</v>
      </c>
    </row>
    <row r="2961" spans="1:4">
      <c r="A2961" s="23" t="s">
        <v>547</v>
      </c>
      <c r="B2961" t="s">
        <v>545</v>
      </c>
      <c r="C2961" s="24">
        <v>0.82</v>
      </c>
      <c r="D2961" s="27">
        <f>VALUE(C2961*100)</f>
        <v>82</v>
      </c>
    </row>
    <row r="2962" spans="1:4">
      <c r="A2962" s="23" t="s">
        <v>548</v>
      </c>
      <c r="B2962" t="s">
        <v>545</v>
      </c>
      <c r="C2962" t="s">
        <v>798</v>
      </c>
      <c r="D2962" s="29">
        <f>VALUE(LEFT(C2962,LEN(C2962)-2))</f>
        <v>11.1</v>
      </c>
    </row>
    <row r="2963" spans="1:4">
      <c r="A2963" s="23" t="s">
        <v>550</v>
      </c>
      <c r="B2963" t="s">
        <v>545</v>
      </c>
      <c r="C2963" t="s">
        <v>799</v>
      </c>
      <c r="D2963" s="28">
        <f>VALUE(LEFT(C2963,LEN(C2963)-4))</f>
        <v>1011.8</v>
      </c>
    </row>
    <row r="2964" spans="1:4">
      <c r="A2964" s="23" t="s">
        <v>552</v>
      </c>
      <c r="B2964" t="s">
        <v>545</v>
      </c>
      <c r="C2964" t="s">
        <v>800</v>
      </c>
      <c r="D2964" s="29">
        <f>VALUE(LEFT(C2964,LEN(C2964)-FIND("km/h",C2964)+1)/3.6)</f>
        <v>1.0555555555555556</v>
      </c>
    </row>
    <row r="2965" spans="1:4">
      <c r="A2965" s="23" t="s">
        <v>554</v>
      </c>
      <c r="B2965" t="s">
        <v>545</v>
      </c>
      <c r="C2965" t="s">
        <v>646</v>
      </c>
      <c r="D2965" s="29">
        <f>VALUE(LEFT(C2965,LEN(C2965)-FIND("km/h",C2965)+1)/3.6)</f>
        <v>1.5833333333333333</v>
      </c>
    </row>
    <row r="2966" spans="1:4">
      <c r="A2966" s="23" t="s">
        <v>556</v>
      </c>
      <c r="B2966" t="s">
        <v>545</v>
      </c>
      <c r="C2966" t="s">
        <v>801</v>
      </c>
      <c r="D2966" s="26">
        <f>VALUE(LEFT(C2966,LEN(C2966)-7))</f>
        <v>329</v>
      </c>
    </row>
    <row r="2967" spans="1:4">
      <c r="A2967" s="23" t="s">
        <v>558</v>
      </c>
      <c r="B2967" t="s">
        <v>545</v>
      </c>
      <c r="C2967" t="s">
        <v>772</v>
      </c>
      <c r="D2967" s="29">
        <f>VALUE(LEFT(C2967,LEN(C2967)-3))</f>
        <v>87.4</v>
      </c>
    </row>
    <row r="2968" spans="1:4">
      <c r="A2968" s="23" t="s">
        <v>560</v>
      </c>
      <c r="B2968" t="s">
        <v>545</v>
      </c>
      <c r="C2968" t="s">
        <v>773</v>
      </c>
      <c r="D2968" s="29">
        <f>VALUE(LEFT(C2968,LEN(C2968)-3))</f>
        <v>595.9</v>
      </c>
    </row>
    <row r="2969" spans="1:4">
      <c r="A2969" s="23" t="s">
        <v>562</v>
      </c>
      <c r="B2969" t="s">
        <v>545</v>
      </c>
      <c r="C2969" t="s">
        <v>604</v>
      </c>
      <c r="D2969" s="29">
        <f>VALUE(LEFT(C2969,LEN(C2969)-3))</f>
        <v>0</v>
      </c>
    </row>
    <row r="2971" spans="1:4">
      <c r="A2971" s="23" t="s">
        <v>544</v>
      </c>
      <c r="B2971" t="s">
        <v>545</v>
      </c>
      <c r="C2971" t="s">
        <v>802</v>
      </c>
      <c r="D2971" s="29">
        <f>VALUE(LEFT(C2971,LEN(C2971)-2))</f>
        <v>15.7</v>
      </c>
    </row>
    <row r="2972" spans="1:4">
      <c r="A2972" s="23" t="s">
        <v>547</v>
      </c>
      <c r="B2972" t="s">
        <v>545</v>
      </c>
      <c r="C2972" s="24">
        <v>0.8</v>
      </c>
      <c r="D2972" s="27">
        <f>VALUE(C2972*100)</f>
        <v>80</v>
      </c>
    </row>
    <row r="2973" spans="1:4">
      <c r="A2973" s="23" t="s">
        <v>548</v>
      </c>
      <c r="B2973" t="s">
        <v>545</v>
      </c>
      <c r="C2973" t="s">
        <v>744</v>
      </c>
      <c r="D2973" s="29">
        <f>VALUE(LEFT(C2973,LEN(C2973)-2))</f>
        <v>12</v>
      </c>
    </row>
    <row r="2974" spans="1:4">
      <c r="A2974" s="23" t="s">
        <v>550</v>
      </c>
      <c r="B2974" t="s">
        <v>545</v>
      </c>
      <c r="C2974" t="s">
        <v>803</v>
      </c>
      <c r="D2974" s="28">
        <f>VALUE(LEFT(C2974,LEN(C2974)-4))</f>
        <v>1012.8</v>
      </c>
    </row>
    <row r="2975" spans="1:4">
      <c r="A2975" s="23" t="s">
        <v>552</v>
      </c>
      <c r="B2975" t="s">
        <v>545</v>
      </c>
      <c r="C2975" t="s">
        <v>601</v>
      </c>
      <c r="D2975" s="29">
        <f>VALUE(LEFT(C2975,LEN(C2975)-FIND("km/h",C2975)+1)/3.6)</f>
        <v>0.88888888888888895</v>
      </c>
    </row>
    <row r="2976" spans="1:4">
      <c r="A2976" s="23" t="s">
        <v>554</v>
      </c>
      <c r="B2976" t="s">
        <v>545</v>
      </c>
      <c r="C2976" t="s">
        <v>602</v>
      </c>
      <c r="D2976" s="29">
        <f>VALUE(LEFT(C2976,LEN(C2976)-FIND("km/h",C2976)+1)/3.6)</f>
        <v>1.4444444444444444</v>
      </c>
    </row>
    <row r="2977" spans="1:4">
      <c r="A2977" s="23" t="s">
        <v>556</v>
      </c>
      <c r="B2977" t="s">
        <v>545</v>
      </c>
      <c r="C2977" t="s">
        <v>804</v>
      </c>
      <c r="D2977" s="26">
        <f>VALUE(LEFT(C2977,LEN(C2977)-7))</f>
        <v>271</v>
      </c>
    </row>
    <row r="2978" spans="1:4">
      <c r="A2978" s="23" t="s">
        <v>558</v>
      </c>
      <c r="B2978" t="s">
        <v>545</v>
      </c>
      <c r="C2978" t="s">
        <v>772</v>
      </c>
      <c r="D2978" s="29">
        <f>VALUE(LEFT(C2978,LEN(C2978)-3))</f>
        <v>87.4</v>
      </c>
    </row>
    <row r="2979" spans="1:4">
      <c r="A2979" s="23" t="s">
        <v>560</v>
      </c>
      <c r="B2979" t="s">
        <v>545</v>
      </c>
      <c r="C2979" t="s">
        <v>773</v>
      </c>
      <c r="D2979" s="29">
        <f>VALUE(LEFT(C2979,LEN(C2979)-3))</f>
        <v>595.9</v>
      </c>
    </row>
    <row r="2980" spans="1:4">
      <c r="A2980" s="23" t="s">
        <v>562</v>
      </c>
      <c r="B2980" t="s">
        <v>545</v>
      </c>
      <c r="C2980" t="s">
        <v>604</v>
      </c>
      <c r="D2980" s="29">
        <f>VALUE(LEFT(C2980,LEN(C2980)-3))</f>
        <v>0</v>
      </c>
    </row>
    <row r="2982" spans="1:4">
      <c r="A2982" s="23" t="s">
        <v>544</v>
      </c>
      <c r="B2982" t="s">
        <v>545</v>
      </c>
      <c r="C2982" t="s">
        <v>611</v>
      </c>
      <c r="D2982" s="29">
        <f>VALUE(LEFT(C2982,LEN(C2982)-2))</f>
        <v>17.100000000000001</v>
      </c>
    </row>
    <row r="2983" spans="1:4">
      <c r="A2983" s="23" t="s">
        <v>547</v>
      </c>
      <c r="B2983" t="s">
        <v>545</v>
      </c>
      <c r="C2983" s="24">
        <v>0.76</v>
      </c>
      <c r="D2983" s="27">
        <f>VALUE(C2983*100)</f>
        <v>76</v>
      </c>
    </row>
    <row r="2984" spans="1:4">
      <c r="A2984" s="23" t="s">
        <v>548</v>
      </c>
      <c r="B2984" t="s">
        <v>545</v>
      </c>
      <c r="C2984" t="s">
        <v>565</v>
      </c>
      <c r="D2984" s="29">
        <f>VALUE(LEFT(C2984,LEN(C2984)-2))</f>
        <v>12.4</v>
      </c>
    </row>
    <row r="2985" spans="1:4">
      <c r="A2985" s="23" t="s">
        <v>550</v>
      </c>
      <c r="B2985" t="s">
        <v>545</v>
      </c>
      <c r="C2985" t="s">
        <v>805</v>
      </c>
      <c r="D2985" s="28">
        <f>VALUE(LEFT(C2985,LEN(C2985)-4))</f>
        <v>1015.6</v>
      </c>
    </row>
    <row r="2986" spans="1:4">
      <c r="A2986" s="23" t="s">
        <v>552</v>
      </c>
      <c r="B2986" t="s">
        <v>545</v>
      </c>
      <c r="C2986" t="s">
        <v>629</v>
      </c>
      <c r="D2986" s="29">
        <f>VALUE(LEFT(C2986,LEN(C2986)-FIND("km/h",C2986)+1)/3.6)</f>
        <v>1.0833333333333333</v>
      </c>
    </row>
    <row r="2987" spans="1:4">
      <c r="A2987" s="23" t="s">
        <v>554</v>
      </c>
      <c r="B2987" t="s">
        <v>545</v>
      </c>
      <c r="C2987" t="s">
        <v>795</v>
      </c>
      <c r="D2987" s="29">
        <f>VALUE(LEFT(C2987,LEN(C2987)-FIND("km/h",C2987)+1)/3.6)</f>
        <v>1.6111111111111109</v>
      </c>
    </row>
    <row r="2988" spans="1:4">
      <c r="A2988" s="23" t="s">
        <v>556</v>
      </c>
      <c r="B2988" t="s">
        <v>545</v>
      </c>
      <c r="C2988" t="s">
        <v>801</v>
      </c>
      <c r="D2988" s="26">
        <f>VALUE(LEFT(C2988,LEN(C2988)-7))</f>
        <v>329</v>
      </c>
    </row>
    <row r="2989" spans="1:4">
      <c r="A2989" s="23" t="s">
        <v>558</v>
      </c>
      <c r="B2989" t="s">
        <v>545</v>
      </c>
      <c r="C2989" t="s">
        <v>772</v>
      </c>
      <c r="D2989" s="29">
        <f>VALUE(LEFT(C2989,LEN(C2989)-3))</f>
        <v>87.4</v>
      </c>
    </row>
    <row r="2990" spans="1:4">
      <c r="A2990" s="23" t="s">
        <v>560</v>
      </c>
      <c r="B2990" t="s">
        <v>545</v>
      </c>
      <c r="C2990" t="s">
        <v>773</v>
      </c>
      <c r="D2990" s="29">
        <f>VALUE(LEFT(C2990,LEN(C2990)-3))</f>
        <v>595.9</v>
      </c>
    </row>
    <row r="2991" spans="1:4">
      <c r="A2991" s="23" t="s">
        <v>562</v>
      </c>
      <c r="B2991" t="s">
        <v>545</v>
      </c>
      <c r="C2991" t="s">
        <v>604</v>
      </c>
      <c r="D2991" s="29">
        <f>VALUE(LEFT(C2991,LEN(C2991)-3))</f>
        <v>0</v>
      </c>
    </row>
    <row r="2993" spans="1:4">
      <c r="A2993" s="23" t="s">
        <v>544</v>
      </c>
      <c r="B2993" t="s">
        <v>545</v>
      </c>
      <c r="C2993" t="s">
        <v>792</v>
      </c>
      <c r="D2993" s="29">
        <f>VALUE(LEFT(C2993,LEN(C2993)-2))</f>
        <v>16.7</v>
      </c>
    </row>
    <row r="2994" spans="1:4">
      <c r="A2994" s="23" t="s">
        <v>547</v>
      </c>
      <c r="B2994" t="s">
        <v>545</v>
      </c>
      <c r="C2994" s="24">
        <v>0.76</v>
      </c>
      <c r="D2994" s="27">
        <f>VALUE(C2994*100)</f>
        <v>76</v>
      </c>
    </row>
    <row r="2995" spans="1:4">
      <c r="A2995" s="23" t="s">
        <v>548</v>
      </c>
      <c r="B2995" t="s">
        <v>545</v>
      </c>
      <c r="C2995" t="s">
        <v>744</v>
      </c>
      <c r="D2995" s="29">
        <f>VALUE(LEFT(C2995,LEN(C2995)-2))</f>
        <v>12</v>
      </c>
    </row>
    <row r="2996" spans="1:4">
      <c r="A2996" s="23" t="s">
        <v>550</v>
      </c>
      <c r="B2996" t="s">
        <v>545</v>
      </c>
      <c r="C2996" t="s">
        <v>806</v>
      </c>
      <c r="D2996" s="28">
        <f>VALUE(LEFT(C2996,LEN(C2996)-4))</f>
        <v>1011.5</v>
      </c>
    </row>
    <row r="2997" spans="1:4">
      <c r="A2997" s="23" t="s">
        <v>552</v>
      </c>
      <c r="B2997" t="s">
        <v>545</v>
      </c>
      <c r="C2997" t="s">
        <v>807</v>
      </c>
      <c r="D2997" s="29">
        <f>VALUE(LEFT(C2997,LEN(C2997)-FIND("km/h",C2997)+1)/3.6)</f>
        <v>0.75</v>
      </c>
    </row>
    <row r="2998" spans="1:4">
      <c r="A2998" s="23" t="s">
        <v>554</v>
      </c>
      <c r="B2998" t="s">
        <v>545</v>
      </c>
      <c r="C2998" t="s">
        <v>780</v>
      </c>
      <c r="D2998" s="29">
        <f>VALUE(LEFT(C2998,LEN(C2998)-FIND("km/h",C2998)+1)/3.6)</f>
        <v>1.1666666666666667</v>
      </c>
    </row>
    <row r="2999" spans="1:4">
      <c r="A2999" s="23" t="s">
        <v>556</v>
      </c>
      <c r="B2999" t="s">
        <v>545</v>
      </c>
      <c r="C2999" t="s">
        <v>808</v>
      </c>
      <c r="D2999" s="26">
        <f>VALUE(LEFT(C2999,LEN(C2999)-7))</f>
        <v>81</v>
      </c>
    </row>
    <row r="3000" spans="1:4">
      <c r="A3000" s="23" t="s">
        <v>558</v>
      </c>
      <c r="B3000" t="s">
        <v>545</v>
      </c>
      <c r="C3000" t="s">
        <v>772</v>
      </c>
      <c r="D3000" s="29">
        <f>VALUE(LEFT(C3000,LEN(C3000)-3))</f>
        <v>87.4</v>
      </c>
    </row>
    <row r="3001" spans="1:4">
      <c r="A3001" s="23" t="s">
        <v>560</v>
      </c>
      <c r="B3001" t="s">
        <v>545</v>
      </c>
      <c r="C3001" t="s">
        <v>773</v>
      </c>
      <c r="D3001" s="29">
        <f>VALUE(LEFT(C3001,LEN(C3001)-3))</f>
        <v>595.9</v>
      </c>
    </row>
    <row r="3002" spans="1:4">
      <c r="A3002" s="23" t="s">
        <v>562</v>
      </c>
      <c r="B3002" t="s">
        <v>545</v>
      </c>
      <c r="C3002" t="s">
        <v>604</v>
      </c>
      <c r="D3002" s="29">
        <f>VALUE(LEFT(C3002,LEN(C3002)-3))</f>
        <v>0</v>
      </c>
    </row>
    <row r="3004" spans="1:4">
      <c r="A3004" s="23" t="s">
        <v>544</v>
      </c>
      <c r="B3004" t="s">
        <v>545</v>
      </c>
      <c r="C3004" t="s">
        <v>809</v>
      </c>
      <c r="D3004" s="29">
        <f>VALUE(LEFT(C3004,LEN(C3004)-2))</f>
        <v>18.600000000000001</v>
      </c>
    </row>
    <row r="3005" spans="1:4">
      <c r="A3005" s="23" t="s">
        <v>547</v>
      </c>
      <c r="B3005" t="s">
        <v>545</v>
      </c>
      <c r="C3005" s="24">
        <v>0.67</v>
      </c>
      <c r="D3005" s="27">
        <f>VALUE(C3005*100)</f>
        <v>67</v>
      </c>
    </row>
    <row r="3006" spans="1:4">
      <c r="A3006" s="23" t="s">
        <v>548</v>
      </c>
      <c r="B3006" t="s">
        <v>545</v>
      </c>
      <c r="C3006" t="s">
        <v>744</v>
      </c>
      <c r="D3006" s="29">
        <f>VALUE(LEFT(C3006,LEN(C3006)-2))</f>
        <v>12</v>
      </c>
    </row>
    <row r="3007" spans="1:4">
      <c r="A3007" s="23" t="s">
        <v>550</v>
      </c>
      <c r="B3007" t="s">
        <v>545</v>
      </c>
      <c r="C3007" t="s">
        <v>810</v>
      </c>
      <c r="D3007" s="28">
        <f>VALUE(LEFT(C3007,LEN(C3007)-4))</f>
        <v>1012</v>
      </c>
    </row>
    <row r="3008" spans="1:4">
      <c r="A3008" s="23" t="s">
        <v>552</v>
      </c>
      <c r="B3008" t="s">
        <v>545</v>
      </c>
      <c r="C3008" t="s">
        <v>629</v>
      </c>
      <c r="D3008" s="29">
        <f>VALUE(LEFT(C3008,LEN(C3008)-FIND("km/h",C3008)+1)/3.6)</f>
        <v>1.0833333333333333</v>
      </c>
    </row>
    <row r="3009" spans="1:4">
      <c r="A3009" s="23" t="s">
        <v>554</v>
      </c>
      <c r="B3009" t="s">
        <v>545</v>
      </c>
      <c r="C3009" t="s">
        <v>811</v>
      </c>
      <c r="D3009" s="29">
        <f>VALUE(LEFT(C3009,LEN(C3009)-FIND("km/h",C3009)+1)/3.6)</f>
        <v>1.6388888888888888</v>
      </c>
    </row>
    <row r="3010" spans="1:4">
      <c r="A3010" s="23" t="s">
        <v>556</v>
      </c>
      <c r="B3010" t="s">
        <v>545</v>
      </c>
      <c r="C3010" t="s">
        <v>812</v>
      </c>
      <c r="D3010" s="26">
        <f>VALUE(LEFT(C3010,LEN(C3010)-7))</f>
        <v>199</v>
      </c>
    </row>
    <row r="3011" spans="1:4">
      <c r="A3011" s="23" t="s">
        <v>558</v>
      </c>
      <c r="B3011" t="s">
        <v>545</v>
      </c>
      <c r="C3011" t="s">
        <v>772</v>
      </c>
      <c r="D3011" s="29">
        <f>VALUE(LEFT(C3011,LEN(C3011)-3))</f>
        <v>87.4</v>
      </c>
    </row>
    <row r="3012" spans="1:4">
      <c r="A3012" s="23" t="s">
        <v>560</v>
      </c>
      <c r="B3012" t="s">
        <v>545</v>
      </c>
      <c r="C3012" t="s">
        <v>773</v>
      </c>
      <c r="D3012" s="29">
        <f>VALUE(LEFT(C3012,LEN(C3012)-3))</f>
        <v>595.9</v>
      </c>
    </row>
    <row r="3013" spans="1:4">
      <c r="A3013" s="23" t="s">
        <v>562</v>
      </c>
      <c r="B3013" t="s">
        <v>545</v>
      </c>
      <c r="C3013" t="s">
        <v>604</v>
      </c>
      <c r="D3013" s="29">
        <f>VALUE(LEFT(C3013,LEN(C3013)-3))</f>
        <v>0</v>
      </c>
    </row>
    <row r="3015" spans="1:4">
      <c r="A3015" s="23" t="s">
        <v>544</v>
      </c>
      <c r="B3015" t="s">
        <v>545</v>
      </c>
      <c r="C3015" t="s">
        <v>813</v>
      </c>
      <c r="D3015" s="29">
        <f>VALUE(LEFT(C3015,LEN(C3015)-2))</f>
        <v>16.100000000000001</v>
      </c>
    </row>
    <row r="3016" spans="1:4">
      <c r="A3016" s="23" t="s">
        <v>547</v>
      </c>
      <c r="B3016" t="s">
        <v>545</v>
      </c>
      <c r="C3016" s="24">
        <v>0.79</v>
      </c>
      <c r="D3016" s="27">
        <f>VALUE(C3016*100)</f>
        <v>79</v>
      </c>
    </row>
    <row r="3017" spans="1:4">
      <c r="A3017" s="23" t="s">
        <v>548</v>
      </c>
      <c r="B3017" t="s">
        <v>545</v>
      </c>
      <c r="C3017" t="s">
        <v>759</v>
      </c>
      <c r="D3017" s="29">
        <f>VALUE(LEFT(C3017,LEN(C3017)-2))</f>
        <v>12.3</v>
      </c>
    </row>
    <row r="3018" spans="1:4">
      <c r="A3018" s="23" t="s">
        <v>550</v>
      </c>
      <c r="B3018" t="s">
        <v>545</v>
      </c>
      <c r="C3018" t="s">
        <v>814</v>
      </c>
      <c r="D3018" s="28">
        <f>VALUE(LEFT(C3018,LEN(C3018)-4))</f>
        <v>1016.1</v>
      </c>
    </row>
    <row r="3019" spans="1:4">
      <c r="A3019" s="23" t="s">
        <v>552</v>
      </c>
      <c r="B3019" t="s">
        <v>545</v>
      </c>
      <c r="C3019" t="s">
        <v>639</v>
      </c>
      <c r="D3019" s="29">
        <f>VALUE(LEFT(C3019,LEN(C3019)-FIND("km/h",C3019)+1)/3.6)</f>
        <v>0.91666666666666663</v>
      </c>
    </row>
    <row r="3020" spans="1:4">
      <c r="A3020" s="23" t="s">
        <v>554</v>
      </c>
      <c r="B3020" t="s">
        <v>545</v>
      </c>
      <c r="C3020" t="s">
        <v>609</v>
      </c>
      <c r="D3020" s="29">
        <f>VALUE(LEFT(C3020,LEN(C3020)-FIND("km/h",C3020)+1)/3.6)</f>
        <v>1.5277777777777777</v>
      </c>
    </row>
    <row r="3021" spans="1:4">
      <c r="A3021" s="23" t="s">
        <v>556</v>
      </c>
      <c r="B3021" t="s">
        <v>545</v>
      </c>
      <c r="C3021" t="s">
        <v>815</v>
      </c>
      <c r="D3021" s="26">
        <f>VALUE(LEFT(C3021,LEN(C3021)-7))</f>
        <v>264</v>
      </c>
    </row>
    <row r="3022" spans="1:4">
      <c r="A3022" s="23" t="s">
        <v>558</v>
      </c>
      <c r="B3022" t="s">
        <v>545</v>
      </c>
      <c r="C3022" t="s">
        <v>772</v>
      </c>
      <c r="D3022" s="29">
        <f>VALUE(LEFT(C3022,LEN(C3022)-3))</f>
        <v>87.4</v>
      </c>
    </row>
    <row r="3023" spans="1:4">
      <c r="A3023" s="23" t="s">
        <v>560</v>
      </c>
      <c r="B3023" t="s">
        <v>545</v>
      </c>
      <c r="C3023" t="s">
        <v>773</v>
      </c>
      <c r="D3023" s="29">
        <f>VALUE(LEFT(C3023,LEN(C3023)-3))</f>
        <v>595.9</v>
      </c>
    </row>
    <row r="3024" spans="1:4">
      <c r="A3024" s="23" t="s">
        <v>562</v>
      </c>
      <c r="B3024" t="s">
        <v>545</v>
      </c>
      <c r="C3024" t="s">
        <v>604</v>
      </c>
      <c r="D3024" s="29">
        <f>VALUE(LEFT(C3024,LEN(C3024)-3))</f>
        <v>0</v>
      </c>
    </row>
    <row r="3026" spans="1:4">
      <c r="A3026" s="23" t="s">
        <v>544</v>
      </c>
      <c r="B3026" t="s">
        <v>545</v>
      </c>
      <c r="C3026" t="s">
        <v>816</v>
      </c>
      <c r="D3026" s="29">
        <f>VALUE(LEFT(C3026,LEN(C3026)-2))</f>
        <v>17</v>
      </c>
    </row>
    <row r="3027" spans="1:4">
      <c r="A3027" s="23" t="s">
        <v>547</v>
      </c>
      <c r="B3027" t="s">
        <v>545</v>
      </c>
      <c r="C3027" s="24">
        <v>0.82</v>
      </c>
      <c r="D3027" s="27">
        <f>VALUE(C3027*100)</f>
        <v>82</v>
      </c>
    </row>
    <row r="3028" spans="1:4">
      <c r="A3028" s="23" t="s">
        <v>548</v>
      </c>
      <c r="B3028" t="s">
        <v>545</v>
      </c>
      <c r="C3028" t="s">
        <v>642</v>
      </c>
      <c r="D3028" s="29">
        <f>VALUE(LEFT(C3028,LEN(C3028)-2))</f>
        <v>13.7</v>
      </c>
    </row>
    <row r="3029" spans="1:4">
      <c r="A3029" s="23" t="s">
        <v>550</v>
      </c>
      <c r="B3029" t="s">
        <v>545</v>
      </c>
      <c r="C3029" t="s">
        <v>805</v>
      </c>
      <c r="D3029" s="28">
        <f>VALUE(LEFT(C3029,LEN(C3029)-4))</f>
        <v>1015.6</v>
      </c>
    </row>
    <row r="3030" spans="1:4">
      <c r="A3030" s="23" t="s">
        <v>552</v>
      </c>
      <c r="B3030" t="s">
        <v>545</v>
      </c>
      <c r="C3030" t="s">
        <v>817</v>
      </c>
      <c r="D3030" s="29">
        <f>VALUE(LEFT(C3030,LEN(C3030)-FIND("km/h",C3030)+1)/3.6)</f>
        <v>1.3611111111111112</v>
      </c>
    </row>
    <row r="3031" spans="1:4">
      <c r="A3031" s="23" t="s">
        <v>554</v>
      </c>
      <c r="B3031" t="s">
        <v>545</v>
      </c>
      <c r="C3031" t="s">
        <v>619</v>
      </c>
      <c r="D3031" s="29">
        <f>VALUE(LEFT(C3031,LEN(C3031)-FIND("km/h",C3031)+1)/3.6)</f>
        <v>2.1111111111111112</v>
      </c>
    </row>
    <row r="3032" spans="1:4">
      <c r="A3032" s="23" t="s">
        <v>556</v>
      </c>
      <c r="B3032" t="s">
        <v>545</v>
      </c>
      <c r="C3032" t="s">
        <v>818</v>
      </c>
      <c r="D3032" s="26">
        <f>VALUE(LEFT(C3032,LEN(C3032)-7))</f>
        <v>315</v>
      </c>
    </row>
    <row r="3033" spans="1:4">
      <c r="A3033" s="23" t="s">
        <v>558</v>
      </c>
      <c r="B3033" t="s">
        <v>545</v>
      </c>
      <c r="C3033" t="s">
        <v>772</v>
      </c>
      <c r="D3033" s="29">
        <f>VALUE(LEFT(C3033,LEN(C3033)-3))</f>
        <v>87.4</v>
      </c>
    </row>
    <row r="3034" spans="1:4">
      <c r="A3034" s="23" t="s">
        <v>560</v>
      </c>
      <c r="B3034" t="s">
        <v>545</v>
      </c>
      <c r="C3034" t="s">
        <v>773</v>
      </c>
      <c r="D3034" s="29">
        <f>VALUE(LEFT(C3034,LEN(C3034)-3))</f>
        <v>595.9</v>
      </c>
    </row>
    <row r="3035" spans="1:4">
      <c r="A3035" s="23" t="s">
        <v>562</v>
      </c>
      <c r="B3035" t="s">
        <v>545</v>
      </c>
      <c r="C3035" t="s">
        <v>604</v>
      </c>
      <c r="D3035" s="29">
        <f>VALUE(LEFT(C3035,LEN(C3035)-3))</f>
        <v>0</v>
      </c>
    </row>
    <row r="3037" spans="1:4">
      <c r="A3037" s="23" t="s">
        <v>544</v>
      </c>
      <c r="B3037" t="s">
        <v>545</v>
      </c>
      <c r="C3037" t="s">
        <v>819</v>
      </c>
      <c r="D3037" s="29">
        <f>VALUE(LEFT(C3037,LEN(C3037)-2))</f>
        <v>14.7</v>
      </c>
    </row>
    <row r="3038" spans="1:4">
      <c r="A3038" s="23" t="s">
        <v>547</v>
      </c>
      <c r="B3038" t="s">
        <v>545</v>
      </c>
      <c r="C3038" s="24">
        <v>0.87</v>
      </c>
      <c r="D3038" s="27">
        <f>VALUE(C3038*100)</f>
        <v>87</v>
      </c>
    </row>
    <row r="3039" spans="1:4">
      <c r="A3039" s="23" t="s">
        <v>548</v>
      </c>
      <c r="B3039" t="s">
        <v>545</v>
      </c>
      <c r="C3039" t="s">
        <v>565</v>
      </c>
      <c r="D3039" s="29">
        <f>VALUE(LEFT(C3039,LEN(C3039)-2))</f>
        <v>12.4</v>
      </c>
    </row>
    <row r="3040" spans="1:4">
      <c r="A3040" s="23" t="s">
        <v>550</v>
      </c>
      <c r="B3040" t="s">
        <v>545</v>
      </c>
      <c r="C3040" t="s">
        <v>820</v>
      </c>
      <c r="D3040" s="28">
        <f>VALUE(LEFT(C3040,LEN(C3040)-4))</f>
        <v>1014</v>
      </c>
    </row>
    <row r="3041" spans="1:4">
      <c r="A3041" s="23" t="s">
        <v>552</v>
      </c>
      <c r="B3041" t="s">
        <v>545</v>
      </c>
      <c r="C3041" t="s">
        <v>669</v>
      </c>
      <c r="D3041" s="29">
        <f>VALUE(LEFT(C3041,LEN(C3041)-FIND("km/h",C3041)+1)/3.6)</f>
        <v>1.4722222222222221</v>
      </c>
    </row>
    <row r="3042" spans="1:4">
      <c r="A3042" s="23" t="s">
        <v>554</v>
      </c>
      <c r="B3042" t="s">
        <v>545</v>
      </c>
      <c r="C3042" t="s">
        <v>821</v>
      </c>
      <c r="D3042" s="29">
        <f>VALUE(LEFT(C3042,LEN(C3042)-FIND("km/h",C3042)+1)/3.6)</f>
        <v>2.3611111111111112</v>
      </c>
    </row>
    <row r="3043" spans="1:4">
      <c r="A3043" s="23" t="s">
        <v>556</v>
      </c>
      <c r="B3043" t="s">
        <v>545</v>
      </c>
      <c r="C3043" t="s">
        <v>822</v>
      </c>
      <c r="D3043" s="26">
        <f>VALUE(LEFT(C3043,LEN(C3043)-7))</f>
        <v>303</v>
      </c>
    </row>
    <row r="3044" spans="1:4">
      <c r="A3044" s="23" t="s">
        <v>558</v>
      </c>
      <c r="B3044" t="s">
        <v>545</v>
      </c>
      <c r="C3044" t="s">
        <v>772</v>
      </c>
      <c r="D3044" s="29">
        <f>VALUE(LEFT(C3044,LEN(C3044)-3))</f>
        <v>87.4</v>
      </c>
    </row>
    <row r="3045" spans="1:4">
      <c r="A3045" s="23" t="s">
        <v>560</v>
      </c>
      <c r="B3045" t="s">
        <v>545</v>
      </c>
      <c r="C3045" t="s">
        <v>773</v>
      </c>
      <c r="D3045" s="29">
        <f>VALUE(LEFT(C3045,LEN(C3045)-3))</f>
        <v>595.9</v>
      </c>
    </row>
    <row r="3046" spans="1:4">
      <c r="A3046" s="23" t="s">
        <v>562</v>
      </c>
      <c r="B3046" t="s">
        <v>545</v>
      </c>
      <c r="C3046" t="s">
        <v>604</v>
      </c>
      <c r="D3046" s="29">
        <f>VALUE(LEFT(C3046,LEN(C3046)-3))</f>
        <v>0</v>
      </c>
    </row>
    <row r="3048" spans="1:4">
      <c r="A3048" s="23" t="s">
        <v>544</v>
      </c>
      <c r="B3048" t="s">
        <v>545</v>
      </c>
      <c r="C3048" t="s">
        <v>823</v>
      </c>
      <c r="D3048" s="29">
        <f>VALUE(LEFT(C3048,LEN(C3048)-2))</f>
        <v>15</v>
      </c>
    </row>
    <row r="3049" spans="1:4">
      <c r="A3049" s="23" t="s">
        <v>547</v>
      </c>
      <c r="B3049" t="s">
        <v>545</v>
      </c>
      <c r="C3049" s="24">
        <v>0.71</v>
      </c>
      <c r="D3049" s="27">
        <f>VALUE(C3049*100)</f>
        <v>71</v>
      </c>
    </row>
    <row r="3050" spans="1:4">
      <c r="A3050" s="23" t="s">
        <v>548</v>
      </c>
      <c r="B3050" t="s">
        <v>545</v>
      </c>
      <c r="C3050" t="s">
        <v>667</v>
      </c>
      <c r="D3050" s="29">
        <f>VALUE(LEFT(C3050,LEN(C3050)-2))</f>
        <v>9.6</v>
      </c>
    </row>
    <row r="3051" spans="1:4">
      <c r="A3051" s="23" t="s">
        <v>550</v>
      </c>
      <c r="B3051" t="s">
        <v>545</v>
      </c>
      <c r="C3051" t="s">
        <v>824</v>
      </c>
      <c r="D3051" s="28">
        <f>VALUE(LEFT(C3051,LEN(C3051)-4))</f>
        <v>1008</v>
      </c>
    </row>
    <row r="3052" spans="1:4">
      <c r="A3052" s="23" t="s">
        <v>552</v>
      </c>
      <c r="B3052" t="s">
        <v>545</v>
      </c>
      <c r="C3052" t="s">
        <v>825</v>
      </c>
      <c r="D3052" s="29">
        <f>VALUE(LEFT(C3052,LEN(C3052)-FIND("km/h",C3052)+1)/3.6)</f>
        <v>1.7777777777777779</v>
      </c>
    </row>
    <row r="3053" spans="1:4">
      <c r="A3053" s="23" t="s">
        <v>554</v>
      </c>
      <c r="B3053" t="s">
        <v>545</v>
      </c>
      <c r="C3053" t="s">
        <v>826</v>
      </c>
      <c r="D3053" s="29">
        <f>VALUE(LEFT(C3053,LEN(C3053)-FIND("km/h",C3053)+1)/3.6)</f>
        <v>2.6944444444444442</v>
      </c>
    </row>
    <row r="3054" spans="1:4">
      <c r="A3054" s="23" t="s">
        <v>556</v>
      </c>
      <c r="B3054" t="s">
        <v>545</v>
      </c>
      <c r="C3054" t="s">
        <v>827</v>
      </c>
      <c r="D3054" s="26">
        <f>VALUE(LEFT(C3054,LEN(C3054)-7))</f>
        <v>298</v>
      </c>
    </row>
    <row r="3055" spans="1:4">
      <c r="A3055" s="23" t="s">
        <v>558</v>
      </c>
      <c r="B3055" t="s">
        <v>545</v>
      </c>
      <c r="C3055" t="s">
        <v>772</v>
      </c>
      <c r="D3055" s="29">
        <f>VALUE(LEFT(C3055,LEN(C3055)-3))</f>
        <v>87.4</v>
      </c>
    </row>
    <row r="3056" spans="1:4">
      <c r="A3056" s="23" t="s">
        <v>560</v>
      </c>
      <c r="B3056" t="s">
        <v>545</v>
      </c>
      <c r="C3056" t="s">
        <v>773</v>
      </c>
      <c r="D3056" s="29">
        <f>VALUE(LEFT(C3056,LEN(C3056)-3))</f>
        <v>595.9</v>
      </c>
    </row>
    <row r="3057" spans="1:4">
      <c r="A3057" s="23" t="s">
        <v>562</v>
      </c>
      <c r="B3057" t="s">
        <v>545</v>
      </c>
      <c r="C3057" t="s">
        <v>604</v>
      </c>
      <c r="D3057" s="29">
        <f>VALUE(LEFT(C3057,LEN(C3057)-3))</f>
        <v>0</v>
      </c>
    </row>
    <row r="3059" spans="1:4">
      <c r="A3059" s="23" t="s">
        <v>544</v>
      </c>
      <c r="B3059" t="s">
        <v>545</v>
      </c>
      <c r="C3059" t="s">
        <v>621</v>
      </c>
      <c r="D3059" s="29">
        <f>VALUE(LEFT(C3059,LEN(C3059)-2))</f>
        <v>13.8</v>
      </c>
    </row>
    <row r="3060" spans="1:4">
      <c r="A3060" s="23" t="s">
        <v>547</v>
      </c>
      <c r="B3060" t="s">
        <v>545</v>
      </c>
      <c r="C3060" s="24">
        <v>0.76</v>
      </c>
      <c r="D3060" s="27">
        <f>VALUE(C3060*100)</f>
        <v>76</v>
      </c>
    </row>
    <row r="3061" spans="1:4">
      <c r="A3061" s="23" t="s">
        <v>548</v>
      </c>
      <c r="B3061" t="s">
        <v>545</v>
      </c>
      <c r="C3061" t="s">
        <v>828</v>
      </c>
      <c r="D3061" s="29">
        <f>VALUE(LEFT(C3061,LEN(C3061)-2))</f>
        <v>9.3000000000000007</v>
      </c>
    </row>
    <row r="3062" spans="1:4">
      <c r="A3062" s="23" t="s">
        <v>550</v>
      </c>
      <c r="B3062" t="s">
        <v>545</v>
      </c>
      <c r="C3062" t="s">
        <v>829</v>
      </c>
      <c r="D3062" s="28">
        <f>VALUE(LEFT(C3062,LEN(C3062)-4))</f>
        <v>1001.9</v>
      </c>
    </row>
    <row r="3063" spans="1:4">
      <c r="A3063" s="23" t="s">
        <v>552</v>
      </c>
      <c r="B3063" t="s">
        <v>545</v>
      </c>
      <c r="C3063" t="s">
        <v>830</v>
      </c>
      <c r="D3063" s="29">
        <f>VALUE(LEFT(C3063,LEN(C3063)-FIND("km/h",C3063)+1)/3.6)</f>
        <v>1.5</v>
      </c>
    </row>
    <row r="3064" spans="1:4">
      <c r="A3064" s="23" t="s">
        <v>554</v>
      </c>
      <c r="B3064" t="s">
        <v>545</v>
      </c>
      <c r="C3064" t="s">
        <v>692</v>
      </c>
      <c r="D3064" s="29">
        <f>VALUE(LEFT(C3064,LEN(C3064)-FIND("km/h",C3064)+1)/3.6)</f>
        <v>2.1388888888888888</v>
      </c>
    </row>
    <row r="3065" spans="1:4">
      <c r="A3065" s="23" t="s">
        <v>556</v>
      </c>
      <c r="B3065" t="s">
        <v>545</v>
      </c>
      <c r="C3065" t="s">
        <v>831</v>
      </c>
      <c r="D3065" s="26">
        <f>VALUE(LEFT(C3065,LEN(C3065)-7))</f>
        <v>47</v>
      </c>
    </row>
    <row r="3066" spans="1:4">
      <c r="A3066" s="23" t="s">
        <v>558</v>
      </c>
      <c r="B3066" t="s">
        <v>545</v>
      </c>
      <c r="C3066" t="s">
        <v>772</v>
      </c>
      <c r="D3066" s="29">
        <f>VALUE(LEFT(C3066,LEN(C3066)-3))</f>
        <v>87.4</v>
      </c>
    </row>
    <row r="3067" spans="1:4">
      <c r="A3067" s="23" t="s">
        <v>560</v>
      </c>
      <c r="B3067" t="s">
        <v>545</v>
      </c>
      <c r="C3067" t="s">
        <v>773</v>
      </c>
      <c r="D3067" s="29">
        <f>VALUE(LEFT(C3067,LEN(C3067)-3))</f>
        <v>595.9</v>
      </c>
    </row>
    <row r="3068" spans="1:4">
      <c r="A3068" s="23" t="s">
        <v>562</v>
      </c>
      <c r="B3068" t="s">
        <v>545</v>
      </c>
      <c r="C3068" t="s">
        <v>604</v>
      </c>
      <c r="D3068" s="29">
        <f>VALUE(LEFT(C3068,LEN(C3068)-3))</f>
        <v>0</v>
      </c>
    </row>
    <row r="3070" spans="1:4">
      <c r="A3070" s="23" t="s">
        <v>544</v>
      </c>
      <c r="B3070" t="s">
        <v>545</v>
      </c>
      <c r="C3070" t="s">
        <v>819</v>
      </c>
      <c r="D3070" s="29">
        <f>VALUE(LEFT(C3070,LEN(C3070)-2))</f>
        <v>14.7</v>
      </c>
    </row>
    <row r="3071" spans="1:4">
      <c r="A3071" s="23" t="s">
        <v>547</v>
      </c>
      <c r="B3071" t="s">
        <v>545</v>
      </c>
      <c r="C3071" s="24">
        <v>0.71</v>
      </c>
      <c r="D3071" s="27">
        <f>VALUE(C3071*100)</f>
        <v>71</v>
      </c>
    </row>
    <row r="3072" spans="1:4">
      <c r="A3072" s="23" t="s">
        <v>548</v>
      </c>
      <c r="B3072" t="s">
        <v>545</v>
      </c>
      <c r="C3072" t="s">
        <v>832</v>
      </c>
      <c r="D3072" s="29">
        <f>VALUE(LEFT(C3072,LEN(C3072)-2))</f>
        <v>9</v>
      </c>
    </row>
    <row r="3073" spans="1:4">
      <c r="A3073" s="23" t="s">
        <v>550</v>
      </c>
      <c r="B3073" t="s">
        <v>545</v>
      </c>
      <c r="C3073" t="s">
        <v>833</v>
      </c>
      <c r="D3073" s="28">
        <f>VALUE(LEFT(C3073,LEN(C3073)-4))</f>
        <v>1003.3</v>
      </c>
    </row>
    <row r="3074" spans="1:4">
      <c r="A3074" s="23" t="s">
        <v>552</v>
      </c>
      <c r="B3074" t="s">
        <v>545</v>
      </c>
      <c r="C3074" t="s">
        <v>669</v>
      </c>
      <c r="D3074" s="29">
        <f>VALUE(LEFT(C3074,LEN(C3074)-FIND("km/h",C3074)+1)/3.6)</f>
        <v>1.4722222222222221</v>
      </c>
    </row>
    <row r="3075" spans="1:4">
      <c r="A3075" s="23" t="s">
        <v>554</v>
      </c>
      <c r="B3075" t="s">
        <v>545</v>
      </c>
      <c r="C3075" t="s">
        <v>834</v>
      </c>
      <c r="D3075" s="29">
        <f>VALUE(LEFT(C3075,LEN(C3075)-FIND("km/h",C3075)+1)/3.6)</f>
        <v>2.0833333333333335</v>
      </c>
    </row>
    <row r="3076" spans="1:4">
      <c r="A3076" s="23" t="s">
        <v>556</v>
      </c>
      <c r="B3076" t="s">
        <v>545</v>
      </c>
      <c r="C3076" t="s">
        <v>835</v>
      </c>
      <c r="D3076" s="26">
        <f>VALUE(LEFT(C3076,LEN(C3076)-7))</f>
        <v>292</v>
      </c>
    </row>
    <row r="3077" spans="1:4">
      <c r="A3077" s="23" t="s">
        <v>558</v>
      </c>
      <c r="B3077" t="s">
        <v>545</v>
      </c>
      <c r="C3077" t="s">
        <v>772</v>
      </c>
      <c r="D3077" s="29">
        <f>VALUE(LEFT(C3077,LEN(C3077)-3))</f>
        <v>87.4</v>
      </c>
    </row>
    <row r="3078" spans="1:4">
      <c r="A3078" s="23" t="s">
        <v>560</v>
      </c>
      <c r="B3078" t="s">
        <v>545</v>
      </c>
      <c r="C3078" t="s">
        <v>773</v>
      </c>
      <c r="D3078" s="29">
        <f>VALUE(LEFT(C3078,LEN(C3078)-3))</f>
        <v>595.9</v>
      </c>
    </row>
    <row r="3079" spans="1:4">
      <c r="A3079" s="23" t="s">
        <v>562</v>
      </c>
      <c r="B3079" t="s">
        <v>545</v>
      </c>
      <c r="C3079" t="s">
        <v>604</v>
      </c>
      <c r="D3079" s="29">
        <f>VALUE(LEFT(C3079,LEN(C3079)-3))</f>
        <v>0</v>
      </c>
    </row>
    <row r="3081" spans="1:4">
      <c r="A3081" s="23" t="s">
        <v>544</v>
      </c>
      <c r="B3081" t="s">
        <v>545</v>
      </c>
      <c r="C3081" t="s">
        <v>836</v>
      </c>
      <c r="D3081" s="29">
        <f>VALUE(LEFT(C3081,LEN(C3081)-2))</f>
        <v>15.1</v>
      </c>
    </row>
    <row r="3082" spans="1:4">
      <c r="A3082" s="23" t="s">
        <v>547</v>
      </c>
      <c r="B3082" t="s">
        <v>545</v>
      </c>
      <c r="C3082" s="24">
        <v>0.7</v>
      </c>
      <c r="D3082" s="27">
        <f>VALUE(C3082*100)</f>
        <v>70</v>
      </c>
    </row>
    <row r="3083" spans="1:4">
      <c r="A3083" s="23" t="s">
        <v>548</v>
      </c>
      <c r="B3083" t="s">
        <v>545</v>
      </c>
      <c r="C3083" t="s">
        <v>837</v>
      </c>
      <c r="D3083" s="29">
        <f>VALUE(LEFT(C3083,LEN(C3083)-2))</f>
        <v>9.1999999999999993</v>
      </c>
    </row>
    <row r="3084" spans="1:4">
      <c r="A3084" s="23" t="s">
        <v>550</v>
      </c>
      <c r="B3084" t="s">
        <v>545</v>
      </c>
      <c r="C3084" t="s">
        <v>838</v>
      </c>
      <c r="D3084" s="28">
        <f>VALUE(LEFT(C3084,LEN(C3084)-4))</f>
        <v>1012.2</v>
      </c>
    </row>
    <row r="3085" spans="1:4">
      <c r="A3085" s="23" t="s">
        <v>552</v>
      </c>
      <c r="B3085" t="s">
        <v>545</v>
      </c>
      <c r="C3085" t="s">
        <v>839</v>
      </c>
      <c r="D3085" s="29">
        <f>VALUE(LEFT(C3085,LEN(C3085)-FIND("km/h",C3085)+1)/3.6)</f>
        <v>2.2222222222222223</v>
      </c>
    </row>
    <row r="3086" spans="1:4">
      <c r="A3086" s="23" t="s">
        <v>554</v>
      </c>
      <c r="B3086" t="s">
        <v>545</v>
      </c>
      <c r="C3086" t="s">
        <v>698</v>
      </c>
      <c r="D3086" s="29">
        <f>VALUE(LEFT(C3086,LEN(C3086)-FIND("km/h",C3086)+1)/3.6)</f>
        <v>3.0555555555555554</v>
      </c>
    </row>
    <row r="3087" spans="1:4">
      <c r="A3087" s="23" t="s">
        <v>556</v>
      </c>
      <c r="B3087" t="s">
        <v>545</v>
      </c>
      <c r="C3087" t="s">
        <v>840</v>
      </c>
      <c r="D3087" s="26">
        <f>VALUE(LEFT(C3087,LEN(C3087)-7))</f>
        <v>213</v>
      </c>
    </row>
    <row r="3088" spans="1:4">
      <c r="A3088" s="23" t="s">
        <v>558</v>
      </c>
      <c r="B3088" t="s">
        <v>545</v>
      </c>
      <c r="C3088" t="s">
        <v>772</v>
      </c>
      <c r="D3088" s="29">
        <f>VALUE(LEFT(C3088,LEN(C3088)-3))</f>
        <v>87.4</v>
      </c>
    </row>
    <row r="3089" spans="1:4">
      <c r="A3089" s="23" t="s">
        <v>560</v>
      </c>
      <c r="B3089" t="s">
        <v>545</v>
      </c>
      <c r="C3089" t="s">
        <v>773</v>
      </c>
      <c r="D3089" s="29">
        <f>VALUE(LEFT(C3089,LEN(C3089)-3))</f>
        <v>595.9</v>
      </c>
    </row>
    <row r="3090" spans="1:4">
      <c r="A3090" s="23" t="s">
        <v>562</v>
      </c>
      <c r="B3090" t="s">
        <v>545</v>
      </c>
      <c r="C3090" t="s">
        <v>604</v>
      </c>
      <c r="D3090" s="29">
        <f>VALUE(LEFT(C3090,LEN(C3090)-3))</f>
        <v>0</v>
      </c>
    </row>
    <row r="3092" spans="1:4">
      <c r="A3092" s="23" t="s">
        <v>544</v>
      </c>
      <c r="B3092" t="s">
        <v>545</v>
      </c>
      <c r="C3092" t="s">
        <v>836</v>
      </c>
      <c r="D3092" s="29">
        <f>VALUE(LEFT(C3092,LEN(C3092)-2))</f>
        <v>15.1</v>
      </c>
    </row>
    <row r="3093" spans="1:4">
      <c r="A3093" s="23" t="s">
        <v>547</v>
      </c>
      <c r="B3093" t="s">
        <v>545</v>
      </c>
      <c r="C3093" s="24">
        <v>0.68</v>
      </c>
      <c r="D3093" s="27">
        <f>VALUE(C3093*100)</f>
        <v>68</v>
      </c>
    </row>
    <row r="3094" spans="1:4">
      <c r="A3094" s="23" t="s">
        <v>548</v>
      </c>
      <c r="B3094" t="s">
        <v>545</v>
      </c>
      <c r="C3094" t="s">
        <v>841</v>
      </c>
      <c r="D3094" s="29">
        <f>VALUE(LEFT(C3094,LEN(C3094)-2))</f>
        <v>8.8000000000000007</v>
      </c>
    </row>
    <row r="3095" spans="1:4">
      <c r="A3095" s="23" t="s">
        <v>550</v>
      </c>
      <c r="B3095" t="s">
        <v>545</v>
      </c>
      <c r="C3095" t="s">
        <v>842</v>
      </c>
      <c r="D3095" s="28">
        <f>VALUE(LEFT(C3095,LEN(C3095)-4))</f>
        <v>1017.4</v>
      </c>
    </row>
    <row r="3096" spans="1:4">
      <c r="A3096" s="23" t="s">
        <v>552</v>
      </c>
      <c r="B3096" t="s">
        <v>545</v>
      </c>
      <c r="C3096" t="s">
        <v>795</v>
      </c>
      <c r="D3096" s="29">
        <f>VALUE(LEFT(C3096,LEN(C3096)-FIND("km/h",C3096)+1)/3.6)</f>
        <v>1.6111111111111109</v>
      </c>
    </row>
    <row r="3097" spans="1:4">
      <c r="A3097" s="23" t="s">
        <v>554</v>
      </c>
      <c r="B3097" t="s">
        <v>545</v>
      </c>
      <c r="C3097" t="s">
        <v>843</v>
      </c>
      <c r="D3097" s="29">
        <f>VALUE(LEFT(C3097,LEN(C3097)-FIND("km/h",C3097)+1)/3.6)</f>
        <v>2.3055555555555558</v>
      </c>
    </row>
    <row r="3098" spans="1:4">
      <c r="A3098" s="23" t="s">
        <v>556</v>
      </c>
      <c r="B3098" t="s">
        <v>545</v>
      </c>
      <c r="C3098" t="s">
        <v>844</v>
      </c>
      <c r="D3098" s="26">
        <f>VALUE(LEFT(C3098,LEN(C3098)-7))</f>
        <v>265</v>
      </c>
    </row>
    <row r="3099" spans="1:4">
      <c r="A3099" s="23" t="s">
        <v>558</v>
      </c>
      <c r="B3099" t="s">
        <v>545</v>
      </c>
      <c r="C3099" t="s">
        <v>845</v>
      </c>
      <c r="D3099" s="29">
        <f>VALUE(LEFT(C3099,LEN(C3099)-3))</f>
        <v>93.4</v>
      </c>
    </row>
    <row r="3100" spans="1:4">
      <c r="A3100" s="23" t="s">
        <v>560</v>
      </c>
      <c r="B3100" t="s">
        <v>545</v>
      </c>
      <c r="C3100" t="s">
        <v>846</v>
      </c>
      <c r="D3100" s="29">
        <f>VALUE(LEFT(C3100,LEN(C3100)-3))</f>
        <v>601.9</v>
      </c>
    </row>
    <row r="3101" spans="1:4">
      <c r="A3101" s="23" t="s">
        <v>562</v>
      </c>
      <c r="B3101" t="s">
        <v>545</v>
      </c>
      <c r="C3101" t="s">
        <v>847</v>
      </c>
      <c r="D3101" s="29">
        <f>VALUE(LEFT(C3101,LEN(C3101)-3))</f>
        <v>6</v>
      </c>
    </row>
    <row r="3103" spans="1:4">
      <c r="A3103" s="23" t="s">
        <v>544</v>
      </c>
      <c r="B3103" t="s">
        <v>545</v>
      </c>
      <c r="C3103" t="s">
        <v>565</v>
      </c>
      <c r="D3103" s="29">
        <f>VALUE(LEFT(C3103,LEN(C3103)-2))</f>
        <v>12.4</v>
      </c>
    </row>
    <row r="3104" spans="1:4">
      <c r="A3104" s="23" t="s">
        <v>547</v>
      </c>
      <c r="B3104" t="s">
        <v>545</v>
      </c>
      <c r="C3104" s="24">
        <v>0.71</v>
      </c>
      <c r="D3104" s="27">
        <f>VALUE(C3104*100)</f>
        <v>71</v>
      </c>
    </row>
    <row r="3105" spans="1:4">
      <c r="A3105" s="23" t="s">
        <v>548</v>
      </c>
      <c r="B3105" t="s">
        <v>545</v>
      </c>
      <c r="C3105" t="s">
        <v>679</v>
      </c>
      <c r="D3105" s="29">
        <f>VALUE(LEFT(C3105,LEN(C3105)-2))</f>
        <v>7</v>
      </c>
    </row>
    <row r="3106" spans="1:4">
      <c r="A3106" s="23" t="s">
        <v>550</v>
      </c>
      <c r="B3106" t="s">
        <v>545</v>
      </c>
      <c r="C3106" t="s">
        <v>607</v>
      </c>
      <c r="D3106" s="28">
        <f>VALUE(LEFT(C3106,LEN(C3106)-4))</f>
        <v>1017.7</v>
      </c>
    </row>
    <row r="3107" spans="1:4">
      <c r="A3107" s="23" t="s">
        <v>552</v>
      </c>
      <c r="B3107" t="s">
        <v>545</v>
      </c>
      <c r="C3107" t="s">
        <v>848</v>
      </c>
      <c r="D3107" s="29">
        <f>VALUE(LEFT(C3107,LEN(C3107)-FIND("km/h",C3107)+1)/3.6)</f>
        <v>1.8888888888888888</v>
      </c>
    </row>
    <row r="3108" spans="1:4">
      <c r="A3108" s="23" t="s">
        <v>554</v>
      </c>
      <c r="B3108" t="s">
        <v>545</v>
      </c>
      <c r="C3108" t="s">
        <v>849</v>
      </c>
      <c r="D3108" s="29">
        <f>VALUE(LEFT(C3108,LEN(C3108)-FIND("km/h",C3108)+1)/3.6)</f>
        <v>2.833333333333333</v>
      </c>
    </row>
    <row r="3109" spans="1:4">
      <c r="A3109" s="23" t="s">
        <v>556</v>
      </c>
      <c r="B3109" t="s">
        <v>545</v>
      </c>
      <c r="C3109" t="s">
        <v>850</v>
      </c>
      <c r="D3109" s="26">
        <f>VALUE(LEFT(C3109,LEN(C3109)-7))</f>
        <v>258</v>
      </c>
    </row>
    <row r="3110" spans="1:4">
      <c r="A3110" s="23" t="s">
        <v>558</v>
      </c>
      <c r="B3110" t="s">
        <v>545</v>
      </c>
      <c r="C3110" t="s">
        <v>845</v>
      </c>
      <c r="D3110" s="29">
        <f>VALUE(LEFT(C3110,LEN(C3110)-3))</f>
        <v>93.4</v>
      </c>
    </row>
    <row r="3111" spans="1:4">
      <c r="A3111" s="23" t="s">
        <v>560</v>
      </c>
      <c r="B3111" t="s">
        <v>545</v>
      </c>
      <c r="C3111" t="s">
        <v>846</v>
      </c>
      <c r="D3111" s="29">
        <f>VALUE(LEFT(C3111,LEN(C3111)-3))</f>
        <v>601.9</v>
      </c>
    </row>
    <row r="3112" spans="1:4">
      <c r="A3112" s="23" t="s">
        <v>562</v>
      </c>
      <c r="B3112" t="s">
        <v>545</v>
      </c>
      <c r="C3112" t="s">
        <v>604</v>
      </c>
      <c r="D3112" s="29">
        <f>VALUE(LEFT(C3112,LEN(C3112)-3))</f>
        <v>0</v>
      </c>
    </row>
    <row r="3114" spans="1:4">
      <c r="A3114" s="23" t="s">
        <v>544</v>
      </c>
      <c r="B3114" t="s">
        <v>545</v>
      </c>
      <c r="C3114" t="s">
        <v>851</v>
      </c>
      <c r="D3114" s="29">
        <f>VALUE(LEFT(C3114,LEN(C3114)-2))</f>
        <v>13.3</v>
      </c>
    </row>
    <row r="3115" spans="1:4">
      <c r="A3115" s="23" t="s">
        <v>547</v>
      </c>
      <c r="B3115" t="s">
        <v>545</v>
      </c>
      <c r="C3115" s="24">
        <v>0.67</v>
      </c>
      <c r="D3115" s="27">
        <f>VALUE(C3115*100)</f>
        <v>67</v>
      </c>
    </row>
    <row r="3116" spans="1:4">
      <c r="A3116" s="23" t="s">
        <v>548</v>
      </c>
      <c r="B3116" t="s">
        <v>545</v>
      </c>
      <c r="C3116" t="s">
        <v>852</v>
      </c>
      <c r="D3116" s="29">
        <f>VALUE(LEFT(C3116,LEN(C3116)-2))</f>
        <v>6.7</v>
      </c>
    </row>
    <row r="3117" spans="1:4">
      <c r="A3117" s="23" t="s">
        <v>550</v>
      </c>
      <c r="B3117" t="s">
        <v>545</v>
      </c>
      <c r="C3117" t="s">
        <v>853</v>
      </c>
      <c r="D3117" s="28">
        <f>VALUE(LEFT(C3117,LEN(C3117)-4))</f>
        <v>1020.9</v>
      </c>
    </row>
    <row r="3118" spans="1:4">
      <c r="A3118" s="23" t="s">
        <v>552</v>
      </c>
      <c r="B3118" t="s">
        <v>545</v>
      </c>
      <c r="C3118" t="s">
        <v>854</v>
      </c>
      <c r="D3118" s="29">
        <f>VALUE(LEFT(C3118,LEN(C3118)-FIND("km/h",C3118)+1)/3.6)</f>
        <v>1.9722222222222221</v>
      </c>
    </row>
    <row r="3119" spans="1:4">
      <c r="A3119" s="23" t="s">
        <v>554</v>
      </c>
      <c r="B3119" t="s">
        <v>545</v>
      </c>
      <c r="C3119" t="s">
        <v>855</v>
      </c>
      <c r="D3119" s="29">
        <f>VALUE(LEFT(C3119,LEN(C3119)-FIND("km/h",C3119)+1)/3.6)</f>
        <v>2.75</v>
      </c>
    </row>
    <row r="3120" spans="1:4">
      <c r="A3120" s="23" t="s">
        <v>556</v>
      </c>
      <c r="B3120" t="s">
        <v>545</v>
      </c>
      <c r="C3120" t="s">
        <v>856</v>
      </c>
      <c r="D3120" s="26">
        <f>VALUE(LEFT(C3120,LEN(C3120)-7))</f>
        <v>222</v>
      </c>
    </row>
    <row r="3121" spans="1:4">
      <c r="A3121" s="23" t="s">
        <v>558</v>
      </c>
      <c r="B3121" t="s">
        <v>545</v>
      </c>
      <c r="C3121" t="s">
        <v>845</v>
      </c>
      <c r="D3121" s="29">
        <f>VALUE(LEFT(C3121,LEN(C3121)-3))</f>
        <v>93.4</v>
      </c>
    </row>
    <row r="3122" spans="1:4">
      <c r="A3122" s="23" t="s">
        <v>560</v>
      </c>
      <c r="B3122" t="s">
        <v>545</v>
      </c>
      <c r="C3122" t="s">
        <v>846</v>
      </c>
      <c r="D3122" s="29">
        <f>VALUE(LEFT(C3122,LEN(C3122)-3))</f>
        <v>601.9</v>
      </c>
    </row>
    <row r="3123" spans="1:4">
      <c r="A3123" s="23" t="s">
        <v>562</v>
      </c>
      <c r="B3123" t="s">
        <v>545</v>
      </c>
      <c r="C3123" t="s">
        <v>604</v>
      </c>
      <c r="D3123" s="29">
        <f>VALUE(LEFT(C3123,LEN(C3123)-3))</f>
        <v>0</v>
      </c>
    </row>
    <row r="3125" spans="1:4">
      <c r="A3125" s="23" t="s">
        <v>544</v>
      </c>
      <c r="B3125" t="s">
        <v>545</v>
      </c>
      <c r="C3125" t="s">
        <v>779</v>
      </c>
      <c r="D3125" s="29">
        <f>VALUE(LEFT(C3125,LEN(C3125)-2))</f>
        <v>14.8</v>
      </c>
    </row>
    <row r="3126" spans="1:4">
      <c r="A3126" s="23" t="s">
        <v>547</v>
      </c>
      <c r="B3126" t="s">
        <v>545</v>
      </c>
      <c r="C3126" s="24">
        <v>0.92</v>
      </c>
      <c r="D3126" s="27">
        <f>VALUE(C3126*100)</f>
        <v>92</v>
      </c>
    </row>
    <row r="3127" spans="1:4">
      <c r="A3127" s="23" t="s">
        <v>548</v>
      </c>
      <c r="B3127" t="s">
        <v>545</v>
      </c>
      <c r="C3127" t="s">
        <v>857</v>
      </c>
      <c r="D3127" s="29">
        <f>VALUE(LEFT(C3127,LEN(C3127)-2))</f>
        <v>13.6</v>
      </c>
    </row>
    <row r="3128" spans="1:4">
      <c r="A3128" s="23" t="s">
        <v>550</v>
      </c>
      <c r="B3128" t="s">
        <v>545</v>
      </c>
      <c r="C3128" t="s">
        <v>591</v>
      </c>
      <c r="D3128" s="28">
        <f>VALUE(LEFT(C3128,LEN(C3128)-4))</f>
        <v>1018.7</v>
      </c>
    </row>
    <row r="3129" spans="1:4">
      <c r="A3129" s="23" t="s">
        <v>552</v>
      </c>
      <c r="B3129" t="s">
        <v>545</v>
      </c>
      <c r="C3129" t="s">
        <v>858</v>
      </c>
      <c r="D3129" s="29">
        <f>VALUE(LEFT(C3129,LEN(C3129)-FIND("km/h",C3129)+1)/3.6)</f>
        <v>2.5833333333333335</v>
      </c>
    </row>
    <row r="3130" spans="1:4">
      <c r="A3130" s="23" t="s">
        <v>554</v>
      </c>
      <c r="B3130" t="s">
        <v>545</v>
      </c>
      <c r="C3130" t="s">
        <v>859</v>
      </c>
      <c r="D3130" s="29">
        <f>VALUE(LEFT(C3130,LEN(C3130)-FIND("km/h",C3130)+1)/3.6)</f>
        <v>3.6388888888888888</v>
      </c>
    </row>
    <row r="3131" spans="1:4">
      <c r="A3131" s="23" t="s">
        <v>556</v>
      </c>
      <c r="B3131" t="s">
        <v>545</v>
      </c>
      <c r="C3131" t="s">
        <v>860</v>
      </c>
      <c r="D3131" s="26">
        <f>VALUE(LEFT(C3131,LEN(C3131)-7))</f>
        <v>244</v>
      </c>
    </row>
    <row r="3132" spans="1:4">
      <c r="A3132" s="23" t="s">
        <v>558</v>
      </c>
      <c r="B3132" t="s">
        <v>545</v>
      </c>
      <c r="C3132" t="s">
        <v>861</v>
      </c>
      <c r="D3132" s="29">
        <f>VALUE(LEFT(C3132,LEN(C3132)-3))</f>
        <v>97.4</v>
      </c>
    </row>
    <row r="3133" spans="1:4">
      <c r="A3133" s="23" t="s">
        <v>560</v>
      </c>
      <c r="B3133" t="s">
        <v>545</v>
      </c>
      <c r="C3133" t="s">
        <v>862</v>
      </c>
      <c r="D3133" s="29">
        <f>VALUE(LEFT(C3133,LEN(C3133)-3))</f>
        <v>605.9</v>
      </c>
    </row>
    <row r="3134" spans="1:4">
      <c r="A3134" s="23" t="s">
        <v>562</v>
      </c>
      <c r="B3134" t="s">
        <v>545</v>
      </c>
      <c r="C3134" t="s">
        <v>589</v>
      </c>
      <c r="D3134" s="29">
        <f>VALUE(LEFT(C3134,LEN(C3134)-3))</f>
        <v>4</v>
      </c>
    </row>
    <row r="3136" spans="1:4">
      <c r="A3136" s="23" t="s">
        <v>544</v>
      </c>
      <c r="B3136" t="s">
        <v>545</v>
      </c>
      <c r="C3136" t="s">
        <v>863</v>
      </c>
      <c r="D3136" s="29">
        <f>VALUE(LEFT(C3136,LEN(C3136)-2))</f>
        <v>13.9</v>
      </c>
    </row>
    <row r="3137" spans="1:4">
      <c r="A3137" s="23" t="s">
        <v>547</v>
      </c>
      <c r="B3137" t="s">
        <v>545</v>
      </c>
      <c r="C3137" s="24">
        <v>0.75</v>
      </c>
      <c r="D3137" s="27">
        <f>VALUE(C3137*100)</f>
        <v>75</v>
      </c>
    </row>
    <row r="3138" spans="1:4">
      <c r="A3138" s="23" t="s">
        <v>548</v>
      </c>
      <c r="B3138" t="s">
        <v>545</v>
      </c>
      <c r="C3138" t="s">
        <v>663</v>
      </c>
      <c r="D3138" s="29">
        <f>VALUE(LEFT(C3138,LEN(C3138)-2))</f>
        <v>8.9</v>
      </c>
    </row>
    <row r="3139" spans="1:4">
      <c r="A3139" s="23" t="s">
        <v>550</v>
      </c>
      <c r="B3139" t="s">
        <v>545</v>
      </c>
      <c r="C3139" t="s">
        <v>687</v>
      </c>
      <c r="D3139" s="28">
        <f>VALUE(LEFT(C3139,LEN(C3139)-4))</f>
        <v>1019.6</v>
      </c>
    </row>
    <row r="3140" spans="1:4">
      <c r="A3140" s="23" t="s">
        <v>552</v>
      </c>
      <c r="B3140" t="s">
        <v>545</v>
      </c>
      <c r="C3140" t="s">
        <v>651</v>
      </c>
      <c r="D3140" s="29">
        <f>VALUE(LEFT(C3140,LEN(C3140)-FIND("km/h",C3140)+1)/3.6)</f>
        <v>1.2777777777777777</v>
      </c>
    </row>
    <row r="3141" spans="1:4">
      <c r="A3141" s="23" t="s">
        <v>554</v>
      </c>
      <c r="B3141" t="s">
        <v>545</v>
      </c>
      <c r="C3141" t="s">
        <v>655</v>
      </c>
      <c r="D3141" s="29">
        <f>VALUE(LEFT(C3141,LEN(C3141)-FIND("km/h",C3141)+1)/3.6)</f>
        <v>1.8611111111111112</v>
      </c>
    </row>
    <row r="3142" spans="1:4">
      <c r="A3142" s="23" t="s">
        <v>556</v>
      </c>
      <c r="B3142" t="s">
        <v>545</v>
      </c>
      <c r="C3142" t="s">
        <v>864</v>
      </c>
      <c r="D3142" s="26">
        <f>VALUE(LEFT(C3142,LEN(C3142)-7))</f>
        <v>318</v>
      </c>
    </row>
    <row r="3143" spans="1:4">
      <c r="A3143" s="23" t="s">
        <v>558</v>
      </c>
      <c r="B3143" t="s">
        <v>545</v>
      </c>
      <c r="C3143" t="s">
        <v>861</v>
      </c>
      <c r="D3143" s="29">
        <f>VALUE(LEFT(C3143,LEN(C3143)-3))</f>
        <v>97.4</v>
      </c>
    </row>
    <row r="3144" spans="1:4">
      <c r="A3144" s="23" t="s">
        <v>560</v>
      </c>
      <c r="B3144" t="s">
        <v>545</v>
      </c>
      <c r="C3144" t="s">
        <v>862</v>
      </c>
      <c r="D3144" s="29">
        <f>VALUE(LEFT(C3144,LEN(C3144)-3))</f>
        <v>605.9</v>
      </c>
    </row>
    <row r="3145" spans="1:4">
      <c r="A3145" s="23" t="s">
        <v>562</v>
      </c>
      <c r="B3145" t="s">
        <v>545</v>
      </c>
      <c r="C3145" t="s">
        <v>604</v>
      </c>
      <c r="D3145" s="29">
        <f>VALUE(LEFT(C3145,LEN(C3145)-3))</f>
        <v>0</v>
      </c>
    </row>
    <row r="3147" spans="1:4">
      <c r="A3147" s="23" t="s">
        <v>544</v>
      </c>
      <c r="B3147" t="s">
        <v>545</v>
      </c>
      <c r="C3147" t="s">
        <v>626</v>
      </c>
      <c r="D3147" s="29">
        <f>VALUE(LEFT(C3147,LEN(C3147)-2))</f>
        <v>14.2</v>
      </c>
    </row>
    <row r="3148" spans="1:4">
      <c r="A3148" s="23" t="s">
        <v>547</v>
      </c>
      <c r="B3148" t="s">
        <v>545</v>
      </c>
      <c r="C3148" s="24">
        <v>0.76</v>
      </c>
      <c r="D3148" s="27">
        <f>VALUE(C3148*100)</f>
        <v>76</v>
      </c>
    </row>
    <row r="3149" spans="1:4">
      <c r="A3149" s="23" t="s">
        <v>548</v>
      </c>
      <c r="B3149" t="s">
        <v>545</v>
      </c>
      <c r="C3149" t="s">
        <v>606</v>
      </c>
      <c r="D3149" s="29">
        <f>VALUE(LEFT(C3149,LEN(C3149)-2))</f>
        <v>9.8000000000000007</v>
      </c>
    </row>
    <row r="3150" spans="1:4">
      <c r="A3150" s="23" t="s">
        <v>550</v>
      </c>
      <c r="B3150" t="s">
        <v>545</v>
      </c>
      <c r="C3150" t="s">
        <v>865</v>
      </c>
      <c r="D3150" s="28">
        <f>VALUE(LEFT(C3150,LEN(C3150)-4))</f>
        <v>1017.6</v>
      </c>
    </row>
    <row r="3151" spans="1:4">
      <c r="A3151" s="23" t="s">
        <v>552</v>
      </c>
      <c r="B3151" t="s">
        <v>545</v>
      </c>
      <c r="C3151" t="s">
        <v>640</v>
      </c>
      <c r="D3151" s="29">
        <f>VALUE(LEFT(C3151,LEN(C3151)-FIND("km/h",C3151)+1)/3.6)</f>
        <v>1.4166666666666665</v>
      </c>
    </row>
    <row r="3152" spans="1:4">
      <c r="A3152" s="23" t="s">
        <v>554</v>
      </c>
      <c r="B3152" t="s">
        <v>545</v>
      </c>
      <c r="C3152" t="s">
        <v>747</v>
      </c>
      <c r="D3152" s="29">
        <f>VALUE(LEFT(C3152,LEN(C3152)-FIND("km/h",C3152)+1)/3.6)</f>
        <v>2.0555555555555558</v>
      </c>
    </row>
    <row r="3153" spans="1:4">
      <c r="A3153" s="23" t="s">
        <v>556</v>
      </c>
      <c r="B3153" t="s">
        <v>545</v>
      </c>
      <c r="C3153" t="s">
        <v>866</v>
      </c>
      <c r="D3153" s="26">
        <f>VALUE(LEFT(C3153,LEN(C3153)-7))</f>
        <v>325</v>
      </c>
    </row>
    <row r="3154" spans="1:4">
      <c r="A3154" s="23" t="s">
        <v>558</v>
      </c>
      <c r="B3154" t="s">
        <v>545</v>
      </c>
      <c r="C3154" t="s">
        <v>861</v>
      </c>
      <c r="D3154" s="29">
        <f>VALUE(LEFT(C3154,LEN(C3154)-3))</f>
        <v>97.4</v>
      </c>
    </row>
    <row r="3155" spans="1:4">
      <c r="A3155" s="23" t="s">
        <v>560</v>
      </c>
      <c r="B3155" t="s">
        <v>545</v>
      </c>
      <c r="C3155" t="s">
        <v>862</v>
      </c>
      <c r="D3155" s="29">
        <f>VALUE(LEFT(C3155,LEN(C3155)-3))</f>
        <v>605.9</v>
      </c>
    </row>
    <row r="3156" spans="1:4">
      <c r="A3156" s="23" t="s">
        <v>562</v>
      </c>
      <c r="B3156" t="s">
        <v>545</v>
      </c>
      <c r="C3156" t="s">
        <v>604</v>
      </c>
      <c r="D3156" s="29">
        <f>VALUE(LEFT(C3156,LEN(C3156)-3))</f>
        <v>0</v>
      </c>
    </row>
    <row r="3158" spans="1:4">
      <c r="A3158" s="23" t="s">
        <v>544</v>
      </c>
      <c r="B3158" t="s">
        <v>545</v>
      </c>
      <c r="C3158" t="s">
        <v>867</v>
      </c>
      <c r="D3158" s="29">
        <f>VALUE(LEFT(C3158,LEN(C3158)-2))</f>
        <v>16.899999999999999</v>
      </c>
    </row>
    <row r="3159" spans="1:4">
      <c r="A3159" s="23" t="s">
        <v>547</v>
      </c>
      <c r="B3159" t="s">
        <v>545</v>
      </c>
      <c r="C3159" s="24">
        <v>0.69</v>
      </c>
      <c r="D3159" s="27">
        <f>VALUE(C3159*100)</f>
        <v>69</v>
      </c>
    </row>
    <row r="3160" spans="1:4">
      <c r="A3160" s="23" t="s">
        <v>548</v>
      </c>
      <c r="B3160" t="s">
        <v>545</v>
      </c>
      <c r="C3160" t="s">
        <v>737</v>
      </c>
      <c r="D3160" s="29">
        <f>VALUE(LEFT(C3160,LEN(C3160)-2))</f>
        <v>10.6</v>
      </c>
    </row>
    <row r="3161" spans="1:4">
      <c r="A3161" s="23" t="s">
        <v>550</v>
      </c>
      <c r="B3161" t="s">
        <v>545</v>
      </c>
      <c r="C3161" t="s">
        <v>814</v>
      </c>
      <c r="D3161" s="28">
        <f>VALUE(LEFT(C3161,LEN(C3161)-4))</f>
        <v>1016.1</v>
      </c>
    </row>
    <row r="3162" spans="1:4">
      <c r="A3162" s="23" t="s">
        <v>552</v>
      </c>
      <c r="B3162" t="s">
        <v>545</v>
      </c>
      <c r="C3162" t="s">
        <v>868</v>
      </c>
      <c r="D3162" s="29">
        <f>VALUE(LEFT(C3162,LEN(C3162)-FIND("km/h",C3162)+1)/3.6)</f>
        <v>2.5</v>
      </c>
    </row>
    <row r="3163" spans="1:4">
      <c r="A3163" s="23" t="s">
        <v>554</v>
      </c>
      <c r="B3163" t="s">
        <v>545</v>
      </c>
      <c r="C3163" t="s">
        <v>869</v>
      </c>
      <c r="D3163" s="29">
        <f>VALUE(LEFT(C3163,LEN(C3163)-FIND("km/h",C3163)+1)/3.6)</f>
        <v>3.5555555555555558</v>
      </c>
    </row>
    <row r="3164" spans="1:4">
      <c r="A3164" s="23" t="s">
        <v>556</v>
      </c>
      <c r="B3164" t="s">
        <v>545</v>
      </c>
      <c r="C3164" t="s">
        <v>870</v>
      </c>
      <c r="D3164" s="26">
        <f>VALUE(LEFT(C3164,LEN(C3164)-7))</f>
        <v>337</v>
      </c>
    </row>
    <row r="3165" spans="1:4">
      <c r="A3165" s="23" t="s">
        <v>558</v>
      </c>
      <c r="B3165" t="s">
        <v>545</v>
      </c>
      <c r="C3165" t="s">
        <v>861</v>
      </c>
      <c r="D3165" s="29">
        <f>VALUE(LEFT(C3165,LEN(C3165)-3))</f>
        <v>97.4</v>
      </c>
    </row>
    <row r="3166" spans="1:4">
      <c r="A3166" s="23" t="s">
        <v>560</v>
      </c>
      <c r="B3166" t="s">
        <v>545</v>
      </c>
      <c r="C3166" t="s">
        <v>862</v>
      </c>
      <c r="D3166" s="29">
        <f>VALUE(LEFT(C3166,LEN(C3166)-3))</f>
        <v>605.9</v>
      </c>
    </row>
    <row r="3167" spans="1:4">
      <c r="A3167" s="23" t="s">
        <v>562</v>
      </c>
      <c r="B3167" t="s">
        <v>545</v>
      </c>
      <c r="C3167" t="s">
        <v>604</v>
      </c>
      <c r="D3167" s="29">
        <f>VALUE(LEFT(C3167,LEN(C3167)-3))</f>
        <v>0</v>
      </c>
    </row>
    <row r="3169" spans="1:4">
      <c r="A3169" s="23" t="s">
        <v>544</v>
      </c>
      <c r="B3169" t="s">
        <v>545</v>
      </c>
      <c r="C3169" t="s">
        <v>871</v>
      </c>
      <c r="D3169" s="29">
        <f>VALUE(LEFT(C3169,LEN(C3169)-2))</f>
        <v>17.3</v>
      </c>
    </row>
    <row r="3170" spans="1:4">
      <c r="A3170" s="23" t="s">
        <v>547</v>
      </c>
      <c r="B3170" t="s">
        <v>545</v>
      </c>
      <c r="C3170" s="24">
        <v>0.79</v>
      </c>
      <c r="D3170" s="27">
        <f>VALUE(C3170*100)</f>
        <v>79</v>
      </c>
    </row>
    <row r="3171" spans="1:4">
      <c r="A3171" s="23" t="s">
        <v>548</v>
      </c>
      <c r="B3171" t="s">
        <v>545</v>
      </c>
      <c r="C3171" t="s">
        <v>851</v>
      </c>
      <c r="D3171" s="29">
        <f>VALUE(LEFT(C3171,LEN(C3171)-2))</f>
        <v>13.3</v>
      </c>
    </row>
    <row r="3172" spans="1:4">
      <c r="A3172" s="23" t="s">
        <v>550</v>
      </c>
      <c r="B3172" t="s">
        <v>545</v>
      </c>
      <c r="C3172" t="s">
        <v>872</v>
      </c>
      <c r="D3172" s="28">
        <f>VALUE(LEFT(C3172,LEN(C3172)-4))</f>
        <v>1015.4</v>
      </c>
    </row>
    <row r="3173" spans="1:4">
      <c r="A3173" s="23" t="s">
        <v>552</v>
      </c>
      <c r="B3173" t="s">
        <v>545</v>
      </c>
      <c r="C3173" t="s">
        <v>755</v>
      </c>
      <c r="D3173" s="29">
        <f>VALUE(LEFT(C3173,LEN(C3173)-FIND("km/h",C3173)+1)/3.6)</f>
        <v>2.1944444444444446</v>
      </c>
    </row>
    <row r="3174" spans="1:4">
      <c r="A3174" s="23" t="s">
        <v>554</v>
      </c>
      <c r="B3174" t="s">
        <v>545</v>
      </c>
      <c r="C3174" t="s">
        <v>698</v>
      </c>
      <c r="D3174" s="29">
        <f>VALUE(LEFT(C3174,LEN(C3174)-FIND("km/h",C3174)+1)/3.6)</f>
        <v>3.0555555555555554</v>
      </c>
    </row>
    <row r="3175" spans="1:4">
      <c r="A3175" s="23" t="s">
        <v>556</v>
      </c>
      <c r="B3175" t="s">
        <v>545</v>
      </c>
      <c r="C3175" t="s">
        <v>870</v>
      </c>
      <c r="D3175" s="26">
        <f>VALUE(LEFT(C3175,LEN(C3175)-7))</f>
        <v>337</v>
      </c>
    </row>
    <row r="3176" spans="1:4">
      <c r="A3176" s="23" t="s">
        <v>558</v>
      </c>
      <c r="B3176" t="s">
        <v>545</v>
      </c>
      <c r="C3176" t="s">
        <v>861</v>
      </c>
      <c r="D3176" s="29">
        <f>VALUE(LEFT(C3176,LEN(C3176)-3))</f>
        <v>97.4</v>
      </c>
    </row>
    <row r="3177" spans="1:4">
      <c r="A3177" s="23" t="s">
        <v>560</v>
      </c>
      <c r="B3177" t="s">
        <v>545</v>
      </c>
      <c r="C3177" t="s">
        <v>862</v>
      </c>
      <c r="D3177" s="29">
        <f>VALUE(LEFT(C3177,LEN(C3177)-3))</f>
        <v>605.9</v>
      </c>
    </row>
    <row r="3178" spans="1:4">
      <c r="A3178" s="23" t="s">
        <v>562</v>
      </c>
      <c r="B3178" t="s">
        <v>545</v>
      </c>
      <c r="C3178" t="s">
        <v>604</v>
      </c>
      <c r="D3178" s="29">
        <f>VALUE(LEFT(C3178,LEN(C3178)-3))</f>
        <v>0</v>
      </c>
    </row>
    <row r="3179" spans="1:4" s="30" customFormat="1"/>
    <row r="3180" spans="1:4">
      <c r="A3180" s="23" t="s">
        <v>544</v>
      </c>
      <c r="B3180" t="s">
        <v>545</v>
      </c>
      <c r="C3180" t="s">
        <v>867</v>
      </c>
      <c r="D3180" s="29">
        <f>VALUE(LEFT(C3180,LEN(C3180)-2))</f>
        <v>16.899999999999999</v>
      </c>
    </row>
    <row r="3181" spans="1:4">
      <c r="A3181" s="23" t="s">
        <v>547</v>
      </c>
      <c r="B3181" t="s">
        <v>545</v>
      </c>
      <c r="C3181" s="24">
        <v>0.71</v>
      </c>
      <c r="D3181" s="27">
        <f>VALUE(C3181*100)</f>
        <v>71</v>
      </c>
    </row>
    <row r="3182" spans="1:4">
      <c r="A3182" s="23" t="s">
        <v>548</v>
      </c>
      <c r="B3182" t="s">
        <v>545</v>
      </c>
      <c r="C3182" t="s">
        <v>760</v>
      </c>
      <c r="D3182" s="29">
        <f>VALUE(LEFT(C3182,LEN(C3182)-2))</f>
        <v>11.3</v>
      </c>
    </row>
    <row r="3183" spans="1:4">
      <c r="A3183" s="23" t="s">
        <v>550</v>
      </c>
      <c r="B3183" t="s">
        <v>545</v>
      </c>
      <c r="C3183" t="s">
        <v>877</v>
      </c>
      <c r="D3183" s="28">
        <f>VALUE(LEFT(C3183,LEN(C3183)-4))</f>
        <v>1016.4</v>
      </c>
    </row>
    <row r="3184" spans="1:4">
      <c r="A3184" s="23" t="s">
        <v>552</v>
      </c>
      <c r="B3184" t="s">
        <v>545</v>
      </c>
      <c r="C3184" t="s">
        <v>660</v>
      </c>
      <c r="D3184" s="29">
        <f>VALUE(LEFT(C3184,LEN(C3184)-FIND("km/h",C3184)+1)/3.6)</f>
        <v>2.5555555555555554</v>
      </c>
    </row>
    <row r="3185" spans="1:4">
      <c r="A3185" s="23" t="s">
        <v>554</v>
      </c>
      <c r="B3185" t="s">
        <v>545</v>
      </c>
      <c r="C3185" t="s">
        <v>725</v>
      </c>
      <c r="D3185" s="29">
        <f>VALUE(LEFT(C3185,LEN(C3185)-FIND("km/h",C3185)+1)/3.6)</f>
        <v>3.5277777777777777</v>
      </c>
    </row>
    <row r="3186" spans="1:4">
      <c r="A3186" s="23" t="s">
        <v>556</v>
      </c>
      <c r="B3186" t="s">
        <v>545</v>
      </c>
      <c r="C3186" t="s">
        <v>603</v>
      </c>
      <c r="D3186" s="26">
        <f>VALUE(LEFT(C3186,LEN(C3186)-7))</f>
        <v>332</v>
      </c>
    </row>
    <row r="3187" spans="1:4">
      <c r="A3187" s="23" t="s">
        <v>558</v>
      </c>
      <c r="B3187" t="s">
        <v>545</v>
      </c>
      <c r="C3187" t="s">
        <v>604</v>
      </c>
      <c r="D3187" s="29">
        <f>VALUE(LEFT(C3187,LEN(C3187)-3))</f>
        <v>0</v>
      </c>
    </row>
    <row r="3188" spans="1:4">
      <c r="A3188" s="23" t="s">
        <v>560</v>
      </c>
      <c r="B3188" t="s">
        <v>545</v>
      </c>
      <c r="C3188" t="s">
        <v>862</v>
      </c>
      <c r="D3188" s="29">
        <f>VALUE(LEFT(C3188,LEN(C3188)-3))</f>
        <v>605.9</v>
      </c>
    </row>
    <row r="3189" spans="1:4">
      <c r="A3189" s="23" t="s">
        <v>562</v>
      </c>
      <c r="B3189" t="s">
        <v>545</v>
      </c>
      <c r="C3189" t="s">
        <v>604</v>
      </c>
      <c r="D3189" s="29">
        <f>VALUE(LEFT(C3189,LEN(C3189)-3))</f>
        <v>0</v>
      </c>
    </row>
    <row r="3191" spans="1:4">
      <c r="A3191" s="23" t="s">
        <v>544</v>
      </c>
      <c r="B3191" t="s">
        <v>545</v>
      </c>
      <c r="C3191" t="s">
        <v>878</v>
      </c>
      <c r="D3191" s="29">
        <f>VALUE(LEFT(C3191,LEN(C3191)-2))</f>
        <v>18.7</v>
      </c>
    </row>
    <row r="3192" spans="1:4">
      <c r="A3192" s="23" t="s">
        <v>547</v>
      </c>
      <c r="B3192" t="s">
        <v>545</v>
      </c>
      <c r="C3192" s="24">
        <v>0.65</v>
      </c>
      <c r="D3192" s="27">
        <f>VALUE(C3192*100)</f>
        <v>65</v>
      </c>
    </row>
    <row r="3193" spans="1:4">
      <c r="A3193" s="23" t="s">
        <v>548</v>
      </c>
      <c r="B3193" t="s">
        <v>545</v>
      </c>
      <c r="C3193" t="s">
        <v>730</v>
      </c>
      <c r="D3193" s="29">
        <f>VALUE(LEFT(C3193,LEN(C3193)-2))</f>
        <v>11</v>
      </c>
    </row>
    <row r="3194" spans="1:4">
      <c r="A3194" s="23" t="s">
        <v>550</v>
      </c>
      <c r="B3194" t="s">
        <v>545</v>
      </c>
      <c r="C3194" t="s">
        <v>872</v>
      </c>
      <c r="D3194" s="28">
        <f>VALUE(LEFT(C3194,LEN(C3194)-4))</f>
        <v>1015.4</v>
      </c>
    </row>
    <row r="3195" spans="1:4">
      <c r="A3195" s="23" t="s">
        <v>552</v>
      </c>
      <c r="B3195" t="s">
        <v>545</v>
      </c>
      <c r="C3195" t="s">
        <v>721</v>
      </c>
      <c r="D3195" s="29">
        <f>VALUE(LEFT(C3195,LEN(C3195)-FIND("km/h",C3195)+1)/3.6)</f>
        <v>1.5555555555555554</v>
      </c>
    </row>
    <row r="3196" spans="1:4">
      <c r="A3196" s="23" t="s">
        <v>554</v>
      </c>
      <c r="B3196" t="s">
        <v>545</v>
      </c>
      <c r="C3196" t="s">
        <v>879</v>
      </c>
      <c r="D3196" s="29">
        <f>VALUE(LEFT(C3196,LEN(C3196)-FIND("km/h",C3196)+1)/3.6)</f>
        <v>2.2777777777777777</v>
      </c>
    </row>
    <row r="3197" spans="1:4">
      <c r="A3197" s="23" t="s">
        <v>556</v>
      </c>
      <c r="B3197" t="s">
        <v>545</v>
      </c>
      <c r="C3197" t="s">
        <v>880</v>
      </c>
      <c r="D3197" s="26">
        <f>VALUE(LEFT(C3197,LEN(C3197)-7))</f>
        <v>327</v>
      </c>
    </row>
    <row r="3198" spans="1:4">
      <c r="A3198" s="23" t="s">
        <v>558</v>
      </c>
      <c r="B3198" t="s">
        <v>545</v>
      </c>
      <c r="C3198" t="s">
        <v>604</v>
      </c>
      <c r="D3198" s="29">
        <f>VALUE(LEFT(C3198,LEN(C3198)-3))</f>
        <v>0</v>
      </c>
    </row>
    <row r="3199" spans="1:4">
      <c r="A3199" s="23" t="s">
        <v>560</v>
      </c>
      <c r="B3199" t="s">
        <v>545</v>
      </c>
      <c r="C3199" t="s">
        <v>862</v>
      </c>
      <c r="D3199" s="29">
        <f>VALUE(LEFT(C3199,LEN(C3199)-3))</f>
        <v>605.9</v>
      </c>
    </row>
    <row r="3200" spans="1:4">
      <c r="A3200" s="23" t="s">
        <v>562</v>
      </c>
      <c r="B3200" t="s">
        <v>545</v>
      </c>
      <c r="C3200" t="s">
        <v>604</v>
      </c>
      <c r="D3200" s="29">
        <f>VALUE(LEFT(C3200,LEN(C3200)-3))</f>
        <v>0</v>
      </c>
    </row>
    <row r="3202" spans="1:4">
      <c r="A3202" s="23" t="s">
        <v>544</v>
      </c>
      <c r="B3202" t="s">
        <v>545</v>
      </c>
      <c r="C3202" t="s">
        <v>881</v>
      </c>
      <c r="D3202" s="29">
        <f>VALUE(LEFT(C3202,LEN(C3202)-2))</f>
        <v>19.5</v>
      </c>
    </row>
    <row r="3203" spans="1:4">
      <c r="A3203" s="23" t="s">
        <v>547</v>
      </c>
      <c r="B3203" t="s">
        <v>545</v>
      </c>
      <c r="C3203" s="24">
        <v>0.53</v>
      </c>
      <c r="D3203" s="27">
        <f>VALUE(C3203*100)</f>
        <v>53</v>
      </c>
    </row>
    <row r="3204" spans="1:4">
      <c r="A3204" s="23" t="s">
        <v>548</v>
      </c>
      <c r="B3204" t="s">
        <v>545</v>
      </c>
      <c r="C3204" t="s">
        <v>882</v>
      </c>
      <c r="D3204" s="29">
        <f>VALUE(LEFT(C3204,LEN(C3204)-2))</f>
        <v>7.8</v>
      </c>
    </row>
    <row r="3205" spans="1:4">
      <c r="A3205" s="23" t="s">
        <v>550</v>
      </c>
      <c r="B3205" t="s">
        <v>545</v>
      </c>
      <c r="C3205" t="s">
        <v>883</v>
      </c>
      <c r="D3205" s="28">
        <f>VALUE(LEFT(C3205,LEN(C3205)-4))</f>
        <v>1013.7</v>
      </c>
    </row>
    <row r="3206" spans="1:4">
      <c r="A3206" s="23" t="s">
        <v>552</v>
      </c>
      <c r="B3206" t="s">
        <v>545</v>
      </c>
      <c r="C3206" t="s">
        <v>640</v>
      </c>
      <c r="D3206" s="29">
        <f>VALUE(LEFT(C3206,LEN(C3206)-FIND("km/h",C3206)+1)/3.6)</f>
        <v>1.4166666666666665</v>
      </c>
    </row>
    <row r="3207" spans="1:4">
      <c r="A3207" s="23" t="s">
        <v>554</v>
      </c>
      <c r="B3207" t="s">
        <v>545</v>
      </c>
      <c r="C3207" t="s">
        <v>747</v>
      </c>
      <c r="D3207" s="29">
        <f>VALUE(LEFT(C3207,LEN(C3207)-FIND("km/h",C3207)+1)/3.6)</f>
        <v>2.0555555555555558</v>
      </c>
    </row>
    <row r="3208" spans="1:4">
      <c r="A3208" s="23" t="s">
        <v>556</v>
      </c>
      <c r="B3208" t="s">
        <v>545</v>
      </c>
      <c r="C3208" t="s">
        <v>884</v>
      </c>
      <c r="D3208" s="26">
        <f>VALUE(LEFT(C3208,LEN(C3208)-7))</f>
        <v>20</v>
      </c>
    </row>
    <row r="3209" spans="1:4">
      <c r="A3209" s="23" t="s">
        <v>558</v>
      </c>
      <c r="B3209" t="s">
        <v>545</v>
      </c>
      <c r="C3209" t="s">
        <v>604</v>
      </c>
      <c r="D3209" s="29">
        <f>VALUE(LEFT(C3209,LEN(C3209)-3))</f>
        <v>0</v>
      </c>
    </row>
    <row r="3210" spans="1:4">
      <c r="A3210" s="23" t="s">
        <v>560</v>
      </c>
      <c r="B3210" t="s">
        <v>545</v>
      </c>
      <c r="C3210" t="s">
        <v>862</v>
      </c>
      <c r="D3210" s="29">
        <f>VALUE(LEFT(C3210,LEN(C3210)-3))</f>
        <v>605.9</v>
      </c>
    </row>
    <row r="3211" spans="1:4">
      <c r="A3211" s="23" t="s">
        <v>562</v>
      </c>
      <c r="B3211" t="s">
        <v>545</v>
      </c>
      <c r="C3211" t="s">
        <v>604</v>
      </c>
      <c r="D3211" s="29">
        <f>VALUE(LEFT(C3211,LEN(C3211)-3))</f>
        <v>0</v>
      </c>
    </row>
    <row r="3213" spans="1:4">
      <c r="A3213" s="23" t="s">
        <v>544</v>
      </c>
      <c r="B3213" t="s">
        <v>545</v>
      </c>
      <c r="C3213" t="s">
        <v>881</v>
      </c>
      <c r="D3213" s="29">
        <f>VALUE(LEFT(C3213,LEN(C3213)-2))</f>
        <v>19.5</v>
      </c>
    </row>
    <row r="3214" spans="1:4">
      <c r="A3214" s="23" t="s">
        <v>547</v>
      </c>
      <c r="B3214" t="s">
        <v>545</v>
      </c>
      <c r="C3214" s="24">
        <v>0.49</v>
      </c>
      <c r="D3214" s="27">
        <f>VALUE(C3214*100)</f>
        <v>49</v>
      </c>
    </row>
    <row r="3215" spans="1:4">
      <c r="A3215" s="23" t="s">
        <v>548</v>
      </c>
      <c r="B3215" t="s">
        <v>545</v>
      </c>
      <c r="C3215" t="s">
        <v>633</v>
      </c>
      <c r="D3215" s="29">
        <f>VALUE(LEFT(C3215,LEN(C3215)-2))</f>
        <v>7.2</v>
      </c>
    </row>
    <row r="3216" spans="1:4">
      <c r="A3216" s="23" t="s">
        <v>550</v>
      </c>
      <c r="B3216" t="s">
        <v>545</v>
      </c>
      <c r="C3216" t="s">
        <v>885</v>
      </c>
      <c r="D3216" s="28">
        <f>VALUE(LEFT(C3216,LEN(C3216)-4))</f>
        <v>1011.3</v>
      </c>
    </row>
    <row r="3217" spans="1:4">
      <c r="A3217" s="23" t="s">
        <v>552</v>
      </c>
      <c r="B3217" t="s">
        <v>545</v>
      </c>
      <c r="C3217" t="s">
        <v>645</v>
      </c>
      <c r="D3217" s="29">
        <f>VALUE(LEFT(C3217,LEN(C3217)-FIND("km/h",C3217)+1)/3.6)</f>
        <v>1</v>
      </c>
    </row>
    <row r="3218" spans="1:4">
      <c r="A3218" s="23" t="s">
        <v>554</v>
      </c>
      <c r="B3218" t="s">
        <v>545</v>
      </c>
      <c r="C3218" t="s">
        <v>830</v>
      </c>
      <c r="D3218" s="29">
        <f>VALUE(LEFT(C3218,LEN(C3218)-FIND("km/h",C3218)+1)/3.6)</f>
        <v>1.5</v>
      </c>
    </row>
    <row r="3219" spans="1:4">
      <c r="A3219" s="23" t="s">
        <v>556</v>
      </c>
      <c r="B3219" t="s">
        <v>545</v>
      </c>
      <c r="C3219" t="s">
        <v>886</v>
      </c>
      <c r="D3219" s="26">
        <f>VALUE(LEFT(C3219,LEN(C3219)-7))</f>
        <v>176</v>
      </c>
    </row>
    <row r="3220" spans="1:4">
      <c r="A3220" s="23" t="s">
        <v>558</v>
      </c>
      <c r="B3220" t="s">
        <v>545</v>
      </c>
      <c r="C3220" t="s">
        <v>604</v>
      </c>
      <c r="D3220" s="29">
        <f>VALUE(LEFT(C3220,LEN(C3220)-3))</f>
        <v>0</v>
      </c>
    </row>
    <row r="3221" spans="1:4">
      <c r="A3221" s="23" t="s">
        <v>560</v>
      </c>
      <c r="B3221" t="s">
        <v>545</v>
      </c>
      <c r="C3221" t="s">
        <v>862</v>
      </c>
      <c r="D3221" s="29">
        <f>VALUE(LEFT(C3221,LEN(C3221)-3))</f>
        <v>605.9</v>
      </c>
    </row>
    <row r="3222" spans="1:4">
      <c r="A3222" s="23" t="s">
        <v>562</v>
      </c>
      <c r="B3222" t="s">
        <v>545</v>
      </c>
      <c r="C3222" t="s">
        <v>604</v>
      </c>
      <c r="D3222" s="29">
        <f>VALUE(LEFT(C3222,LEN(C3222)-3))</f>
        <v>0</v>
      </c>
    </row>
    <row r="3224" spans="1:4">
      <c r="A3224" s="23" t="s">
        <v>544</v>
      </c>
      <c r="B3224" t="s">
        <v>545</v>
      </c>
      <c r="C3224" t="s">
        <v>887</v>
      </c>
      <c r="D3224" s="29">
        <f>VALUE(LEFT(C3224,LEN(C3224)-2))</f>
        <v>17.399999999999999</v>
      </c>
    </row>
    <row r="3225" spans="1:4">
      <c r="A3225" s="23" t="s">
        <v>547</v>
      </c>
      <c r="B3225" t="s">
        <v>545</v>
      </c>
      <c r="C3225" s="24">
        <v>0.65</v>
      </c>
      <c r="D3225" s="27">
        <f>VALUE(C3225*100)</f>
        <v>65</v>
      </c>
    </row>
    <row r="3226" spans="1:4">
      <c r="A3226" s="23" t="s">
        <v>548</v>
      </c>
      <c r="B3226" t="s">
        <v>545</v>
      </c>
      <c r="C3226" t="s">
        <v>888</v>
      </c>
      <c r="D3226" s="29">
        <f>VALUE(LEFT(C3226,LEN(C3226)-2))</f>
        <v>10.3</v>
      </c>
    </row>
    <row r="3227" spans="1:4">
      <c r="A3227" s="23" t="s">
        <v>550</v>
      </c>
      <c r="B3227" t="s">
        <v>545</v>
      </c>
      <c r="C3227" t="s">
        <v>889</v>
      </c>
      <c r="D3227" s="28">
        <f>VALUE(LEFT(C3227,LEN(C3227)-4))</f>
        <v>1011.4</v>
      </c>
    </row>
    <row r="3228" spans="1:4">
      <c r="A3228" s="23" t="s">
        <v>552</v>
      </c>
      <c r="B3228" t="s">
        <v>545</v>
      </c>
      <c r="C3228" t="s">
        <v>645</v>
      </c>
      <c r="D3228" s="29">
        <f>VALUE(LEFT(C3228,LEN(C3228)-FIND("km/h",C3228)+1)/3.6)</f>
        <v>1</v>
      </c>
    </row>
    <row r="3229" spans="1:4">
      <c r="A3229" s="23" t="s">
        <v>554</v>
      </c>
      <c r="B3229" t="s">
        <v>545</v>
      </c>
      <c r="C3229" t="s">
        <v>795</v>
      </c>
      <c r="D3229" s="29">
        <f>VALUE(LEFT(C3229,LEN(C3229)-FIND("km/h",C3229)+1)/3.6)</f>
        <v>1.6111111111111109</v>
      </c>
    </row>
    <row r="3230" spans="1:4">
      <c r="A3230" s="23" t="s">
        <v>556</v>
      </c>
      <c r="B3230" t="s">
        <v>545</v>
      </c>
      <c r="C3230" t="s">
        <v>890</v>
      </c>
      <c r="D3230" s="26">
        <f>VALUE(LEFT(C3230,LEN(C3230)-7))</f>
        <v>312</v>
      </c>
    </row>
    <row r="3231" spans="1:4">
      <c r="A3231" s="23" t="s">
        <v>558</v>
      </c>
      <c r="B3231" t="s">
        <v>545</v>
      </c>
      <c r="C3231" t="s">
        <v>604</v>
      </c>
      <c r="D3231" s="29">
        <f>VALUE(LEFT(C3231,LEN(C3231)-3))</f>
        <v>0</v>
      </c>
    </row>
    <row r="3232" spans="1:4">
      <c r="A3232" s="23" t="s">
        <v>560</v>
      </c>
      <c r="B3232" t="s">
        <v>545</v>
      </c>
      <c r="C3232" t="s">
        <v>862</v>
      </c>
      <c r="D3232" s="29">
        <f>VALUE(LEFT(C3232,LEN(C3232)-3))</f>
        <v>605.9</v>
      </c>
    </row>
    <row r="3233" spans="1:4">
      <c r="A3233" s="23" t="s">
        <v>562</v>
      </c>
      <c r="B3233" t="s">
        <v>545</v>
      </c>
      <c r="C3233" t="s">
        <v>604</v>
      </c>
      <c r="D3233" s="29">
        <f>VALUE(LEFT(C3233,LEN(C3233)-3))</f>
        <v>0</v>
      </c>
    </row>
    <row r="3235" spans="1:4">
      <c r="A3235" s="23" t="s">
        <v>544</v>
      </c>
      <c r="B3235" t="s">
        <v>545</v>
      </c>
      <c r="C3235" t="s">
        <v>611</v>
      </c>
      <c r="D3235" s="29">
        <f>VALUE(LEFT(C3235,LEN(C3235)-2))</f>
        <v>17.100000000000001</v>
      </c>
    </row>
    <row r="3236" spans="1:4">
      <c r="A3236" s="23" t="s">
        <v>547</v>
      </c>
      <c r="B3236" t="s">
        <v>545</v>
      </c>
      <c r="C3236" s="24">
        <v>0.72</v>
      </c>
      <c r="D3236" s="27">
        <f>VALUE(C3236*100)</f>
        <v>72</v>
      </c>
    </row>
    <row r="3237" spans="1:4">
      <c r="A3237" s="23" t="s">
        <v>548</v>
      </c>
      <c r="B3237" t="s">
        <v>545</v>
      </c>
      <c r="C3237" t="s">
        <v>573</v>
      </c>
      <c r="D3237" s="29">
        <f>VALUE(LEFT(C3237,LEN(C3237)-2))</f>
        <v>11.4</v>
      </c>
    </row>
    <row r="3238" spans="1:4">
      <c r="A3238" s="23" t="s">
        <v>550</v>
      </c>
      <c r="B3238" t="s">
        <v>545</v>
      </c>
      <c r="C3238" t="s">
        <v>891</v>
      </c>
      <c r="D3238" s="28">
        <f>VALUE(LEFT(C3238,LEN(C3238)-4))</f>
        <v>1014.7</v>
      </c>
    </row>
    <row r="3239" spans="1:4">
      <c r="A3239" s="23" t="s">
        <v>552</v>
      </c>
      <c r="B3239" t="s">
        <v>545</v>
      </c>
      <c r="C3239" t="s">
        <v>795</v>
      </c>
      <c r="D3239" s="29">
        <f>VALUE(LEFT(C3239,LEN(C3239)-FIND("km/h",C3239)+1)/3.6)</f>
        <v>1.6111111111111109</v>
      </c>
    </row>
    <row r="3240" spans="1:4">
      <c r="A3240" s="23" t="s">
        <v>554</v>
      </c>
      <c r="B3240" t="s">
        <v>545</v>
      </c>
      <c r="C3240" t="s">
        <v>681</v>
      </c>
      <c r="D3240" s="29">
        <f>VALUE(LEFT(C3240,LEN(C3240)-FIND("km/h",C3240)+1)/3.6)</f>
        <v>2.3888888888888888</v>
      </c>
    </row>
    <row r="3241" spans="1:4">
      <c r="A3241" s="23" t="s">
        <v>556</v>
      </c>
      <c r="B3241" t="s">
        <v>545</v>
      </c>
      <c r="C3241" t="s">
        <v>892</v>
      </c>
      <c r="D3241" s="26">
        <f>VALUE(LEFT(C3241,LEN(C3241)-7))</f>
        <v>321</v>
      </c>
    </row>
    <row r="3242" spans="1:4">
      <c r="A3242" s="23" t="s">
        <v>558</v>
      </c>
      <c r="B3242" t="s">
        <v>545</v>
      </c>
      <c r="C3242" t="s">
        <v>604</v>
      </c>
      <c r="D3242" s="29">
        <f>VALUE(LEFT(C3242,LEN(C3242)-3))</f>
        <v>0</v>
      </c>
    </row>
    <row r="3243" spans="1:4">
      <c r="A3243" s="23" t="s">
        <v>560</v>
      </c>
      <c r="B3243" t="s">
        <v>545</v>
      </c>
      <c r="C3243" t="s">
        <v>862</v>
      </c>
      <c r="D3243" s="29">
        <f>VALUE(LEFT(C3243,LEN(C3243)-3))</f>
        <v>605.9</v>
      </c>
    </row>
    <row r="3244" spans="1:4">
      <c r="A3244" s="23" t="s">
        <v>562</v>
      </c>
      <c r="B3244" t="s">
        <v>545</v>
      </c>
      <c r="C3244" t="s">
        <v>604</v>
      </c>
      <c r="D3244" s="29">
        <f>VALUE(LEFT(C3244,LEN(C3244)-3))</f>
        <v>0</v>
      </c>
    </row>
    <row r="3246" spans="1:4">
      <c r="A3246" s="23" t="s">
        <v>544</v>
      </c>
      <c r="B3246" t="s">
        <v>545</v>
      </c>
      <c r="C3246" t="s">
        <v>887</v>
      </c>
      <c r="D3246" s="29">
        <f>VALUE(LEFT(C3246,LEN(C3246)-2))</f>
        <v>17.399999999999999</v>
      </c>
    </row>
    <row r="3247" spans="1:4">
      <c r="A3247" s="23" t="s">
        <v>547</v>
      </c>
      <c r="B3247" t="s">
        <v>545</v>
      </c>
      <c r="C3247" s="24">
        <v>0.73</v>
      </c>
      <c r="D3247" s="27">
        <f>VALUE(C3247*100)</f>
        <v>73</v>
      </c>
    </row>
    <row r="3248" spans="1:4">
      <c r="A3248" s="23" t="s">
        <v>548</v>
      </c>
      <c r="B3248" t="s">
        <v>545</v>
      </c>
      <c r="C3248" t="s">
        <v>696</v>
      </c>
      <c r="D3248" s="29">
        <f>VALUE(LEFT(C3248,LEN(C3248)-2))</f>
        <v>12.1</v>
      </c>
    </row>
    <row r="3249" spans="1:4">
      <c r="A3249" s="23" t="s">
        <v>550</v>
      </c>
      <c r="B3249" t="s">
        <v>545</v>
      </c>
      <c r="C3249" t="s">
        <v>672</v>
      </c>
      <c r="D3249" s="28">
        <f>VALUE(LEFT(C3249,LEN(C3249)-4))</f>
        <v>1018</v>
      </c>
    </row>
    <row r="3250" spans="1:4">
      <c r="A3250" s="23" t="s">
        <v>552</v>
      </c>
      <c r="B3250" t="s">
        <v>545</v>
      </c>
      <c r="C3250" t="s">
        <v>893</v>
      </c>
      <c r="D3250" s="29">
        <f>VALUE(LEFT(C3250,LEN(C3250)-FIND("km/h",C3250)+1)/3.6)</f>
        <v>2.5277777777777777</v>
      </c>
    </row>
    <row r="3251" spans="1:4">
      <c r="A3251" s="23" t="s">
        <v>554</v>
      </c>
      <c r="B3251" t="s">
        <v>545</v>
      </c>
      <c r="C3251" t="s">
        <v>661</v>
      </c>
      <c r="D3251" s="29">
        <f>VALUE(LEFT(C3251,LEN(C3251)-FIND("km/h",C3251)+1)/3.6)</f>
        <v>3.6111111111111112</v>
      </c>
    </row>
    <row r="3252" spans="1:4">
      <c r="A3252" s="23" t="s">
        <v>556</v>
      </c>
      <c r="B3252" t="s">
        <v>545</v>
      </c>
      <c r="C3252" t="s">
        <v>866</v>
      </c>
      <c r="D3252" s="26">
        <f>VALUE(LEFT(C3252,LEN(C3252)-7))</f>
        <v>325</v>
      </c>
    </row>
    <row r="3253" spans="1:4">
      <c r="A3253" s="23" t="s">
        <v>558</v>
      </c>
      <c r="B3253" t="s">
        <v>545</v>
      </c>
      <c r="C3253" t="s">
        <v>604</v>
      </c>
      <c r="D3253" s="29">
        <f>VALUE(LEFT(C3253,LEN(C3253)-3))</f>
        <v>0</v>
      </c>
    </row>
    <row r="3254" spans="1:4">
      <c r="A3254" s="23" t="s">
        <v>560</v>
      </c>
      <c r="B3254" t="s">
        <v>545</v>
      </c>
      <c r="C3254" t="s">
        <v>862</v>
      </c>
      <c r="D3254" s="29">
        <f>VALUE(LEFT(C3254,LEN(C3254)-3))</f>
        <v>605.9</v>
      </c>
    </row>
    <row r="3255" spans="1:4">
      <c r="A3255" s="23" t="s">
        <v>562</v>
      </c>
      <c r="B3255" t="s">
        <v>545</v>
      </c>
      <c r="C3255" t="s">
        <v>604</v>
      </c>
      <c r="D3255" s="29">
        <f>VALUE(LEFT(C3255,LEN(C3255)-3))</f>
        <v>0</v>
      </c>
    </row>
    <row r="3257" spans="1:4">
      <c r="A3257" s="23" t="s">
        <v>544</v>
      </c>
      <c r="B3257" t="s">
        <v>545</v>
      </c>
      <c r="C3257" t="s">
        <v>894</v>
      </c>
      <c r="D3257" s="29">
        <f>VALUE(LEFT(C3257,LEN(C3257)-2))</f>
        <v>16.8</v>
      </c>
    </row>
    <row r="3258" spans="1:4">
      <c r="A3258" s="23" t="s">
        <v>547</v>
      </c>
      <c r="B3258" t="s">
        <v>545</v>
      </c>
      <c r="C3258" s="24">
        <v>0.73</v>
      </c>
      <c r="D3258" s="27">
        <f>VALUE(C3258*100)</f>
        <v>73</v>
      </c>
    </row>
    <row r="3259" spans="1:4">
      <c r="A3259" s="23" t="s">
        <v>548</v>
      </c>
      <c r="B3259" t="s">
        <v>545</v>
      </c>
      <c r="C3259" t="s">
        <v>895</v>
      </c>
      <c r="D3259" s="29">
        <f>VALUE(LEFT(C3259,LEN(C3259)-2))</f>
        <v>11.6</v>
      </c>
    </row>
    <row r="3260" spans="1:4">
      <c r="A3260" s="23" t="s">
        <v>550</v>
      </c>
      <c r="B3260" t="s">
        <v>545</v>
      </c>
      <c r="C3260" t="s">
        <v>896</v>
      </c>
      <c r="D3260" s="28">
        <f>VALUE(LEFT(C3260,LEN(C3260)-4))</f>
        <v>1019.5</v>
      </c>
    </row>
    <row r="3261" spans="1:4">
      <c r="A3261" s="23" t="s">
        <v>552</v>
      </c>
      <c r="B3261" t="s">
        <v>545</v>
      </c>
      <c r="C3261" t="s">
        <v>693</v>
      </c>
      <c r="D3261" s="29">
        <f>VALUE(LEFT(C3261,LEN(C3261)-FIND("km/h",C3261)+1)/3.6)</f>
        <v>3.1944444444444442</v>
      </c>
    </row>
    <row r="3262" spans="1:4">
      <c r="A3262" s="23" t="s">
        <v>554</v>
      </c>
      <c r="B3262" t="s">
        <v>545</v>
      </c>
      <c r="C3262" t="s">
        <v>897</v>
      </c>
      <c r="D3262" s="29">
        <f>VALUE(LEFT(C3262,LEN(C3262)-FIND("km/h",C3262)+1)/3.6)</f>
        <v>4.416666666666667</v>
      </c>
    </row>
    <row r="3263" spans="1:4">
      <c r="A3263" s="23" t="s">
        <v>556</v>
      </c>
      <c r="B3263" t="s">
        <v>545</v>
      </c>
      <c r="C3263" t="s">
        <v>647</v>
      </c>
      <c r="D3263" s="26">
        <f>VALUE(LEFT(C3263,LEN(C3263)-7))</f>
        <v>328</v>
      </c>
    </row>
    <row r="3264" spans="1:4">
      <c r="A3264" s="23" t="s">
        <v>558</v>
      </c>
      <c r="B3264" t="s">
        <v>545</v>
      </c>
      <c r="C3264" t="s">
        <v>604</v>
      </c>
      <c r="D3264" s="29">
        <f>VALUE(LEFT(C3264,LEN(C3264)-3))</f>
        <v>0</v>
      </c>
    </row>
    <row r="3265" spans="1:4">
      <c r="A3265" s="23" t="s">
        <v>560</v>
      </c>
      <c r="B3265" t="s">
        <v>545</v>
      </c>
      <c r="C3265" t="s">
        <v>862</v>
      </c>
      <c r="D3265" s="29">
        <f>VALUE(LEFT(C3265,LEN(C3265)-3))</f>
        <v>605.9</v>
      </c>
    </row>
    <row r="3266" spans="1:4">
      <c r="A3266" s="23" t="s">
        <v>562</v>
      </c>
      <c r="B3266" t="s">
        <v>545</v>
      </c>
      <c r="C3266" t="s">
        <v>604</v>
      </c>
      <c r="D3266" s="29">
        <f>VALUE(LEFT(C3266,LEN(C3266)-3))</f>
        <v>0</v>
      </c>
    </row>
    <row r="3268" spans="1:4">
      <c r="A3268" s="23" t="s">
        <v>544</v>
      </c>
      <c r="B3268" t="s">
        <v>545</v>
      </c>
      <c r="C3268" t="s">
        <v>887</v>
      </c>
      <c r="D3268" s="29">
        <f>VALUE(LEFT(C3268,LEN(C3268)-2))</f>
        <v>17.399999999999999</v>
      </c>
    </row>
    <row r="3269" spans="1:4">
      <c r="A3269" s="23" t="s">
        <v>547</v>
      </c>
      <c r="B3269" t="s">
        <v>545</v>
      </c>
      <c r="C3269" s="24">
        <v>0.8</v>
      </c>
      <c r="D3269" s="27">
        <f>VALUE(C3269*100)</f>
        <v>80</v>
      </c>
    </row>
    <row r="3270" spans="1:4">
      <c r="A3270" s="23" t="s">
        <v>548</v>
      </c>
      <c r="B3270" t="s">
        <v>545</v>
      </c>
      <c r="C3270" t="s">
        <v>621</v>
      </c>
      <c r="D3270" s="29">
        <f>VALUE(LEFT(C3270,LEN(C3270)-2))</f>
        <v>13.8</v>
      </c>
    </row>
    <row r="3271" spans="1:4">
      <c r="A3271" s="23" t="s">
        <v>550</v>
      </c>
      <c r="B3271" t="s">
        <v>545</v>
      </c>
      <c r="C3271" t="s">
        <v>896</v>
      </c>
      <c r="D3271" s="28">
        <f>VALUE(LEFT(C3271,LEN(C3271)-4))</f>
        <v>1019.5</v>
      </c>
    </row>
    <row r="3272" spans="1:4">
      <c r="A3272" s="23" t="s">
        <v>552</v>
      </c>
      <c r="B3272" t="s">
        <v>545</v>
      </c>
      <c r="C3272" t="s">
        <v>849</v>
      </c>
      <c r="D3272" s="29">
        <f>VALUE(LEFT(C3272,LEN(C3272)-FIND("km/h",C3272)+1)/3.6)</f>
        <v>2.833333333333333</v>
      </c>
    </row>
    <row r="3273" spans="1:4">
      <c r="A3273" s="23" t="s">
        <v>554</v>
      </c>
      <c r="B3273" t="s">
        <v>545</v>
      </c>
      <c r="C3273" t="s">
        <v>898</v>
      </c>
      <c r="D3273" s="29">
        <f>VALUE(LEFT(C3273,LEN(C3273)-FIND("km/h",C3273)+1)/3.6)</f>
        <v>3.9166666666666665</v>
      </c>
    </row>
    <row r="3274" spans="1:4">
      <c r="A3274" s="23" t="s">
        <v>556</v>
      </c>
      <c r="B3274" t="s">
        <v>545</v>
      </c>
      <c r="C3274" t="s">
        <v>899</v>
      </c>
      <c r="D3274" s="26">
        <f>VALUE(LEFT(C3274,LEN(C3274)-7))</f>
        <v>326</v>
      </c>
    </row>
    <row r="3275" spans="1:4">
      <c r="A3275" s="23" t="s">
        <v>558</v>
      </c>
      <c r="B3275" t="s">
        <v>545</v>
      </c>
      <c r="C3275" t="s">
        <v>604</v>
      </c>
      <c r="D3275" s="29">
        <f>VALUE(LEFT(C3275,LEN(C3275)-3))</f>
        <v>0</v>
      </c>
    </row>
    <row r="3276" spans="1:4">
      <c r="A3276" s="23" t="s">
        <v>560</v>
      </c>
      <c r="B3276" t="s">
        <v>545</v>
      </c>
      <c r="C3276" t="s">
        <v>862</v>
      </c>
      <c r="D3276" s="29">
        <f>VALUE(LEFT(C3276,LEN(C3276)-3))</f>
        <v>605.9</v>
      </c>
    </row>
    <row r="3277" spans="1:4">
      <c r="A3277" s="23" t="s">
        <v>562</v>
      </c>
      <c r="B3277" t="s">
        <v>545</v>
      </c>
      <c r="C3277" t="s">
        <v>604</v>
      </c>
      <c r="D3277" s="29">
        <f>VALUE(LEFT(C3277,LEN(C3277)-3))</f>
        <v>0</v>
      </c>
    </row>
    <row r="3279" spans="1:4">
      <c r="A3279" s="23" t="s">
        <v>544</v>
      </c>
      <c r="B3279" t="s">
        <v>545</v>
      </c>
      <c r="C3279" t="s">
        <v>611</v>
      </c>
      <c r="D3279" s="29">
        <f>VALUE(LEFT(C3279,LEN(C3279)-2))</f>
        <v>17.100000000000001</v>
      </c>
    </row>
    <row r="3280" spans="1:4">
      <c r="A3280" s="23" t="s">
        <v>547</v>
      </c>
      <c r="B3280" t="s">
        <v>545</v>
      </c>
      <c r="C3280" s="24">
        <v>0.81</v>
      </c>
      <c r="D3280" s="27">
        <f>VALUE(C3280*100)</f>
        <v>81</v>
      </c>
    </row>
    <row r="3281" spans="1:4">
      <c r="A3281" s="23" t="s">
        <v>548</v>
      </c>
      <c r="B3281" t="s">
        <v>545</v>
      </c>
      <c r="C3281" t="s">
        <v>900</v>
      </c>
      <c r="D3281" s="29">
        <f>VALUE(LEFT(C3281,LEN(C3281)-2))</f>
        <v>13.5</v>
      </c>
    </row>
    <row r="3282" spans="1:4">
      <c r="A3282" s="23" t="s">
        <v>550</v>
      </c>
      <c r="B3282" t="s">
        <v>545</v>
      </c>
      <c r="C3282" t="s">
        <v>901</v>
      </c>
      <c r="D3282" s="28">
        <f>VALUE(LEFT(C3282,LEN(C3282)-4))</f>
        <v>1019.8</v>
      </c>
    </row>
    <row r="3283" spans="1:4">
      <c r="A3283" s="23" t="s">
        <v>552</v>
      </c>
      <c r="B3283" t="s">
        <v>545</v>
      </c>
      <c r="C3283" t="s">
        <v>576</v>
      </c>
      <c r="D3283" s="29">
        <f>VALUE(LEFT(C3283,LEN(C3283)-FIND("km/h",C3283)+1)/3.6)</f>
        <v>2.9722222222222219</v>
      </c>
    </row>
    <row r="3284" spans="1:4">
      <c r="A3284" s="23" t="s">
        <v>554</v>
      </c>
      <c r="B3284" t="s">
        <v>545</v>
      </c>
      <c r="C3284" t="s">
        <v>902</v>
      </c>
      <c r="D3284" s="29">
        <f>VALUE(LEFT(C3284,LEN(C3284)-FIND("km/h",C3284)+1)/3.6)</f>
        <v>4.1388888888888893</v>
      </c>
    </row>
    <row r="3285" spans="1:4">
      <c r="A3285" s="23" t="s">
        <v>556</v>
      </c>
      <c r="B3285" t="s">
        <v>545</v>
      </c>
      <c r="C3285" t="s">
        <v>603</v>
      </c>
      <c r="D3285" s="26">
        <f>VALUE(LEFT(C3285,LEN(C3285)-7))</f>
        <v>332</v>
      </c>
    </row>
    <row r="3286" spans="1:4">
      <c r="A3286" s="23" t="s">
        <v>558</v>
      </c>
      <c r="B3286" t="s">
        <v>545</v>
      </c>
      <c r="C3286" t="s">
        <v>604</v>
      </c>
      <c r="D3286" s="29">
        <f>VALUE(LEFT(C3286,LEN(C3286)-3))</f>
        <v>0</v>
      </c>
    </row>
    <row r="3287" spans="1:4">
      <c r="A3287" s="23" t="s">
        <v>560</v>
      </c>
      <c r="B3287" t="s">
        <v>545</v>
      </c>
      <c r="C3287" t="s">
        <v>862</v>
      </c>
      <c r="D3287" s="29">
        <f>VALUE(LEFT(C3287,LEN(C3287)-3))</f>
        <v>605.9</v>
      </c>
    </row>
    <row r="3288" spans="1:4">
      <c r="A3288" s="23" t="s">
        <v>562</v>
      </c>
      <c r="B3288" t="s">
        <v>545</v>
      </c>
      <c r="C3288" t="s">
        <v>604</v>
      </c>
      <c r="D3288" s="29">
        <f>VALUE(LEFT(C3288,LEN(C3288)-3))</f>
        <v>0</v>
      </c>
    </row>
    <row r="3290" spans="1:4">
      <c r="A3290" s="23" t="s">
        <v>544</v>
      </c>
      <c r="B3290" t="s">
        <v>545</v>
      </c>
      <c r="C3290" t="s">
        <v>871</v>
      </c>
      <c r="D3290" s="29">
        <f>VALUE(LEFT(C3290,LEN(C3290)-2))</f>
        <v>17.3</v>
      </c>
    </row>
    <row r="3291" spans="1:4">
      <c r="A3291" s="23" t="s">
        <v>547</v>
      </c>
      <c r="B3291" t="s">
        <v>545</v>
      </c>
      <c r="C3291" s="24">
        <v>0.69</v>
      </c>
      <c r="D3291" s="27">
        <f>VALUE(C3291*100)</f>
        <v>69</v>
      </c>
    </row>
    <row r="3292" spans="1:4">
      <c r="A3292" s="23" t="s">
        <v>548</v>
      </c>
      <c r="B3292" t="s">
        <v>545</v>
      </c>
      <c r="C3292" t="s">
        <v>903</v>
      </c>
      <c r="D3292" s="29">
        <f>VALUE(LEFT(C3292,LEN(C3292)-2))</f>
        <v>10.9</v>
      </c>
    </row>
    <row r="3293" spans="1:4">
      <c r="A3293" s="23" t="s">
        <v>550</v>
      </c>
      <c r="B3293" t="s">
        <v>545</v>
      </c>
      <c r="C3293" t="s">
        <v>904</v>
      </c>
      <c r="D3293" s="28">
        <f>VALUE(LEFT(C3293,LEN(C3293)-4))</f>
        <v>1018.5</v>
      </c>
    </row>
    <row r="3294" spans="1:4">
      <c r="A3294" s="23" t="s">
        <v>552</v>
      </c>
      <c r="B3294" t="s">
        <v>545</v>
      </c>
      <c r="C3294" t="s">
        <v>826</v>
      </c>
      <c r="D3294" s="29">
        <f>VALUE(LEFT(C3294,LEN(C3294)-FIND("km/h",C3294)+1)/3.6)</f>
        <v>2.6944444444444442</v>
      </c>
    </row>
    <row r="3295" spans="1:4">
      <c r="A3295" s="23" t="s">
        <v>554</v>
      </c>
      <c r="B3295" t="s">
        <v>545</v>
      </c>
      <c r="C3295" t="s">
        <v>739</v>
      </c>
      <c r="D3295" s="29">
        <f>VALUE(LEFT(C3295,LEN(C3295)-FIND("km/h",C3295)+1)/3.6)</f>
        <v>3.75</v>
      </c>
    </row>
    <row r="3296" spans="1:4">
      <c r="A3296" s="23" t="s">
        <v>556</v>
      </c>
      <c r="B3296" t="s">
        <v>545</v>
      </c>
      <c r="C3296" t="s">
        <v>647</v>
      </c>
      <c r="D3296" s="26">
        <f>VALUE(LEFT(C3296,LEN(C3296)-7))</f>
        <v>328</v>
      </c>
    </row>
    <row r="3297" spans="1:4">
      <c r="A3297" s="23" t="s">
        <v>558</v>
      </c>
      <c r="B3297" t="s">
        <v>545</v>
      </c>
      <c r="C3297" t="s">
        <v>604</v>
      </c>
      <c r="D3297" s="29">
        <f>VALUE(LEFT(C3297,LEN(C3297)-3))</f>
        <v>0</v>
      </c>
    </row>
    <row r="3298" spans="1:4">
      <c r="A3298" s="23" t="s">
        <v>560</v>
      </c>
      <c r="B3298" t="s">
        <v>545</v>
      </c>
      <c r="C3298" t="s">
        <v>862</v>
      </c>
      <c r="D3298" s="29">
        <f>VALUE(LEFT(C3298,LEN(C3298)-3))</f>
        <v>605.9</v>
      </c>
    </row>
    <row r="3299" spans="1:4">
      <c r="A3299" s="23" t="s">
        <v>562</v>
      </c>
      <c r="B3299" t="s">
        <v>545</v>
      </c>
      <c r="C3299" t="s">
        <v>604</v>
      </c>
      <c r="D3299" s="29">
        <f>VALUE(LEFT(C3299,LEN(C3299)-3))</f>
        <v>0</v>
      </c>
    </row>
    <row r="3301" spans="1:4">
      <c r="A3301" s="23" t="s">
        <v>544</v>
      </c>
      <c r="B3301" t="s">
        <v>545</v>
      </c>
      <c r="C3301" t="s">
        <v>905</v>
      </c>
      <c r="D3301" s="29">
        <f>VALUE(LEFT(C3301,LEN(C3301)-2))</f>
        <v>15.6</v>
      </c>
    </row>
    <row r="3302" spans="1:4">
      <c r="A3302" s="23" t="s">
        <v>547</v>
      </c>
      <c r="B3302" t="s">
        <v>545</v>
      </c>
      <c r="C3302" s="24">
        <v>0.66</v>
      </c>
      <c r="D3302" s="27">
        <f>VALUE(C3302*100)</f>
        <v>66</v>
      </c>
    </row>
    <row r="3303" spans="1:4">
      <c r="A3303" s="23" t="s">
        <v>548</v>
      </c>
      <c r="B3303" t="s">
        <v>545</v>
      </c>
      <c r="C3303" t="s">
        <v>906</v>
      </c>
      <c r="D3303" s="29">
        <f>VALUE(LEFT(C3303,LEN(C3303)-2))</f>
        <v>8.5</v>
      </c>
    </row>
    <row r="3304" spans="1:4">
      <c r="A3304" s="23" t="s">
        <v>550</v>
      </c>
      <c r="B3304" t="s">
        <v>545</v>
      </c>
      <c r="C3304" t="s">
        <v>907</v>
      </c>
      <c r="D3304" s="28">
        <f>VALUE(LEFT(C3304,LEN(C3304)-4))</f>
        <v>1015.7</v>
      </c>
    </row>
    <row r="3305" spans="1:4">
      <c r="A3305" s="23" t="s">
        <v>552</v>
      </c>
      <c r="B3305" t="s">
        <v>545</v>
      </c>
      <c r="C3305" t="s">
        <v>834</v>
      </c>
      <c r="D3305" s="29">
        <f>VALUE(LEFT(C3305,LEN(C3305)-FIND("km/h",C3305)+1)/3.6)</f>
        <v>2.0833333333333335</v>
      </c>
    </row>
    <row r="3306" spans="1:4">
      <c r="A3306" s="23" t="s">
        <v>554</v>
      </c>
      <c r="B3306" t="s">
        <v>545</v>
      </c>
      <c r="C3306" t="s">
        <v>576</v>
      </c>
      <c r="D3306" s="29">
        <f>VALUE(LEFT(C3306,LEN(C3306)-FIND("km/h",C3306)+1)/3.6)</f>
        <v>2.9722222222222219</v>
      </c>
    </row>
    <row r="3307" spans="1:4">
      <c r="A3307" s="23" t="s">
        <v>556</v>
      </c>
      <c r="B3307" t="s">
        <v>545</v>
      </c>
      <c r="C3307" t="s">
        <v>866</v>
      </c>
      <c r="D3307" s="26">
        <f>VALUE(LEFT(C3307,LEN(C3307)-7))</f>
        <v>325</v>
      </c>
    </row>
    <row r="3308" spans="1:4">
      <c r="A3308" s="23" t="s">
        <v>558</v>
      </c>
      <c r="B3308" t="s">
        <v>545</v>
      </c>
      <c r="C3308" t="s">
        <v>604</v>
      </c>
      <c r="D3308" s="29">
        <f>VALUE(LEFT(C3308,LEN(C3308)-3))</f>
        <v>0</v>
      </c>
    </row>
    <row r="3309" spans="1:4">
      <c r="A3309" s="23" t="s">
        <v>560</v>
      </c>
      <c r="B3309" t="s">
        <v>545</v>
      </c>
      <c r="C3309" t="s">
        <v>862</v>
      </c>
      <c r="D3309" s="29">
        <f>VALUE(LEFT(C3309,LEN(C3309)-3))</f>
        <v>605.9</v>
      </c>
    </row>
    <row r="3310" spans="1:4">
      <c r="A3310" s="23" t="s">
        <v>562</v>
      </c>
      <c r="B3310" t="s">
        <v>545</v>
      </c>
      <c r="C3310" t="s">
        <v>604</v>
      </c>
      <c r="D3310" s="29">
        <f>VALUE(LEFT(C3310,LEN(C3310)-3))</f>
        <v>0</v>
      </c>
    </row>
    <row r="3312" spans="1:4">
      <c r="A3312" s="23" t="s">
        <v>544</v>
      </c>
      <c r="B3312" t="s">
        <v>545</v>
      </c>
      <c r="C3312" t="s">
        <v>894</v>
      </c>
      <c r="D3312" s="29">
        <f>VALUE(LEFT(C3312,LEN(C3312)-2))</f>
        <v>16.8</v>
      </c>
    </row>
    <row r="3313" spans="1:4">
      <c r="A3313" s="23" t="s">
        <v>547</v>
      </c>
      <c r="B3313" t="s">
        <v>545</v>
      </c>
      <c r="C3313" s="24">
        <v>0.61</v>
      </c>
      <c r="D3313" s="27">
        <f>VALUE(C3313*100)</f>
        <v>61</v>
      </c>
    </row>
    <row r="3314" spans="1:4">
      <c r="A3314" s="23" t="s">
        <v>548</v>
      </c>
      <c r="B3314" t="s">
        <v>545</v>
      </c>
      <c r="C3314" t="s">
        <v>908</v>
      </c>
      <c r="D3314" s="29">
        <f>VALUE(LEFT(C3314,LEN(C3314)-2))</f>
        <v>8.1999999999999993</v>
      </c>
    </row>
    <row r="3315" spans="1:4">
      <c r="A3315" s="23" t="s">
        <v>550</v>
      </c>
      <c r="B3315" t="s">
        <v>545</v>
      </c>
      <c r="C3315" t="s">
        <v>909</v>
      </c>
      <c r="D3315" s="28">
        <f>VALUE(LEFT(C3315,LEN(C3315)-4))</f>
        <v>1017</v>
      </c>
    </row>
    <row r="3316" spans="1:4">
      <c r="A3316" s="23" t="s">
        <v>552</v>
      </c>
      <c r="B3316" t="s">
        <v>545</v>
      </c>
      <c r="C3316" t="s">
        <v>721</v>
      </c>
      <c r="D3316" s="29">
        <f>VALUE(LEFT(C3316,LEN(C3316)-FIND("km/h",C3316)+1)/3.6)</f>
        <v>1.5555555555555554</v>
      </c>
    </row>
    <row r="3317" spans="1:4">
      <c r="A3317" s="23" t="s">
        <v>554</v>
      </c>
      <c r="B3317" t="s">
        <v>545</v>
      </c>
      <c r="C3317" t="s">
        <v>843</v>
      </c>
      <c r="D3317" s="29">
        <f>VALUE(LEFT(C3317,LEN(C3317)-FIND("km/h",C3317)+1)/3.6)</f>
        <v>2.3055555555555558</v>
      </c>
    </row>
    <row r="3318" spans="1:4">
      <c r="A3318" s="23" t="s">
        <v>556</v>
      </c>
      <c r="B3318" t="s">
        <v>545</v>
      </c>
      <c r="C3318" t="s">
        <v>880</v>
      </c>
      <c r="D3318" s="26">
        <f>VALUE(LEFT(C3318,LEN(C3318)-7))</f>
        <v>327</v>
      </c>
    </row>
    <row r="3319" spans="1:4">
      <c r="A3319" s="23" t="s">
        <v>558</v>
      </c>
      <c r="B3319" t="s">
        <v>545</v>
      </c>
      <c r="C3319" t="s">
        <v>604</v>
      </c>
      <c r="D3319" s="29">
        <f>VALUE(LEFT(C3319,LEN(C3319)-3))</f>
        <v>0</v>
      </c>
    </row>
    <row r="3320" spans="1:4">
      <c r="A3320" s="23" t="s">
        <v>560</v>
      </c>
      <c r="B3320" t="s">
        <v>545</v>
      </c>
      <c r="C3320" t="s">
        <v>862</v>
      </c>
      <c r="D3320" s="29">
        <f>VALUE(LEFT(C3320,LEN(C3320)-3))</f>
        <v>605.9</v>
      </c>
    </row>
    <row r="3321" spans="1:4">
      <c r="A3321" s="23" t="s">
        <v>562</v>
      </c>
      <c r="B3321" t="s">
        <v>545</v>
      </c>
      <c r="C3321" t="s">
        <v>604</v>
      </c>
      <c r="D3321" s="29">
        <f>VALUE(LEFT(C3321,LEN(C3321)-3))</f>
        <v>0</v>
      </c>
    </row>
    <row r="3323" spans="1:4">
      <c r="A3323" s="23" t="s">
        <v>544</v>
      </c>
      <c r="B3323" t="s">
        <v>545</v>
      </c>
      <c r="C3323" t="s">
        <v>910</v>
      </c>
      <c r="D3323" s="29">
        <f>VALUE(LEFT(C3323,LEN(C3323)-2))</f>
        <v>20.8</v>
      </c>
    </row>
    <row r="3324" spans="1:4">
      <c r="A3324" s="23" t="s">
        <v>547</v>
      </c>
      <c r="B3324" t="s">
        <v>545</v>
      </c>
      <c r="C3324" s="24">
        <v>0.46</v>
      </c>
      <c r="D3324" s="27">
        <f>VALUE(C3324*100)</f>
        <v>46</v>
      </c>
    </row>
    <row r="3325" spans="1:4">
      <c r="A3325" s="23" t="s">
        <v>548</v>
      </c>
      <c r="B3325" t="s">
        <v>545</v>
      </c>
      <c r="C3325" t="s">
        <v>633</v>
      </c>
      <c r="D3325" s="29">
        <f>VALUE(LEFT(C3325,LEN(C3325)-2))</f>
        <v>7.2</v>
      </c>
    </row>
    <row r="3326" spans="1:4">
      <c r="A3326" s="23" t="s">
        <v>550</v>
      </c>
      <c r="B3326" t="s">
        <v>545</v>
      </c>
      <c r="C3326" t="s">
        <v>664</v>
      </c>
      <c r="D3326" s="28">
        <f>VALUE(LEFT(C3326,LEN(C3326)-4))</f>
        <v>1016.9</v>
      </c>
    </row>
    <row r="3327" spans="1:4">
      <c r="A3327" s="23" t="s">
        <v>552</v>
      </c>
      <c r="B3327" t="s">
        <v>545</v>
      </c>
      <c r="C3327" t="s">
        <v>848</v>
      </c>
      <c r="D3327" s="29">
        <f>VALUE(LEFT(C3327,LEN(C3327)-FIND("km/h",C3327)+1)/3.6)</f>
        <v>1.8888888888888888</v>
      </c>
    </row>
    <row r="3328" spans="1:4">
      <c r="A3328" s="23" t="s">
        <v>554</v>
      </c>
      <c r="B3328" t="s">
        <v>545</v>
      </c>
      <c r="C3328" t="s">
        <v>911</v>
      </c>
      <c r="D3328" s="29">
        <f>VALUE(LEFT(C3328,LEN(C3328)-FIND("km/h",C3328)+1)/3.6)</f>
        <v>2.7777777777777777</v>
      </c>
    </row>
    <row r="3329" spans="1:4">
      <c r="A3329" s="23" t="s">
        <v>556</v>
      </c>
      <c r="B3329" t="s">
        <v>545</v>
      </c>
      <c r="C3329" t="s">
        <v>912</v>
      </c>
      <c r="D3329" s="26">
        <f>VALUE(LEFT(C3329,LEN(C3329)-7))</f>
        <v>94</v>
      </c>
    </row>
    <row r="3330" spans="1:4">
      <c r="A3330" s="23" t="s">
        <v>558</v>
      </c>
      <c r="B3330" t="s">
        <v>545</v>
      </c>
      <c r="C3330" t="s">
        <v>604</v>
      </c>
      <c r="D3330" s="29">
        <f>VALUE(LEFT(C3330,LEN(C3330)-3))</f>
        <v>0</v>
      </c>
    </row>
    <row r="3331" spans="1:4">
      <c r="A3331" s="23" t="s">
        <v>560</v>
      </c>
      <c r="B3331" t="s">
        <v>545</v>
      </c>
      <c r="C3331" t="s">
        <v>862</v>
      </c>
      <c r="D3331" s="29">
        <f>VALUE(LEFT(C3331,LEN(C3331)-3))</f>
        <v>605.9</v>
      </c>
    </row>
    <row r="3332" spans="1:4">
      <c r="A3332" s="23" t="s">
        <v>562</v>
      </c>
      <c r="B3332" t="s">
        <v>545</v>
      </c>
      <c r="C3332" t="s">
        <v>604</v>
      </c>
      <c r="D3332" s="29">
        <f>VALUE(LEFT(C3332,LEN(C3332)-3))</f>
        <v>0</v>
      </c>
    </row>
    <row r="3334" spans="1:4">
      <c r="A3334" s="23" t="s">
        <v>544</v>
      </c>
      <c r="B3334" t="s">
        <v>545</v>
      </c>
      <c r="C3334" t="s">
        <v>913</v>
      </c>
      <c r="D3334" s="29">
        <f>VALUE(LEFT(C3334,LEN(C3334)-2))</f>
        <v>22.1</v>
      </c>
    </row>
    <row r="3335" spans="1:4">
      <c r="A3335" s="23" t="s">
        <v>547</v>
      </c>
      <c r="B3335" t="s">
        <v>545</v>
      </c>
      <c r="C3335" s="24">
        <v>0.42</v>
      </c>
      <c r="D3335" s="27">
        <f>VALUE(C3335*100)</f>
        <v>42</v>
      </c>
    </row>
    <row r="3336" spans="1:4">
      <c r="A3336" s="23" t="s">
        <v>548</v>
      </c>
      <c r="B3336" t="s">
        <v>545</v>
      </c>
      <c r="C3336" t="s">
        <v>914</v>
      </c>
      <c r="D3336" s="29">
        <f>VALUE(LEFT(C3336,LEN(C3336)-2))</f>
        <v>7.7</v>
      </c>
    </row>
    <row r="3337" spans="1:4">
      <c r="A3337" s="23" t="s">
        <v>550</v>
      </c>
      <c r="B3337" t="s">
        <v>545</v>
      </c>
      <c r="C3337" t="s">
        <v>891</v>
      </c>
      <c r="D3337" s="28">
        <f>VALUE(LEFT(C3337,LEN(C3337)-4))</f>
        <v>1014.7</v>
      </c>
    </row>
    <row r="3338" spans="1:4">
      <c r="A3338" s="23" t="s">
        <v>552</v>
      </c>
      <c r="B3338" t="s">
        <v>545</v>
      </c>
      <c r="C3338" t="s">
        <v>854</v>
      </c>
      <c r="D3338" s="29">
        <f>VALUE(LEFT(C3338,LEN(C3338)-FIND("km/h",C3338)+1)/3.6)</f>
        <v>1.9722222222222221</v>
      </c>
    </row>
    <row r="3339" spans="1:4">
      <c r="A3339" s="23" t="s">
        <v>554</v>
      </c>
      <c r="B3339" t="s">
        <v>545</v>
      </c>
      <c r="C3339" t="s">
        <v>849</v>
      </c>
      <c r="D3339" s="29">
        <f>VALUE(LEFT(C3339,LEN(C3339)-FIND("km/h",C3339)+1)/3.6)</f>
        <v>2.833333333333333</v>
      </c>
    </row>
    <row r="3340" spans="1:4">
      <c r="A3340" s="23" t="s">
        <v>556</v>
      </c>
      <c r="B3340" t="s">
        <v>545</v>
      </c>
      <c r="C3340" t="s">
        <v>915</v>
      </c>
      <c r="D3340" s="26">
        <f>VALUE(LEFT(C3340,LEN(C3340)-7))</f>
        <v>126</v>
      </c>
    </row>
    <row r="3341" spans="1:4">
      <c r="A3341" s="23" t="s">
        <v>558</v>
      </c>
      <c r="B3341" t="s">
        <v>545</v>
      </c>
      <c r="C3341" t="s">
        <v>604</v>
      </c>
      <c r="D3341" s="29">
        <f>VALUE(LEFT(C3341,LEN(C3341)-3))</f>
        <v>0</v>
      </c>
    </row>
    <row r="3342" spans="1:4">
      <c r="A3342" s="23" t="s">
        <v>560</v>
      </c>
      <c r="B3342" t="s">
        <v>545</v>
      </c>
      <c r="C3342" t="s">
        <v>862</v>
      </c>
      <c r="D3342" s="29">
        <f>VALUE(LEFT(C3342,LEN(C3342)-3))</f>
        <v>605.9</v>
      </c>
    </row>
    <row r="3343" spans="1:4">
      <c r="A3343" s="23" t="s">
        <v>562</v>
      </c>
      <c r="B3343" t="s">
        <v>545</v>
      </c>
      <c r="C3343" t="s">
        <v>604</v>
      </c>
      <c r="D3343" s="29">
        <f>VALUE(LEFT(C3343,LEN(C3343)-3))</f>
        <v>0</v>
      </c>
    </row>
    <row r="3345" spans="1:4">
      <c r="A3345" s="23" t="s">
        <v>544</v>
      </c>
      <c r="B3345" t="s">
        <v>545</v>
      </c>
      <c r="C3345" t="s">
        <v>916</v>
      </c>
      <c r="D3345" s="29">
        <f>VALUE(LEFT(C3345,LEN(C3345)-2))</f>
        <v>19</v>
      </c>
    </row>
    <row r="3346" spans="1:4">
      <c r="A3346" s="23" t="s">
        <v>547</v>
      </c>
      <c r="B3346" t="s">
        <v>545</v>
      </c>
      <c r="C3346" s="24">
        <v>0.56999999999999995</v>
      </c>
      <c r="D3346" s="27">
        <f>VALUE(C3346*100)</f>
        <v>56.999999999999993</v>
      </c>
    </row>
    <row r="3347" spans="1:4">
      <c r="A3347" s="23" t="s">
        <v>548</v>
      </c>
      <c r="B3347" t="s">
        <v>545</v>
      </c>
      <c r="C3347" t="s">
        <v>590</v>
      </c>
      <c r="D3347" s="29">
        <f>VALUE(LEFT(C3347,LEN(C3347)-2))</f>
        <v>9.6999999999999993</v>
      </c>
    </row>
    <row r="3348" spans="1:4">
      <c r="A3348" s="23" t="s">
        <v>550</v>
      </c>
      <c r="B3348" t="s">
        <v>545</v>
      </c>
      <c r="C3348" t="s">
        <v>799</v>
      </c>
      <c r="D3348" s="28">
        <f>VALUE(LEFT(C3348,LEN(C3348)-4))</f>
        <v>1011.8</v>
      </c>
    </row>
    <row r="3349" spans="1:4">
      <c r="A3349" s="23" t="s">
        <v>552</v>
      </c>
      <c r="B3349" t="s">
        <v>545</v>
      </c>
      <c r="C3349" t="s">
        <v>777</v>
      </c>
      <c r="D3349" s="29">
        <f>VALUE(LEFT(C3349,LEN(C3349)-FIND("km/h",C3349)+1)/3.6)</f>
        <v>1.1388888888888888</v>
      </c>
    </row>
    <row r="3350" spans="1:4">
      <c r="A3350" s="23" t="s">
        <v>554</v>
      </c>
      <c r="B3350" t="s">
        <v>545</v>
      </c>
      <c r="C3350" t="s">
        <v>789</v>
      </c>
      <c r="D3350" s="29">
        <f>VALUE(LEFT(C3350,LEN(C3350)-FIND("km/h",C3350)+1)/3.6)</f>
        <v>1.8055555555555556</v>
      </c>
    </row>
    <row r="3351" spans="1:4">
      <c r="A3351" s="23" t="s">
        <v>556</v>
      </c>
      <c r="B3351" t="s">
        <v>545</v>
      </c>
      <c r="C3351" t="s">
        <v>917</v>
      </c>
      <c r="D3351" s="26">
        <f>VALUE(LEFT(C3351,LEN(C3351)-7))</f>
        <v>322</v>
      </c>
    </row>
    <row r="3352" spans="1:4">
      <c r="A3352" s="23" t="s">
        <v>558</v>
      </c>
      <c r="B3352" t="s">
        <v>545</v>
      </c>
      <c r="C3352" t="s">
        <v>918</v>
      </c>
      <c r="D3352" s="29">
        <f>VALUE(LEFT(C3352,LEN(C3352)-3))</f>
        <v>7.3</v>
      </c>
    </row>
    <row r="3353" spans="1:4">
      <c r="A3353" s="23" t="s">
        <v>560</v>
      </c>
      <c r="B3353" t="s">
        <v>545</v>
      </c>
      <c r="C3353" t="s">
        <v>919</v>
      </c>
      <c r="D3353" s="29">
        <f>VALUE(LEFT(C3353,LEN(C3353)-3))</f>
        <v>613.20000000000005</v>
      </c>
    </row>
    <row r="3354" spans="1:4">
      <c r="A3354" s="23" t="s">
        <v>562</v>
      </c>
      <c r="B3354" t="s">
        <v>545</v>
      </c>
      <c r="C3354" t="s">
        <v>918</v>
      </c>
      <c r="D3354" s="29">
        <f>VALUE(LEFT(C3354,LEN(C3354)-3))</f>
        <v>7.3</v>
      </c>
    </row>
    <row r="3356" spans="1:4">
      <c r="A3356" s="23" t="s">
        <v>544</v>
      </c>
      <c r="B3356" t="s">
        <v>545</v>
      </c>
      <c r="C3356" t="s">
        <v>920</v>
      </c>
      <c r="D3356" s="29">
        <f>VALUE(LEFT(C3356,LEN(C3356)-2))</f>
        <v>19.600000000000001</v>
      </c>
    </row>
    <row r="3357" spans="1:4">
      <c r="A3357" s="23" t="s">
        <v>547</v>
      </c>
      <c r="B3357" t="s">
        <v>545</v>
      </c>
      <c r="C3357" s="24">
        <v>0.49</v>
      </c>
      <c r="D3357" s="27">
        <f>VALUE(C3357*100)</f>
        <v>49</v>
      </c>
    </row>
    <row r="3358" spans="1:4">
      <c r="A3358" s="23" t="s">
        <v>548</v>
      </c>
      <c r="B3358" t="s">
        <v>545</v>
      </c>
      <c r="C3358" t="s">
        <v>921</v>
      </c>
      <c r="D3358" s="29">
        <f>VALUE(LEFT(C3358,LEN(C3358)-2))</f>
        <v>6.5</v>
      </c>
    </row>
    <row r="3359" spans="1:4">
      <c r="A3359" s="23" t="s">
        <v>550</v>
      </c>
      <c r="B3359" t="s">
        <v>545</v>
      </c>
      <c r="C3359" t="s">
        <v>922</v>
      </c>
      <c r="D3359" s="28">
        <f>VALUE(LEFT(C3359,LEN(C3359)-4))</f>
        <v>1009.8</v>
      </c>
    </row>
    <row r="3360" spans="1:4">
      <c r="A3360" s="23" t="s">
        <v>552</v>
      </c>
      <c r="B3360" t="s">
        <v>545</v>
      </c>
      <c r="C3360" t="s">
        <v>780</v>
      </c>
      <c r="D3360" s="29">
        <f>VALUE(LEFT(C3360,LEN(C3360)-FIND("km/h",C3360)+1)/3.6)</f>
        <v>1.1666666666666667</v>
      </c>
    </row>
    <row r="3361" spans="1:4">
      <c r="A3361" s="23" t="s">
        <v>554</v>
      </c>
      <c r="B3361" t="s">
        <v>545</v>
      </c>
      <c r="C3361" t="s">
        <v>923</v>
      </c>
      <c r="D3361" s="29">
        <f>VALUE(LEFT(C3361,LEN(C3361)-FIND("km/h",C3361)+1)/3.6)</f>
        <v>1.75</v>
      </c>
    </row>
    <row r="3362" spans="1:4">
      <c r="A3362" s="23" t="s">
        <v>556</v>
      </c>
      <c r="B3362" t="s">
        <v>545</v>
      </c>
      <c r="C3362" t="s">
        <v>924</v>
      </c>
      <c r="D3362" s="26">
        <f>VALUE(LEFT(C3362,LEN(C3362)-7))</f>
        <v>349</v>
      </c>
    </row>
    <row r="3363" spans="1:4">
      <c r="A3363" s="23" t="s">
        <v>558</v>
      </c>
      <c r="B3363" t="s">
        <v>545</v>
      </c>
      <c r="C3363" t="s">
        <v>918</v>
      </c>
      <c r="D3363" s="29">
        <f>VALUE(LEFT(C3363,LEN(C3363)-3))</f>
        <v>7.3</v>
      </c>
    </row>
    <row r="3364" spans="1:4">
      <c r="A3364" s="23" t="s">
        <v>560</v>
      </c>
      <c r="B3364" t="s">
        <v>545</v>
      </c>
      <c r="C3364" t="s">
        <v>919</v>
      </c>
      <c r="D3364" s="29">
        <f>VALUE(LEFT(C3364,LEN(C3364)-3))</f>
        <v>613.20000000000005</v>
      </c>
    </row>
    <row r="3365" spans="1:4">
      <c r="A3365" s="23" t="s">
        <v>562</v>
      </c>
      <c r="B3365" t="s">
        <v>545</v>
      </c>
      <c r="C3365" t="s">
        <v>604</v>
      </c>
      <c r="D3365" s="29">
        <f>VALUE(LEFT(C3365,LEN(C3365)-3))</f>
        <v>0</v>
      </c>
    </row>
    <row r="3367" spans="1:4">
      <c r="A3367" s="23" t="s">
        <v>544</v>
      </c>
      <c r="B3367" t="s">
        <v>545</v>
      </c>
      <c r="C3367" t="s">
        <v>925</v>
      </c>
      <c r="D3367" s="29">
        <f>VALUE(LEFT(C3367,LEN(C3367)-2))</f>
        <v>18.3</v>
      </c>
    </row>
    <row r="3368" spans="1:4">
      <c r="A3368" s="23" t="s">
        <v>547</v>
      </c>
      <c r="B3368" t="s">
        <v>545</v>
      </c>
      <c r="C3368" s="24">
        <v>0.53</v>
      </c>
      <c r="D3368" s="27">
        <f>VALUE(C3368*100)</f>
        <v>53</v>
      </c>
    </row>
    <row r="3369" spans="1:4">
      <c r="A3369" s="23" t="s">
        <v>548</v>
      </c>
      <c r="B3369" t="s">
        <v>545</v>
      </c>
      <c r="C3369" t="s">
        <v>914</v>
      </c>
      <c r="D3369" s="29">
        <f>VALUE(LEFT(C3369,LEN(C3369)-2))</f>
        <v>7.7</v>
      </c>
    </row>
    <row r="3370" spans="1:4">
      <c r="A3370" s="23" t="s">
        <v>550</v>
      </c>
      <c r="B3370" t="s">
        <v>545</v>
      </c>
      <c r="C3370" t="s">
        <v>824</v>
      </c>
      <c r="D3370" s="28">
        <f>VALUE(LEFT(C3370,LEN(C3370)-4))</f>
        <v>1008</v>
      </c>
    </row>
    <row r="3371" spans="1:4">
      <c r="A3371" s="23" t="s">
        <v>552</v>
      </c>
      <c r="B3371" t="s">
        <v>545</v>
      </c>
      <c r="C3371" t="s">
        <v>777</v>
      </c>
      <c r="D3371" s="29">
        <f>VALUE(LEFT(C3371,LEN(C3371)-FIND("km/h",C3371)+1)/3.6)</f>
        <v>1.1388888888888888</v>
      </c>
    </row>
    <row r="3372" spans="1:4">
      <c r="A3372" s="23" t="s">
        <v>554</v>
      </c>
      <c r="B3372" t="s">
        <v>545</v>
      </c>
      <c r="C3372" t="s">
        <v>825</v>
      </c>
      <c r="D3372" s="29">
        <f>VALUE(LEFT(C3372,LEN(C3372)-FIND("km/h",C3372)+1)/3.6)</f>
        <v>1.7777777777777779</v>
      </c>
    </row>
    <row r="3373" spans="1:4">
      <c r="A3373" s="23" t="s">
        <v>556</v>
      </c>
      <c r="B3373" t="s">
        <v>545</v>
      </c>
      <c r="C3373" t="s">
        <v>926</v>
      </c>
      <c r="D3373" s="26">
        <f>VALUE(LEFT(C3373,LEN(C3373)-7))</f>
        <v>250</v>
      </c>
    </row>
    <row r="3374" spans="1:4">
      <c r="A3374" s="23" t="s">
        <v>558</v>
      </c>
      <c r="B3374" t="s">
        <v>545</v>
      </c>
      <c r="C3374" t="s">
        <v>918</v>
      </c>
      <c r="D3374" s="29">
        <f>VALUE(LEFT(C3374,LEN(C3374)-3))</f>
        <v>7.3</v>
      </c>
    </row>
    <row r="3375" spans="1:4">
      <c r="A3375" s="23" t="s">
        <v>560</v>
      </c>
      <c r="B3375" t="s">
        <v>545</v>
      </c>
      <c r="C3375" t="s">
        <v>919</v>
      </c>
      <c r="D3375" s="29">
        <f>VALUE(LEFT(C3375,LEN(C3375)-3))</f>
        <v>613.20000000000005</v>
      </c>
    </row>
    <row r="3376" spans="1:4">
      <c r="A3376" s="23" t="s">
        <v>562</v>
      </c>
      <c r="B3376" t="s">
        <v>545</v>
      </c>
      <c r="C3376" t="s">
        <v>604</v>
      </c>
      <c r="D3376" s="29">
        <f>VALUE(LEFT(C3376,LEN(C3376)-3))</f>
        <v>0</v>
      </c>
    </row>
    <row r="3378" spans="1:4">
      <c r="A3378" s="23" t="s">
        <v>544</v>
      </c>
      <c r="B3378" t="s">
        <v>545</v>
      </c>
      <c r="C3378" t="s">
        <v>605</v>
      </c>
      <c r="D3378" s="29">
        <f>VALUE(LEFT(C3378,LEN(C3378)-2))</f>
        <v>14.5</v>
      </c>
    </row>
    <row r="3379" spans="1:4">
      <c r="A3379" s="23" t="s">
        <v>547</v>
      </c>
      <c r="B3379" t="s">
        <v>545</v>
      </c>
      <c r="C3379" s="24">
        <v>0.7</v>
      </c>
      <c r="D3379" s="27">
        <f>VALUE(C3379*100)</f>
        <v>70</v>
      </c>
    </row>
    <row r="3380" spans="1:4">
      <c r="A3380" s="23" t="s">
        <v>548</v>
      </c>
      <c r="B3380" t="s">
        <v>545</v>
      </c>
      <c r="C3380" t="s">
        <v>927</v>
      </c>
      <c r="D3380" s="29">
        <f>VALUE(LEFT(C3380,LEN(C3380)-2))</f>
        <v>9.1</v>
      </c>
    </row>
    <row r="3381" spans="1:4">
      <c r="A3381" s="23" t="s">
        <v>550</v>
      </c>
      <c r="B3381" t="s">
        <v>545</v>
      </c>
      <c r="C3381" t="s">
        <v>928</v>
      </c>
      <c r="D3381" s="28">
        <f>VALUE(LEFT(C3381,LEN(C3381)-4))</f>
        <v>1004.8</v>
      </c>
    </row>
    <row r="3382" spans="1:4">
      <c r="A3382" s="23" t="s">
        <v>552</v>
      </c>
      <c r="B3382" t="s">
        <v>545</v>
      </c>
      <c r="C3382" t="s">
        <v>811</v>
      </c>
      <c r="D3382" s="29">
        <f>VALUE(LEFT(C3382,LEN(C3382)-FIND("km/h",C3382)+1)/3.6)</f>
        <v>1.6388888888888888</v>
      </c>
    </row>
    <row r="3383" spans="1:4">
      <c r="A3383" s="23" t="s">
        <v>554</v>
      </c>
      <c r="B3383" t="s">
        <v>545</v>
      </c>
      <c r="C3383" t="s">
        <v>762</v>
      </c>
      <c r="D3383" s="29">
        <f>VALUE(LEFT(C3383,LEN(C3383)-FIND("km/h",C3383)+1)/3.6)</f>
        <v>2.4722222222222223</v>
      </c>
    </row>
    <row r="3384" spans="1:4">
      <c r="A3384" s="23" t="s">
        <v>556</v>
      </c>
      <c r="B3384" t="s">
        <v>545</v>
      </c>
      <c r="C3384" t="s">
        <v>929</v>
      </c>
      <c r="D3384" s="26">
        <f>VALUE(LEFT(C3384,LEN(C3384)-7))</f>
        <v>242</v>
      </c>
    </row>
    <row r="3385" spans="1:4">
      <c r="A3385" s="23" t="s">
        <v>558</v>
      </c>
      <c r="B3385" t="s">
        <v>545</v>
      </c>
      <c r="C3385" t="s">
        <v>559</v>
      </c>
      <c r="D3385" s="29">
        <f>VALUE(LEFT(C3385,LEN(C3385)-3))</f>
        <v>8.3000000000000007</v>
      </c>
    </row>
    <row r="3386" spans="1:4">
      <c r="A3386" s="23" t="s">
        <v>560</v>
      </c>
      <c r="B3386" t="s">
        <v>545</v>
      </c>
      <c r="C3386" t="s">
        <v>930</v>
      </c>
      <c r="D3386" s="29">
        <f>VALUE(LEFT(C3386,LEN(C3386)-3))</f>
        <v>614.20000000000005</v>
      </c>
    </row>
    <row r="3387" spans="1:4">
      <c r="A3387" s="23" t="s">
        <v>562</v>
      </c>
      <c r="B3387" t="s">
        <v>545</v>
      </c>
      <c r="C3387" t="s">
        <v>581</v>
      </c>
      <c r="D3387" s="29">
        <f>VALUE(LEFT(C3387,LEN(C3387)-3))</f>
        <v>1</v>
      </c>
    </row>
    <row r="3389" spans="1:4">
      <c r="A3389" s="23" t="s">
        <v>544</v>
      </c>
      <c r="B3389" t="s">
        <v>545</v>
      </c>
      <c r="C3389" t="s">
        <v>931</v>
      </c>
      <c r="D3389" s="29">
        <f>VALUE(LEFT(C3389,LEN(C3389)-2))</f>
        <v>13</v>
      </c>
    </row>
    <row r="3390" spans="1:4">
      <c r="A3390" s="23" t="s">
        <v>547</v>
      </c>
      <c r="B3390" t="s">
        <v>545</v>
      </c>
      <c r="C3390" s="24">
        <v>0.77</v>
      </c>
      <c r="D3390" s="27">
        <f>VALUE(C3390*100)</f>
        <v>77</v>
      </c>
    </row>
    <row r="3391" spans="1:4">
      <c r="A3391" s="23" t="s">
        <v>548</v>
      </c>
      <c r="B3391" t="s">
        <v>545</v>
      </c>
      <c r="C3391" t="s">
        <v>841</v>
      </c>
      <c r="D3391" s="29">
        <f>VALUE(LEFT(C3391,LEN(C3391)-2))</f>
        <v>8.8000000000000007</v>
      </c>
    </row>
    <row r="3392" spans="1:4">
      <c r="A3392" s="23" t="s">
        <v>550</v>
      </c>
      <c r="B3392" t="s">
        <v>545</v>
      </c>
      <c r="C3392" t="s">
        <v>932</v>
      </c>
      <c r="D3392" s="28">
        <f>VALUE(LEFT(C3392,LEN(C3392)-4))</f>
        <v>1003.2</v>
      </c>
    </row>
    <row r="3393" spans="1:4">
      <c r="A3393" s="23" t="s">
        <v>552</v>
      </c>
      <c r="B3393" t="s">
        <v>545</v>
      </c>
      <c r="C3393" t="s">
        <v>933</v>
      </c>
      <c r="D3393" s="29">
        <f>VALUE(LEFT(C3393,LEN(C3393)-FIND("km/h",C3393)+1)/3.6)</f>
        <v>2.4166666666666665</v>
      </c>
    </row>
    <row r="3394" spans="1:4">
      <c r="A3394" s="23" t="s">
        <v>554</v>
      </c>
      <c r="B3394" t="s">
        <v>545</v>
      </c>
      <c r="C3394" t="s">
        <v>763</v>
      </c>
      <c r="D3394" s="29">
        <f>VALUE(LEFT(C3394,LEN(C3394)-FIND("km/h",C3394)+1)/3.6)</f>
        <v>3.3888888888888884</v>
      </c>
    </row>
    <row r="3395" spans="1:4">
      <c r="A3395" s="23" t="s">
        <v>556</v>
      </c>
      <c r="B3395" t="s">
        <v>545</v>
      </c>
      <c r="C3395" t="s">
        <v>934</v>
      </c>
      <c r="D3395" s="26">
        <f>VALUE(LEFT(C3395,LEN(C3395)-7))</f>
        <v>169</v>
      </c>
    </row>
    <row r="3396" spans="1:4">
      <c r="A3396" s="23" t="s">
        <v>558</v>
      </c>
      <c r="B3396" t="s">
        <v>545</v>
      </c>
      <c r="C3396" t="s">
        <v>935</v>
      </c>
      <c r="D3396" s="29">
        <f>VALUE(LEFT(C3396,LEN(C3396)-3))</f>
        <v>27.9</v>
      </c>
    </row>
    <row r="3397" spans="1:4">
      <c r="A3397" s="23" t="s">
        <v>560</v>
      </c>
      <c r="B3397" t="s">
        <v>545</v>
      </c>
      <c r="C3397" t="s">
        <v>936</v>
      </c>
      <c r="D3397" s="29">
        <f>VALUE(LEFT(C3397,LEN(C3397)-3))</f>
        <v>633.79999999999995</v>
      </c>
    </row>
    <row r="3398" spans="1:4">
      <c r="A3398" s="23" t="s">
        <v>562</v>
      </c>
      <c r="B3398" t="s">
        <v>545</v>
      </c>
      <c r="C3398" t="s">
        <v>937</v>
      </c>
      <c r="D3398" s="29">
        <f>VALUE(LEFT(C3398,LEN(C3398)-3))</f>
        <v>19.600000000000001</v>
      </c>
    </row>
    <row r="3400" spans="1:4">
      <c r="A3400" s="23" t="s">
        <v>544</v>
      </c>
      <c r="B3400" t="s">
        <v>545</v>
      </c>
      <c r="C3400" t="s">
        <v>753</v>
      </c>
      <c r="D3400" s="29">
        <f>VALUE(LEFT(C3400,LEN(C3400)-2))</f>
        <v>11.5</v>
      </c>
    </row>
    <row r="3401" spans="1:4">
      <c r="A3401" s="23" t="s">
        <v>547</v>
      </c>
      <c r="B3401" t="s">
        <v>545</v>
      </c>
      <c r="C3401" s="24">
        <v>0.88</v>
      </c>
      <c r="D3401" s="27">
        <f>VALUE(C3401*100)</f>
        <v>88</v>
      </c>
    </row>
    <row r="3402" spans="1:4">
      <c r="A3402" s="23" t="s">
        <v>548</v>
      </c>
      <c r="B3402" t="s">
        <v>545</v>
      </c>
      <c r="C3402" t="s">
        <v>667</v>
      </c>
      <c r="D3402" s="29">
        <f>VALUE(LEFT(C3402,LEN(C3402)-2))</f>
        <v>9.6</v>
      </c>
    </row>
    <row r="3403" spans="1:4">
      <c r="A3403" s="23" t="s">
        <v>550</v>
      </c>
      <c r="B3403" t="s">
        <v>545</v>
      </c>
      <c r="C3403" t="s">
        <v>938</v>
      </c>
      <c r="D3403" s="28">
        <f>VALUE(LEFT(C3403,LEN(C3403)-4))</f>
        <v>1002.6</v>
      </c>
    </row>
    <row r="3404" spans="1:4">
      <c r="A3404" s="23" t="s">
        <v>552</v>
      </c>
      <c r="B3404" t="s">
        <v>545</v>
      </c>
      <c r="C3404" t="s">
        <v>939</v>
      </c>
      <c r="D3404" s="29">
        <f>VALUE(LEFT(C3404,LEN(C3404)-FIND("km/h",C3404)+1)/3.6)</f>
        <v>2.6666666666666665</v>
      </c>
    </row>
    <row r="3405" spans="1:4">
      <c r="A3405" s="23" t="s">
        <v>554</v>
      </c>
      <c r="B3405" t="s">
        <v>545</v>
      </c>
      <c r="C3405" t="s">
        <v>859</v>
      </c>
      <c r="D3405" s="29">
        <f>VALUE(LEFT(C3405,LEN(C3405)-FIND("km/h",C3405)+1)/3.6)</f>
        <v>3.6388888888888888</v>
      </c>
    </row>
    <row r="3406" spans="1:4">
      <c r="A3406" s="23" t="s">
        <v>556</v>
      </c>
      <c r="B3406" t="s">
        <v>545</v>
      </c>
      <c r="C3406" t="s">
        <v>764</v>
      </c>
      <c r="D3406" s="26">
        <f>VALUE(LEFT(C3406,LEN(C3406)-7))</f>
        <v>202</v>
      </c>
    </row>
    <row r="3407" spans="1:4">
      <c r="A3407" s="23" t="s">
        <v>558</v>
      </c>
      <c r="B3407" t="s">
        <v>545</v>
      </c>
      <c r="C3407" t="s">
        <v>940</v>
      </c>
      <c r="D3407" s="29">
        <f>VALUE(LEFT(C3407,LEN(C3407)-3))</f>
        <v>63.8</v>
      </c>
    </row>
    <row r="3408" spans="1:4">
      <c r="A3408" s="23" t="s">
        <v>560</v>
      </c>
      <c r="B3408" t="s">
        <v>545</v>
      </c>
      <c r="C3408" t="s">
        <v>941</v>
      </c>
      <c r="D3408" s="29">
        <f>VALUE(LEFT(C3408,LEN(C3408)-3))</f>
        <v>669.7</v>
      </c>
    </row>
    <row r="3409" spans="1:4">
      <c r="A3409" s="23" t="s">
        <v>562</v>
      </c>
      <c r="B3409" t="s">
        <v>545</v>
      </c>
      <c r="C3409" t="s">
        <v>942</v>
      </c>
      <c r="D3409" s="29">
        <f>VALUE(LEFT(C3409,LEN(C3409)-3))</f>
        <v>35.9</v>
      </c>
    </row>
    <row r="3411" spans="1:4">
      <c r="A3411" s="23" t="s">
        <v>544</v>
      </c>
      <c r="B3411" t="s">
        <v>545</v>
      </c>
      <c r="C3411" t="s">
        <v>943</v>
      </c>
      <c r="D3411" s="29">
        <f>VALUE(LEFT(C3411,LEN(C3411)-2))</f>
        <v>14.3</v>
      </c>
    </row>
    <row r="3412" spans="1:4">
      <c r="A3412" s="23" t="s">
        <v>547</v>
      </c>
      <c r="B3412" t="s">
        <v>545</v>
      </c>
      <c r="C3412" s="24">
        <v>0.82</v>
      </c>
      <c r="D3412" s="27">
        <f>VALUE(C3412*100)</f>
        <v>82</v>
      </c>
    </row>
    <row r="3413" spans="1:4">
      <c r="A3413" s="23" t="s">
        <v>548</v>
      </c>
      <c r="B3413" t="s">
        <v>545</v>
      </c>
      <c r="C3413" t="s">
        <v>730</v>
      </c>
      <c r="D3413" s="29">
        <f>VALUE(LEFT(C3413,LEN(C3413)-2))</f>
        <v>11</v>
      </c>
    </row>
    <row r="3414" spans="1:4">
      <c r="A3414" s="23" t="s">
        <v>550</v>
      </c>
      <c r="B3414" t="s">
        <v>545</v>
      </c>
      <c r="C3414" t="s">
        <v>944</v>
      </c>
      <c r="D3414" s="28">
        <f>VALUE(LEFT(C3414,LEN(C3414)-4))</f>
        <v>1011.6</v>
      </c>
    </row>
    <row r="3415" spans="1:4">
      <c r="A3415" s="23" t="s">
        <v>552</v>
      </c>
      <c r="B3415" t="s">
        <v>545</v>
      </c>
      <c r="C3415" t="s">
        <v>762</v>
      </c>
      <c r="D3415" s="29">
        <f>VALUE(LEFT(C3415,LEN(C3415)-FIND("km/h",C3415)+1)/3.6)</f>
        <v>2.4722222222222223</v>
      </c>
    </row>
    <row r="3416" spans="1:4">
      <c r="A3416" s="23" t="s">
        <v>554</v>
      </c>
      <c r="B3416" t="s">
        <v>545</v>
      </c>
      <c r="C3416" t="s">
        <v>945</v>
      </c>
      <c r="D3416" s="29">
        <f>VALUE(LEFT(C3416,LEN(C3416)-FIND("km/h",C3416)+1)/3.6)</f>
        <v>3.4722222222222223</v>
      </c>
    </row>
    <row r="3417" spans="1:4">
      <c r="A3417" s="23" t="s">
        <v>556</v>
      </c>
      <c r="B3417" t="s">
        <v>545</v>
      </c>
      <c r="C3417" t="s">
        <v>946</v>
      </c>
      <c r="D3417" s="26">
        <f>VALUE(LEFT(C3417,LEN(C3417)-7))</f>
        <v>228</v>
      </c>
    </row>
    <row r="3418" spans="1:4">
      <c r="A3418" s="23" t="s">
        <v>558</v>
      </c>
      <c r="B3418" t="s">
        <v>545</v>
      </c>
      <c r="C3418" t="s">
        <v>947</v>
      </c>
      <c r="D3418" s="29">
        <f>VALUE(LEFT(C3418,LEN(C3418)-3))</f>
        <v>83.3</v>
      </c>
    </row>
    <row r="3419" spans="1:4">
      <c r="A3419" s="23" t="s">
        <v>560</v>
      </c>
      <c r="B3419" t="s">
        <v>545</v>
      </c>
      <c r="C3419" t="s">
        <v>948</v>
      </c>
      <c r="D3419" s="29">
        <f>VALUE(LEFT(C3419,LEN(C3419)-3))</f>
        <v>689.2</v>
      </c>
    </row>
    <row r="3420" spans="1:4">
      <c r="A3420" s="23" t="s">
        <v>562</v>
      </c>
      <c r="B3420" t="s">
        <v>545</v>
      </c>
      <c r="C3420" t="s">
        <v>949</v>
      </c>
      <c r="D3420" s="29">
        <f>VALUE(LEFT(C3420,LEN(C3420)-3))</f>
        <v>19.5</v>
      </c>
    </row>
    <row r="3422" spans="1:4">
      <c r="A3422" s="23" t="s">
        <v>544</v>
      </c>
      <c r="B3422" t="s">
        <v>545</v>
      </c>
      <c r="C3422" t="s">
        <v>819</v>
      </c>
      <c r="D3422" s="29">
        <f>VALUE(LEFT(C3422,LEN(C3422)-2))</f>
        <v>14.7</v>
      </c>
    </row>
    <row r="3423" spans="1:4">
      <c r="A3423" s="23" t="s">
        <v>547</v>
      </c>
      <c r="B3423" t="s">
        <v>545</v>
      </c>
      <c r="C3423" s="24">
        <v>0.72</v>
      </c>
      <c r="D3423" s="27">
        <f>VALUE(C3423*100)</f>
        <v>72</v>
      </c>
    </row>
    <row r="3424" spans="1:4">
      <c r="A3424" s="23" t="s">
        <v>548</v>
      </c>
      <c r="B3424" t="s">
        <v>545</v>
      </c>
      <c r="C3424" t="s">
        <v>832</v>
      </c>
      <c r="D3424" s="29">
        <f>VALUE(LEFT(C3424,LEN(C3424)-2))</f>
        <v>9</v>
      </c>
    </row>
    <row r="3425" spans="1:4">
      <c r="A3425" s="23" t="s">
        <v>550</v>
      </c>
      <c r="B3425" t="s">
        <v>545</v>
      </c>
      <c r="C3425" t="s">
        <v>907</v>
      </c>
      <c r="D3425" s="28">
        <f>VALUE(LEFT(C3425,LEN(C3425)-4))</f>
        <v>1015.7</v>
      </c>
    </row>
    <row r="3426" spans="1:4">
      <c r="A3426" s="23" t="s">
        <v>552</v>
      </c>
      <c r="B3426" t="s">
        <v>545</v>
      </c>
      <c r="C3426" t="s">
        <v>923</v>
      </c>
      <c r="D3426" s="29">
        <f>VALUE(LEFT(C3426,LEN(C3426)-FIND("km/h",C3426)+1)/3.6)</f>
        <v>1.75</v>
      </c>
    </row>
    <row r="3427" spans="1:4">
      <c r="A3427" s="23" t="s">
        <v>554</v>
      </c>
      <c r="B3427" t="s">
        <v>545</v>
      </c>
      <c r="C3427" t="s">
        <v>939</v>
      </c>
      <c r="D3427" s="29">
        <f>VALUE(LEFT(C3427,LEN(C3427)-FIND("km/h",C3427)+1)/3.6)</f>
        <v>2.6666666666666665</v>
      </c>
    </row>
    <row r="3428" spans="1:4">
      <c r="A3428" s="23" t="s">
        <v>556</v>
      </c>
      <c r="B3428" t="s">
        <v>545</v>
      </c>
      <c r="C3428" t="s">
        <v>950</v>
      </c>
      <c r="D3428" s="26">
        <f>VALUE(LEFT(C3428,LEN(C3428)-7))</f>
        <v>323</v>
      </c>
    </row>
    <row r="3429" spans="1:4">
      <c r="A3429" s="23" t="s">
        <v>558</v>
      </c>
      <c r="B3429" t="s">
        <v>545</v>
      </c>
      <c r="C3429" t="s">
        <v>947</v>
      </c>
      <c r="D3429" s="29">
        <f>VALUE(LEFT(C3429,LEN(C3429)-3))</f>
        <v>83.3</v>
      </c>
    </row>
    <row r="3430" spans="1:4">
      <c r="A3430" s="23" t="s">
        <v>560</v>
      </c>
      <c r="B3430" t="s">
        <v>545</v>
      </c>
      <c r="C3430" t="s">
        <v>948</v>
      </c>
      <c r="D3430" s="29">
        <f>VALUE(LEFT(C3430,LEN(C3430)-3))</f>
        <v>689.2</v>
      </c>
    </row>
    <row r="3431" spans="1:4">
      <c r="A3431" s="23" t="s">
        <v>562</v>
      </c>
      <c r="B3431" t="s">
        <v>545</v>
      </c>
      <c r="C3431" t="s">
        <v>604</v>
      </c>
      <c r="D3431" s="29">
        <f>VALUE(LEFT(C3431,LEN(C3431)-3))</f>
        <v>0</v>
      </c>
    </row>
    <row r="3433" spans="1:4">
      <c r="A3433" s="23" t="s">
        <v>544</v>
      </c>
      <c r="B3433" t="s">
        <v>545</v>
      </c>
      <c r="C3433" t="s">
        <v>857</v>
      </c>
      <c r="D3433" s="29">
        <f>VALUE(LEFT(C3433,LEN(C3433)-2))</f>
        <v>13.6</v>
      </c>
    </row>
    <row r="3434" spans="1:4">
      <c r="A3434" s="23" t="s">
        <v>547</v>
      </c>
      <c r="B3434" t="s">
        <v>545</v>
      </c>
      <c r="C3434" s="24">
        <v>0.61</v>
      </c>
      <c r="D3434" s="27">
        <f>VALUE(C3434*100)</f>
        <v>61</v>
      </c>
    </row>
    <row r="3435" spans="1:4">
      <c r="A3435" s="23" t="s">
        <v>548</v>
      </c>
      <c r="B3435" t="s">
        <v>545</v>
      </c>
      <c r="C3435" t="s">
        <v>951</v>
      </c>
      <c r="D3435" s="29">
        <f>VALUE(LEFT(C3435,LEN(C3435)-2))</f>
        <v>5.4</v>
      </c>
    </row>
    <row r="3436" spans="1:4">
      <c r="A3436" s="23" t="s">
        <v>550</v>
      </c>
      <c r="B3436" t="s">
        <v>545</v>
      </c>
      <c r="C3436" t="s">
        <v>952</v>
      </c>
      <c r="D3436" s="28">
        <f>VALUE(LEFT(C3436,LEN(C3436)-4))</f>
        <v>1015</v>
      </c>
    </row>
    <row r="3437" spans="1:4">
      <c r="A3437" s="23" t="s">
        <v>552</v>
      </c>
      <c r="B3437" t="s">
        <v>545</v>
      </c>
      <c r="C3437" t="s">
        <v>953</v>
      </c>
      <c r="D3437" s="29">
        <f>VALUE(LEFT(C3437,LEN(C3437)-FIND("km/h",C3437)+1)/3.6)</f>
        <v>2.1666666666666665</v>
      </c>
    </row>
    <row r="3438" spans="1:4">
      <c r="A3438" s="23" t="s">
        <v>554</v>
      </c>
      <c r="B3438" t="s">
        <v>545</v>
      </c>
      <c r="C3438" t="s">
        <v>954</v>
      </c>
      <c r="D3438" s="29">
        <f>VALUE(LEFT(C3438,LEN(C3438)-FIND("km/h",C3438)+1)/3.6)</f>
        <v>3.083333333333333</v>
      </c>
    </row>
    <row r="3439" spans="1:4">
      <c r="A3439" s="23" t="s">
        <v>556</v>
      </c>
      <c r="B3439" t="s">
        <v>545</v>
      </c>
      <c r="C3439" t="s">
        <v>955</v>
      </c>
      <c r="D3439" s="26">
        <f>VALUE(LEFT(C3439,LEN(C3439)-7))</f>
        <v>333</v>
      </c>
    </row>
    <row r="3440" spans="1:4">
      <c r="A3440" s="23" t="s">
        <v>558</v>
      </c>
      <c r="B3440" t="s">
        <v>545</v>
      </c>
      <c r="C3440" t="s">
        <v>947</v>
      </c>
      <c r="D3440" s="29">
        <f>VALUE(LEFT(C3440,LEN(C3440)-3))</f>
        <v>83.3</v>
      </c>
    </row>
    <row r="3441" spans="1:4">
      <c r="A3441" s="23" t="s">
        <v>560</v>
      </c>
      <c r="B3441" t="s">
        <v>545</v>
      </c>
      <c r="C3441" t="s">
        <v>948</v>
      </c>
      <c r="D3441" s="29">
        <f>VALUE(LEFT(C3441,LEN(C3441)-3))</f>
        <v>689.2</v>
      </c>
    </row>
    <row r="3442" spans="1:4">
      <c r="A3442" s="23" t="s">
        <v>562</v>
      </c>
      <c r="B3442" t="s">
        <v>545</v>
      </c>
      <c r="C3442" t="s">
        <v>604</v>
      </c>
      <c r="D3442" s="29">
        <f>VALUE(LEFT(C3442,LEN(C3442)-3))</f>
        <v>0</v>
      </c>
    </row>
    <row r="3444" spans="1:4">
      <c r="A3444" s="23" t="s">
        <v>544</v>
      </c>
      <c r="B3444" t="s">
        <v>545</v>
      </c>
      <c r="C3444" t="s">
        <v>956</v>
      </c>
      <c r="D3444" s="29">
        <f>VALUE(LEFT(C3444,LEN(C3444)-2))</f>
        <v>14</v>
      </c>
    </row>
    <row r="3445" spans="1:4">
      <c r="A3445" s="23" t="s">
        <v>547</v>
      </c>
      <c r="B3445" t="s">
        <v>545</v>
      </c>
      <c r="C3445" s="24">
        <v>0.6</v>
      </c>
      <c r="D3445" s="27">
        <f>VALUE(C3445*100)</f>
        <v>60</v>
      </c>
    </row>
    <row r="3446" spans="1:4">
      <c r="A3446" s="23" t="s">
        <v>548</v>
      </c>
      <c r="B3446" t="s">
        <v>545</v>
      </c>
      <c r="C3446" t="s">
        <v>574</v>
      </c>
      <c r="D3446" s="29">
        <f>VALUE(LEFT(C3446,LEN(C3446)-2))</f>
        <v>5.9</v>
      </c>
    </row>
    <row r="3447" spans="1:4">
      <c r="A3447" s="23" t="s">
        <v>550</v>
      </c>
      <c r="B3447" t="s">
        <v>545</v>
      </c>
      <c r="C3447" t="s">
        <v>957</v>
      </c>
      <c r="D3447" s="28">
        <f>VALUE(LEFT(C3447,LEN(C3447)-4))</f>
        <v>1016.5</v>
      </c>
    </row>
    <row r="3448" spans="1:4">
      <c r="A3448" s="23" t="s">
        <v>552</v>
      </c>
      <c r="B3448" t="s">
        <v>545</v>
      </c>
      <c r="C3448" t="s">
        <v>619</v>
      </c>
      <c r="D3448" s="29">
        <f>VALUE(LEFT(C3448,LEN(C3448)-FIND("km/h",C3448)+1)/3.6)</f>
        <v>2.1111111111111112</v>
      </c>
    </row>
    <row r="3449" spans="1:4">
      <c r="A3449" s="23" t="s">
        <v>554</v>
      </c>
      <c r="B3449" t="s">
        <v>545</v>
      </c>
      <c r="C3449" t="s">
        <v>698</v>
      </c>
      <c r="D3449" s="29">
        <f>VALUE(LEFT(C3449,LEN(C3449)-FIND("km/h",C3449)+1)/3.6)</f>
        <v>3.0555555555555554</v>
      </c>
    </row>
    <row r="3450" spans="1:4">
      <c r="A3450" s="23" t="s">
        <v>556</v>
      </c>
      <c r="B3450" t="s">
        <v>545</v>
      </c>
      <c r="C3450" t="s">
        <v>656</v>
      </c>
      <c r="D3450" s="26">
        <f>VALUE(LEFT(C3450,LEN(C3450)-7))</f>
        <v>330</v>
      </c>
    </row>
    <row r="3451" spans="1:4">
      <c r="A3451" s="23" t="s">
        <v>558</v>
      </c>
      <c r="B3451" t="s">
        <v>545</v>
      </c>
      <c r="C3451" t="s">
        <v>947</v>
      </c>
      <c r="D3451" s="29">
        <f>VALUE(LEFT(C3451,LEN(C3451)-3))</f>
        <v>83.3</v>
      </c>
    </row>
    <row r="3452" spans="1:4">
      <c r="A3452" s="23" t="s">
        <v>560</v>
      </c>
      <c r="B3452" t="s">
        <v>545</v>
      </c>
      <c r="C3452" t="s">
        <v>948</v>
      </c>
      <c r="D3452" s="29">
        <f>VALUE(LEFT(C3452,LEN(C3452)-3))</f>
        <v>689.2</v>
      </c>
    </row>
    <row r="3453" spans="1:4">
      <c r="A3453" s="23" t="s">
        <v>562</v>
      </c>
      <c r="B3453" t="s">
        <v>545</v>
      </c>
      <c r="C3453" t="s">
        <v>604</v>
      </c>
      <c r="D3453" s="29">
        <f>VALUE(LEFT(C3453,LEN(C3453)-3))</f>
        <v>0</v>
      </c>
    </row>
    <row r="3455" spans="1:4">
      <c r="A3455" s="23" t="s">
        <v>544</v>
      </c>
      <c r="B3455" t="s">
        <v>545</v>
      </c>
      <c r="C3455" t="s">
        <v>956</v>
      </c>
      <c r="D3455" s="29">
        <f>VALUE(LEFT(C3455,LEN(C3455)-2))</f>
        <v>14</v>
      </c>
    </row>
    <row r="3456" spans="1:4">
      <c r="A3456" s="23" t="s">
        <v>547</v>
      </c>
      <c r="B3456" t="s">
        <v>545</v>
      </c>
      <c r="C3456" s="24">
        <v>0.61</v>
      </c>
      <c r="D3456" s="27">
        <f>VALUE(C3456*100)</f>
        <v>61</v>
      </c>
    </row>
    <row r="3457" spans="1:4">
      <c r="A3457" s="23" t="s">
        <v>548</v>
      </c>
      <c r="B3457" t="s">
        <v>545</v>
      </c>
      <c r="C3457" t="s">
        <v>574</v>
      </c>
      <c r="D3457" s="29">
        <f>VALUE(LEFT(C3457,LEN(C3457)-2))</f>
        <v>5.9</v>
      </c>
    </row>
    <row r="3458" spans="1:4">
      <c r="A3458" s="23" t="s">
        <v>550</v>
      </c>
      <c r="B3458" t="s">
        <v>545</v>
      </c>
      <c r="C3458" t="s">
        <v>901</v>
      </c>
      <c r="D3458" s="28">
        <f>VALUE(LEFT(C3458,LEN(C3458)-4))</f>
        <v>1019.8</v>
      </c>
    </row>
    <row r="3459" spans="1:4">
      <c r="A3459" s="23" t="s">
        <v>552</v>
      </c>
      <c r="B3459" t="s">
        <v>545</v>
      </c>
      <c r="C3459" t="s">
        <v>681</v>
      </c>
      <c r="D3459" s="29">
        <f>VALUE(LEFT(C3459,LEN(C3459)-FIND("km/h",C3459)+1)/3.6)</f>
        <v>2.3888888888888888</v>
      </c>
    </row>
    <row r="3460" spans="1:4">
      <c r="A3460" s="23" t="s">
        <v>554</v>
      </c>
      <c r="B3460" t="s">
        <v>545</v>
      </c>
      <c r="C3460" t="s">
        <v>958</v>
      </c>
      <c r="D3460" s="29">
        <f>VALUE(LEFT(C3460,LEN(C3460)-FIND("km/h",C3460)+1)/3.6)</f>
        <v>3.3611111111111107</v>
      </c>
    </row>
    <row r="3461" spans="1:4">
      <c r="A3461" s="23" t="s">
        <v>556</v>
      </c>
      <c r="B3461" t="s">
        <v>545</v>
      </c>
      <c r="C3461" t="s">
        <v>959</v>
      </c>
      <c r="D3461" s="26">
        <f>VALUE(LEFT(C3461,LEN(C3461)-7))</f>
        <v>336</v>
      </c>
    </row>
    <row r="3462" spans="1:4">
      <c r="A3462" s="23" t="s">
        <v>558</v>
      </c>
      <c r="B3462" t="s">
        <v>545</v>
      </c>
      <c r="C3462" t="s">
        <v>947</v>
      </c>
      <c r="D3462" s="29">
        <f>VALUE(LEFT(C3462,LEN(C3462)-3))</f>
        <v>83.3</v>
      </c>
    </row>
    <row r="3463" spans="1:4">
      <c r="A3463" s="23" t="s">
        <v>560</v>
      </c>
      <c r="B3463" t="s">
        <v>545</v>
      </c>
      <c r="C3463" t="s">
        <v>948</v>
      </c>
      <c r="D3463" s="29">
        <f>VALUE(LEFT(C3463,LEN(C3463)-3))</f>
        <v>689.2</v>
      </c>
    </row>
    <row r="3464" spans="1:4">
      <c r="A3464" s="23" t="s">
        <v>562</v>
      </c>
      <c r="B3464" t="s">
        <v>545</v>
      </c>
      <c r="C3464" t="s">
        <v>604</v>
      </c>
      <c r="D3464" s="29">
        <f>VALUE(LEFT(C3464,LEN(C3464)-3))</f>
        <v>0</v>
      </c>
    </row>
    <row r="3466" spans="1:4">
      <c r="A3466" s="23" t="s">
        <v>544</v>
      </c>
      <c r="B3466" t="s">
        <v>545</v>
      </c>
      <c r="C3466" t="s">
        <v>960</v>
      </c>
      <c r="D3466" s="29">
        <f>VALUE(LEFT(C3466,LEN(C3466)-2))</f>
        <v>14.9</v>
      </c>
    </row>
    <row r="3467" spans="1:4">
      <c r="A3467" s="23" t="s">
        <v>547</v>
      </c>
      <c r="B3467" t="s">
        <v>545</v>
      </c>
      <c r="C3467" s="24">
        <v>0.72</v>
      </c>
      <c r="D3467" s="27">
        <f>VALUE(C3467*100)</f>
        <v>72</v>
      </c>
    </row>
    <row r="3468" spans="1:4">
      <c r="A3468" s="23" t="s">
        <v>548</v>
      </c>
      <c r="B3468" t="s">
        <v>545</v>
      </c>
      <c r="C3468" t="s">
        <v>961</v>
      </c>
      <c r="D3468" s="29">
        <f>VALUE(LEFT(C3468,LEN(C3468)-2))</f>
        <v>9.5</v>
      </c>
    </row>
    <row r="3469" spans="1:4">
      <c r="A3469" s="23" t="s">
        <v>550</v>
      </c>
      <c r="B3469" t="s">
        <v>545</v>
      </c>
      <c r="C3469" t="s">
        <v>668</v>
      </c>
      <c r="D3469" s="28">
        <f>VALUE(LEFT(C3469,LEN(C3469)-4))</f>
        <v>1017.8</v>
      </c>
    </row>
    <row r="3470" spans="1:4">
      <c r="A3470" s="23" t="s">
        <v>552</v>
      </c>
      <c r="B3470" t="s">
        <v>545</v>
      </c>
      <c r="C3470" t="s">
        <v>811</v>
      </c>
      <c r="D3470" s="29">
        <f>VALUE(LEFT(C3470,LEN(C3470)-FIND("km/h",C3470)+1)/3.6)</f>
        <v>1.6388888888888888</v>
      </c>
    </row>
    <row r="3471" spans="1:4">
      <c r="A3471" s="23" t="s">
        <v>554</v>
      </c>
      <c r="B3471" t="s">
        <v>545</v>
      </c>
      <c r="C3471" t="s">
        <v>821</v>
      </c>
      <c r="D3471" s="29">
        <f>VALUE(LEFT(C3471,LEN(C3471)-FIND("km/h",C3471)+1)/3.6)</f>
        <v>2.3611111111111112</v>
      </c>
    </row>
    <row r="3472" spans="1:4">
      <c r="A3472" s="23" t="s">
        <v>556</v>
      </c>
      <c r="B3472" t="s">
        <v>545</v>
      </c>
      <c r="C3472" t="s">
        <v>962</v>
      </c>
      <c r="D3472" s="26">
        <f>VALUE(LEFT(C3472,LEN(C3472)-7))</f>
        <v>256</v>
      </c>
    </row>
    <row r="3473" spans="1:4">
      <c r="A3473" s="23" t="s">
        <v>558</v>
      </c>
      <c r="B3473" t="s">
        <v>545</v>
      </c>
      <c r="C3473" t="s">
        <v>947</v>
      </c>
      <c r="D3473" s="29">
        <f>VALUE(LEFT(C3473,LEN(C3473)-3))</f>
        <v>83.3</v>
      </c>
    </row>
    <row r="3474" spans="1:4">
      <c r="A3474" s="23" t="s">
        <v>560</v>
      </c>
      <c r="B3474" t="s">
        <v>545</v>
      </c>
      <c r="C3474" t="s">
        <v>948</v>
      </c>
      <c r="D3474" s="29">
        <f>VALUE(LEFT(C3474,LEN(C3474)-3))</f>
        <v>689.2</v>
      </c>
    </row>
    <row r="3475" spans="1:4">
      <c r="A3475" s="23" t="s">
        <v>562</v>
      </c>
      <c r="B3475" t="s">
        <v>545</v>
      </c>
      <c r="C3475" t="s">
        <v>604</v>
      </c>
      <c r="D3475" s="29">
        <f>VALUE(LEFT(C3475,LEN(C3475)-3))</f>
        <v>0</v>
      </c>
    </row>
    <row r="3477" spans="1:4">
      <c r="A3477" s="23" t="s">
        <v>544</v>
      </c>
      <c r="B3477" t="s">
        <v>545</v>
      </c>
      <c r="C3477" t="s">
        <v>963</v>
      </c>
      <c r="D3477" s="29">
        <f>VALUE(LEFT(C3477,LEN(C3477)-2))</f>
        <v>16.2</v>
      </c>
    </row>
    <row r="3478" spans="1:4">
      <c r="A3478" s="23" t="s">
        <v>547</v>
      </c>
      <c r="B3478" t="s">
        <v>545</v>
      </c>
      <c r="C3478" s="24">
        <v>0.8</v>
      </c>
      <c r="D3478" s="27">
        <f>VALUE(C3478*100)</f>
        <v>80</v>
      </c>
    </row>
    <row r="3479" spans="1:4">
      <c r="A3479" s="23" t="s">
        <v>548</v>
      </c>
      <c r="B3479" t="s">
        <v>545</v>
      </c>
      <c r="C3479" t="s">
        <v>565</v>
      </c>
      <c r="D3479" s="29">
        <f>VALUE(LEFT(C3479,LEN(C3479)-2))</f>
        <v>12.4</v>
      </c>
    </row>
    <row r="3480" spans="1:4">
      <c r="A3480" s="23" t="s">
        <v>550</v>
      </c>
      <c r="B3480" t="s">
        <v>545</v>
      </c>
      <c r="C3480" t="s">
        <v>964</v>
      </c>
      <c r="D3480" s="28">
        <f>VALUE(LEFT(C3480,LEN(C3480)-4))</f>
        <v>1017.2</v>
      </c>
    </row>
    <row r="3481" spans="1:4">
      <c r="A3481" s="23" t="s">
        <v>552</v>
      </c>
      <c r="B3481" t="s">
        <v>545</v>
      </c>
      <c r="C3481" t="s">
        <v>651</v>
      </c>
      <c r="D3481" s="29">
        <f>VALUE(LEFT(C3481,LEN(C3481)-FIND("km/h",C3481)+1)/3.6)</f>
        <v>1.2777777777777777</v>
      </c>
    </row>
    <row r="3482" spans="1:4">
      <c r="A3482" s="23" t="s">
        <v>554</v>
      </c>
      <c r="B3482" t="s">
        <v>545</v>
      </c>
      <c r="C3482" t="s">
        <v>834</v>
      </c>
      <c r="D3482" s="29">
        <f>VALUE(LEFT(C3482,LEN(C3482)-FIND("km/h",C3482)+1)/3.6)</f>
        <v>2.0833333333333335</v>
      </c>
    </row>
    <row r="3483" spans="1:4">
      <c r="A3483" s="23" t="s">
        <v>556</v>
      </c>
      <c r="B3483" t="s">
        <v>545</v>
      </c>
      <c r="C3483" t="s">
        <v>965</v>
      </c>
      <c r="D3483" s="26">
        <f>VALUE(LEFT(C3483,LEN(C3483)-7))</f>
        <v>288</v>
      </c>
    </row>
    <row r="3484" spans="1:4">
      <c r="A3484" s="23" t="s">
        <v>558</v>
      </c>
      <c r="B3484" t="s">
        <v>545</v>
      </c>
      <c r="C3484" t="s">
        <v>966</v>
      </c>
      <c r="D3484" s="29">
        <f>VALUE(LEFT(C3484,LEN(C3484)-3))</f>
        <v>84.3</v>
      </c>
    </row>
    <row r="3485" spans="1:4">
      <c r="A3485" s="23" t="s">
        <v>560</v>
      </c>
      <c r="B3485" t="s">
        <v>545</v>
      </c>
      <c r="C3485" t="s">
        <v>967</v>
      </c>
      <c r="D3485" s="29">
        <f>VALUE(LEFT(C3485,LEN(C3485)-3))</f>
        <v>690.2</v>
      </c>
    </row>
    <row r="3486" spans="1:4">
      <c r="A3486" s="23" t="s">
        <v>562</v>
      </c>
      <c r="B3486" t="s">
        <v>545</v>
      </c>
      <c r="C3486" t="s">
        <v>581</v>
      </c>
      <c r="D3486" s="29">
        <f>VALUE(LEFT(C3486,LEN(C3486)-3))</f>
        <v>1</v>
      </c>
    </row>
    <row r="3488" spans="1:4">
      <c r="A3488" s="23" t="s">
        <v>544</v>
      </c>
      <c r="B3488" t="s">
        <v>545</v>
      </c>
      <c r="C3488" t="s">
        <v>968</v>
      </c>
      <c r="D3488" s="29">
        <f>VALUE(LEFT(C3488,LEN(C3488)-2))</f>
        <v>15.8</v>
      </c>
    </row>
    <row r="3489" spans="1:4">
      <c r="A3489" s="23" t="s">
        <v>547</v>
      </c>
      <c r="B3489" t="s">
        <v>545</v>
      </c>
      <c r="C3489" s="24">
        <v>0.91</v>
      </c>
      <c r="D3489" s="27">
        <f>VALUE(C3489*100)</f>
        <v>91</v>
      </c>
    </row>
    <row r="3490" spans="1:4">
      <c r="A3490" s="23" t="s">
        <v>548</v>
      </c>
      <c r="B3490" t="s">
        <v>545</v>
      </c>
      <c r="C3490" t="s">
        <v>943</v>
      </c>
      <c r="D3490" s="29">
        <f>VALUE(LEFT(C3490,LEN(C3490)-2))</f>
        <v>14.3</v>
      </c>
    </row>
    <row r="3491" spans="1:4">
      <c r="A3491" s="23" t="s">
        <v>550</v>
      </c>
      <c r="B3491" t="s">
        <v>545</v>
      </c>
      <c r="C3491" t="s">
        <v>969</v>
      </c>
      <c r="D3491" s="28">
        <f>VALUE(LEFT(C3491,LEN(C3491)-4))</f>
        <v>1018.6</v>
      </c>
    </row>
    <row r="3492" spans="1:4">
      <c r="A3492" s="23" t="s">
        <v>552</v>
      </c>
      <c r="B3492" t="s">
        <v>545</v>
      </c>
      <c r="C3492" t="s">
        <v>780</v>
      </c>
      <c r="D3492" s="29">
        <f>VALUE(LEFT(C3492,LEN(C3492)-FIND("km/h",C3492)+1)/3.6)</f>
        <v>1.1666666666666667</v>
      </c>
    </row>
    <row r="3493" spans="1:4">
      <c r="A3493" s="23" t="s">
        <v>554</v>
      </c>
      <c r="B3493" t="s">
        <v>545</v>
      </c>
      <c r="C3493" t="s">
        <v>789</v>
      </c>
      <c r="D3493" s="29">
        <f>VALUE(LEFT(C3493,LEN(C3493)-FIND("km/h",C3493)+1)/3.6)</f>
        <v>1.8055555555555556</v>
      </c>
    </row>
    <row r="3494" spans="1:4">
      <c r="A3494" s="23" t="s">
        <v>556</v>
      </c>
      <c r="B3494" t="s">
        <v>545</v>
      </c>
      <c r="C3494" t="s">
        <v>844</v>
      </c>
      <c r="D3494" s="26">
        <f>VALUE(LEFT(C3494,LEN(C3494)-7))</f>
        <v>265</v>
      </c>
    </row>
    <row r="3495" spans="1:4">
      <c r="A3495" s="23" t="s">
        <v>558</v>
      </c>
      <c r="B3495" t="s">
        <v>545</v>
      </c>
      <c r="C3495" t="s">
        <v>970</v>
      </c>
      <c r="D3495" s="29">
        <f>VALUE(LEFT(C3495,LEN(C3495)-3))</f>
        <v>85.3</v>
      </c>
    </row>
    <row r="3496" spans="1:4">
      <c r="A3496" s="23" t="s">
        <v>560</v>
      </c>
      <c r="B3496" t="s">
        <v>545</v>
      </c>
      <c r="C3496" t="s">
        <v>971</v>
      </c>
      <c r="D3496" s="29">
        <f>VALUE(LEFT(C3496,LEN(C3496)-3))</f>
        <v>691.2</v>
      </c>
    </row>
    <row r="3497" spans="1:4">
      <c r="A3497" s="23" t="s">
        <v>562</v>
      </c>
      <c r="B3497" t="s">
        <v>545</v>
      </c>
      <c r="C3497" t="s">
        <v>581</v>
      </c>
      <c r="D3497" s="29">
        <f>VALUE(LEFT(C3497,LEN(C3497)-3))</f>
        <v>1</v>
      </c>
    </row>
    <row r="3499" spans="1:4">
      <c r="A3499" s="23" t="s">
        <v>544</v>
      </c>
      <c r="B3499" t="s">
        <v>545</v>
      </c>
      <c r="C3499" t="s">
        <v>894</v>
      </c>
      <c r="D3499" s="29">
        <f>VALUE(LEFT(C3499,LEN(C3499)-2))</f>
        <v>16.8</v>
      </c>
    </row>
    <row r="3500" spans="1:4">
      <c r="A3500" s="23" t="s">
        <v>547</v>
      </c>
      <c r="B3500" t="s">
        <v>545</v>
      </c>
      <c r="C3500" s="24">
        <v>0.77</v>
      </c>
      <c r="D3500" s="27">
        <f>VALUE(C3500*100)</f>
        <v>77</v>
      </c>
    </row>
    <row r="3501" spans="1:4">
      <c r="A3501" s="23" t="s">
        <v>548</v>
      </c>
      <c r="B3501" t="s">
        <v>545</v>
      </c>
      <c r="C3501" t="s">
        <v>565</v>
      </c>
      <c r="D3501" s="29">
        <f>VALUE(LEFT(C3501,LEN(C3501)-2))</f>
        <v>12.4</v>
      </c>
    </row>
    <row r="3502" spans="1:4">
      <c r="A3502" s="23" t="s">
        <v>550</v>
      </c>
      <c r="B3502" t="s">
        <v>545</v>
      </c>
      <c r="C3502" t="s">
        <v>972</v>
      </c>
      <c r="D3502" s="28">
        <f>VALUE(LEFT(C3502,LEN(C3502)-4))</f>
        <v>1019.1</v>
      </c>
    </row>
    <row r="3503" spans="1:4">
      <c r="A3503" s="23" t="s">
        <v>552</v>
      </c>
      <c r="B3503" t="s">
        <v>545</v>
      </c>
      <c r="C3503" t="s">
        <v>849</v>
      </c>
      <c r="D3503" s="29">
        <f>VALUE(LEFT(C3503,LEN(C3503)-FIND("km/h",C3503)+1)/3.6)</f>
        <v>2.833333333333333</v>
      </c>
    </row>
    <row r="3504" spans="1:4">
      <c r="A3504" s="23" t="s">
        <v>554</v>
      </c>
      <c r="B3504" t="s">
        <v>545</v>
      </c>
      <c r="C3504" t="s">
        <v>902</v>
      </c>
      <c r="D3504" s="29">
        <f>VALUE(LEFT(C3504,LEN(C3504)-FIND("km/h",C3504)+1)/3.6)</f>
        <v>4.1388888888888893</v>
      </c>
    </row>
    <row r="3505" spans="1:4">
      <c r="A3505" s="23" t="s">
        <v>556</v>
      </c>
      <c r="B3505" t="s">
        <v>545</v>
      </c>
      <c r="C3505" t="s">
        <v>917</v>
      </c>
      <c r="D3505" s="26">
        <f>VALUE(LEFT(C3505,LEN(C3505)-7))</f>
        <v>322</v>
      </c>
    </row>
    <row r="3506" spans="1:4">
      <c r="A3506" s="23" t="s">
        <v>558</v>
      </c>
      <c r="B3506" t="s">
        <v>545</v>
      </c>
      <c r="C3506" t="s">
        <v>970</v>
      </c>
      <c r="D3506" s="29">
        <f>VALUE(LEFT(C3506,LEN(C3506)-3))</f>
        <v>85.3</v>
      </c>
    </row>
    <row r="3507" spans="1:4">
      <c r="A3507" s="23" t="s">
        <v>560</v>
      </c>
      <c r="B3507" t="s">
        <v>545</v>
      </c>
      <c r="C3507" t="s">
        <v>971</v>
      </c>
      <c r="D3507" s="29">
        <f>VALUE(LEFT(C3507,LEN(C3507)-3))</f>
        <v>691.2</v>
      </c>
    </row>
    <row r="3508" spans="1:4">
      <c r="A3508" s="23" t="s">
        <v>562</v>
      </c>
      <c r="B3508" t="s">
        <v>545</v>
      </c>
      <c r="C3508" t="s">
        <v>604</v>
      </c>
      <c r="D3508" s="29">
        <f>VALUE(LEFT(C3508,LEN(C3508)-3))</f>
        <v>0</v>
      </c>
    </row>
    <row r="3510" spans="1:4">
      <c r="A3510" s="23" t="s">
        <v>544</v>
      </c>
      <c r="B3510" t="s">
        <v>545</v>
      </c>
      <c r="C3510" t="s">
        <v>973</v>
      </c>
      <c r="D3510" s="29">
        <f>VALUE(LEFT(C3510,LEN(C3510)-2))</f>
        <v>17.7</v>
      </c>
    </row>
    <row r="3511" spans="1:4">
      <c r="A3511" s="23" t="s">
        <v>547</v>
      </c>
      <c r="B3511" t="s">
        <v>545</v>
      </c>
      <c r="C3511" s="24">
        <v>0.67</v>
      </c>
      <c r="D3511" s="27">
        <f>VALUE(C3511*100)</f>
        <v>67</v>
      </c>
    </row>
    <row r="3512" spans="1:4">
      <c r="A3512" s="23" t="s">
        <v>548</v>
      </c>
      <c r="B3512" t="s">
        <v>545</v>
      </c>
      <c r="C3512" t="s">
        <v>737</v>
      </c>
      <c r="D3512" s="29">
        <f>VALUE(LEFT(C3512,LEN(C3512)-2))</f>
        <v>10.6</v>
      </c>
    </row>
    <row r="3513" spans="1:4">
      <c r="A3513" s="23" t="s">
        <v>550</v>
      </c>
      <c r="B3513" t="s">
        <v>545</v>
      </c>
      <c r="C3513" t="s">
        <v>964</v>
      </c>
      <c r="D3513" s="28">
        <f>VALUE(LEFT(C3513,LEN(C3513)-4))</f>
        <v>1017.2</v>
      </c>
    </row>
    <row r="3514" spans="1:4">
      <c r="A3514" s="23" t="s">
        <v>552</v>
      </c>
      <c r="B3514" t="s">
        <v>545</v>
      </c>
      <c r="C3514" t="s">
        <v>974</v>
      </c>
      <c r="D3514" s="29">
        <f>VALUE(LEFT(C3514,LEN(C3514)-FIND("km/h",C3514)+1)/3.6)</f>
        <v>2.25</v>
      </c>
    </row>
    <row r="3515" spans="1:4">
      <c r="A3515" s="23" t="s">
        <v>554</v>
      </c>
      <c r="B3515" t="s">
        <v>545</v>
      </c>
      <c r="C3515" t="s">
        <v>975</v>
      </c>
      <c r="D3515" s="29">
        <f>VALUE(LEFT(C3515,LEN(C3515)-FIND("km/h",C3515)+1)/3.6)</f>
        <v>3.333333333333333</v>
      </c>
    </row>
    <row r="3516" spans="1:4">
      <c r="A3516" s="23" t="s">
        <v>556</v>
      </c>
      <c r="B3516" t="s">
        <v>545</v>
      </c>
      <c r="C3516" t="s">
        <v>782</v>
      </c>
      <c r="D3516" s="26">
        <f>VALUE(LEFT(C3516,LEN(C3516)-7))</f>
        <v>324</v>
      </c>
    </row>
    <row r="3517" spans="1:4">
      <c r="A3517" s="23" t="s">
        <v>558</v>
      </c>
      <c r="B3517" t="s">
        <v>545</v>
      </c>
      <c r="C3517" t="s">
        <v>970</v>
      </c>
      <c r="D3517" s="29">
        <f>VALUE(LEFT(C3517,LEN(C3517)-3))</f>
        <v>85.3</v>
      </c>
    </row>
    <row r="3518" spans="1:4">
      <c r="A3518" s="23" t="s">
        <v>560</v>
      </c>
      <c r="B3518" t="s">
        <v>545</v>
      </c>
      <c r="C3518" t="s">
        <v>971</v>
      </c>
      <c r="D3518" s="29">
        <f>VALUE(LEFT(C3518,LEN(C3518)-3))</f>
        <v>691.2</v>
      </c>
    </row>
    <row r="3519" spans="1:4">
      <c r="A3519" s="23" t="s">
        <v>562</v>
      </c>
      <c r="B3519" t="s">
        <v>545</v>
      </c>
      <c r="C3519" t="s">
        <v>604</v>
      </c>
      <c r="D3519" s="29">
        <f>VALUE(LEFT(C3519,LEN(C3519)-3))</f>
        <v>0</v>
      </c>
    </row>
    <row r="3520" spans="1:4" s="30" customFormat="1"/>
    <row r="3521" spans="1:4">
      <c r="A3521" s="23" t="s">
        <v>544</v>
      </c>
      <c r="B3521" t="s">
        <v>545</v>
      </c>
      <c r="C3521" t="s">
        <v>973</v>
      </c>
      <c r="D3521" s="29">
        <f>VALUE(LEFT(C3521,LEN(C3521)-2))</f>
        <v>17.7</v>
      </c>
    </row>
    <row r="3522" spans="1:4">
      <c r="A3522" s="23" t="s">
        <v>547</v>
      </c>
      <c r="B3522" t="s">
        <v>545</v>
      </c>
      <c r="C3522" s="24">
        <v>0.61</v>
      </c>
      <c r="D3522" s="27">
        <f>VALUE(C3522*100)</f>
        <v>61</v>
      </c>
    </row>
    <row r="3523" spans="1:4">
      <c r="A3523" s="23" t="s">
        <v>548</v>
      </c>
      <c r="B3523" t="s">
        <v>545</v>
      </c>
      <c r="C3523" t="s">
        <v>927</v>
      </c>
      <c r="D3523" s="29">
        <f>VALUE(LEFT(C3523,LEN(C3523)-2))</f>
        <v>9.1</v>
      </c>
    </row>
    <row r="3524" spans="1:4">
      <c r="A3524" s="23" t="s">
        <v>550</v>
      </c>
      <c r="B3524" t="s">
        <v>545</v>
      </c>
      <c r="C3524" t="s">
        <v>769</v>
      </c>
      <c r="D3524" s="28">
        <f>VALUE(LEFT(C3524,LEN(C3524)-4))</f>
        <v>1018.2</v>
      </c>
    </row>
    <row r="3525" spans="1:4">
      <c r="A3525" s="23" t="s">
        <v>552</v>
      </c>
      <c r="B3525" t="s">
        <v>545</v>
      </c>
      <c r="C3525" t="s">
        <v>609</v>
      </c>
      <c r="D3525" s="29">
        <f>VALUE(LEFT(C3525,LEN(C3525)-FIND("km/h",C3525)+1)/3.6)</f>
        <v>1.5277777777777777</v>
      </c>
    </row>
    <row r="3526" spans="1:4">
      <c r="A3526" s="23" t="s">
        <v>554</v>
      </c>
      <c r="B3526" t="s">
        <v>545</v>
      </c>
      <c r="C3526" t="s">
        <v>843</v>
      </c>
      <c r="D3526" s="29">
        <f>VALUE(LEFT(C3526,LEN(C3526)-FIND("km/h",C3526)+1)/3.6)</f>
        <v>2.3055555555555558</v>
      </c>
    </row>
    <row r="3527" spans="1:4">
      <c r="A3527" s="23" t="s">
        <v>556</v>
      </c>
      <c r="B3527" t="s">
        <v>545</v>
      </c>
      <c r="C3527" t="s">
        <v>801</v>
      </c>
      <c r="D3527" s="26">
        <f>VALUE(LEFT(C3527,LEN(C3527)-7))</f>
        <v>329</v>
      </c>
    </row>
    <row r="3528" spans="1:4">
      <c r="A3528" s="23" t="s">
        <v>558</v>
      </c>
      <c r="B3528" t="s">
        <v>545</v>
      </c>
      <c r="C3528" t="s">
        <v>604</v>
      </c>
      <c r="D3528" s="29">
        <f>VALUE(LEFT(C3528,LEN(C3528)-3))</f>
        <v>0</v>
      </c>
    </row>
    <row r="3529" spans="1:4">
      <c r="A3529" s="23" t="s">
        <v>560</v>
      </c>
      <c r="B3529" t="s">
        <v>545</v>
      </c>
      <c r="C3529" t="s">
        <v>971</v>
      </c>
      <c r="D3529" s="29">
        <f>VALUE(LEFT(C3529,LEN(C3529)-3))</f>
        <v>691.2</v>
      </c>
    </row>
    <row r="3530" spans="1:4">
      <c r="A3530" s="23" t="s">
        <v>562</v>
      </c>
      <c r="B3530" t="s">
        <v>545</v>
      </c>
      <c r="C3530" t="s">
        <v>604</v>
      </c>
      <c r="D3530" s="29">
        <f>VALUE(LEFT(C3530,LEN(C3530)-3))</f>
        <v>0</v>
      </c>
    </row>
    <row r="3532" spans="1:4">
      <c r="A3532" s="23" t="s">
        <v>544</v>
      </c>
      <c r="B3532" t="s">
        <v>545</v>
      </c>
      <c r="C3532" t="s">
        <v>611</v>
      </c>
      <c r="D3532" s="29">
        <f>VALUE(LEFT(C3532,LEN(C3532)-2))</f>
        <v>17.100000000000001</v>
      </c>
    </row>
    <row r="3533" spans="1:4">
      <c r="A3533" s="23" t="s">
        <v>547</v>
      </c>
      <c r="B3533" t="s">
        <v>545</v>
      </c>
      <c r="C3533" s="24">
        <v>0.78</v>
      </c>
      <c r="D3533" s="27">
        <f>VALUE(C3533*100)</f>
        <v>78</v>
      </c>
    </row>
    <row r="3534" spans="1:4">
      <c r="A3534" s="23" t="s">
        <v>548</v>
      </c>
      <c r="B3534" t="s">
        <v>545</v>
      </c>
      <c r="C3534" t="s">
        <v>546</v>
      </c>
      <c r="D3534" s="29">
        <f>VALUE(LEFT(C3534,LEN(C3534)-2))</f>
        <v>12.9</v>
      </c>
    </row>
    <row r="3535" spans="1:4">
      <c r="A3535" s="23" t="s">
        <v>550</v>
      </c>
      <c r="B3535" t="s">
        <v>545</v>
      </c>
      <c r="C3535" t="s">
        <v>977</v>
      </c>
      <c r="D3535" s="28">
        <f>VALUE(LEFT(C3535,LEN(C3535)-4))</f>
        <v>1019.3</v>
      </c>
    </row>
    <row r="3536" spans="1:4">
      <c r="A3536" s="23" t="s">
        <v>552</v>
      </c>
      <c r="B3536" t="s">
        <v>545</v>
      </c>
      <c r="C3536" t="s">
        <v>692</v>
      </c>
      <c r="D3536" s="29">
        <f>VALUE(LEFT(C3536,LEN(C3536)-FIND("km/h",C3536)+1)/3.6)</f>
        <v>2.1388888888888888</v>
      </c>
    </row>
    <row r="3537" spans="1:4">
      <c r="A3537" s="23" t="s">
        <v>554</v>
      </c>
      <c r="B3537" t="s">
        <v>545</v>
      </c>
      <c r="C3537" t="s">
        <v>704</v>
      </c>
      <c r="D3537" s="29">
        <f>VALUE(LEFT(C3537,LEN(C3537)-FIND("km/h",C3537)+1)/3.6)</f>
        <v>3.1388888888888888</v>
      </c>
    </row>
    <row r="3538" spans="1:4">
      <c r="A3538" s="23" t="s">
        <v>556</v>
      </c>
      <c r="B3538" t="s">
        <v>545</v>
      </c>
      <c r="C3538" t="s">
        <v>892</v>
      </c>
      <c r="D3538" s="26">
        <f>VALUE(LEFT(C3538,LEN(C3538)-7))</f>
        <v>321</v>
      </c>
    </row>
    <row r="3539" spans="1:4">
      <c r="A3539" s="23" t="s">
        <v>558</v>
      </c>
      <c r="B3539" t="s">
        <v>545</v>
      </c>
      <c r="C3539" t="s">
        <v>604</v>
      </c>
      <c r="D3539" s="29">
        <f>VALUE(LEFT(C3539,LEN(C3539)-3))</f>
        <v>0</v>
      </c>
    </row>
    <row r="3540" spans="1:4">
      <c r="A3540" s="23" t="s">
        <v>560</v>
      </c>
      <c r="B3540" t="s">
        <v>545</v>
      </c>
      <c r="C3540" t="s">
        <v>971</v>
      </c>
      <c r="D3540" s="29">
        <f>VALUE(LEFT(C3540,LEN(C3540)-3))</f>
        <v>691.2</v>
      </c>
    </row>
    <row r="3541" spans="1:4">
      <c r="A3541" s="23" t="s">
        <v>562</v>
      </c>
      <c r="B3541" t="s">
        <v>545</v>
      </c>
      <c r="C3541" t="s">
        <v>604</v>
      </c>
      <c r="D3541" s="29">
        <f>VALUE(LEFT(C3541,LEN(C3541)-3))</f>
        <v>0</v>
      </c>
    </row>
    <row r="3543" spans="1:4">
      <c r="A3543" s="23" t="s">
        <v>544</v>
      </c>
      <c r="B3543" t="s">
        <v>545</v>
      </c>
      <c r="C3543" t="s">
        <v>792</v>
      </c>
      <c r="D3543" s="29">
        <f>VALUE(LEFT(C3543,LEN(C3543)-2))</f>
        <v>16.7</v>
      </c>
    </row>
    <row r="3544" spans="1:4">
      <c r="A3544" s="23" t="s">
        <v>547</v>
      </c>
      <c r="B3544" t="s">
        <v>545</v>
      </c>
      <c r="C3544" s="24">
        <v>0.74</v>
      </c>
      <c r="D3544" s="27">
        <f>VALUE(C3544*100)</f>
        <v>74</v>
      </c>
    </row>
    <row r="3545" spans="1:4">
      <c r="A3545" s="23" t="s">
        <v>548</v>
      </c>
      <c r="B3545" t="s">
        <v>545</v>
      </c>
      <c r="C3545" t="s">
        <v>978</v>
      </c>
      <c r="D3545" s="29">
        <f>VALUE(LEFT(C3545,LEN(C3545)-2))</f>
        <v>11.7</v>
      </c>
    </row>
    <row r="3546" spans="1:4">
      <c r="A3546" s="23" t="s">
        <v>550</v>
      </c>
      <c r="B3546" t="s">
        <v>545</v>
      </c>
      <c r="C3546" t="s">
        <v>672</v>
      </c>
      <c r="D3546" s="28">
        <f>VALUE(LEFT(C3546,LEN(C3546)-4))</f>
        <v>1018</v>
      </c>
    </row>
    <row r="3547" spans="1:4">
      <c r="A3547" s="23" t="s">
        <v>552</v>
      </c>
      <c r="B3547" t="s">
        <v>545</v>
      </c>
      <c r="C3547" t="s">
        <v>858</v>
      </c>
      <c r="D3547" s="29">
        <f>VALUE(LEFT(C3547,LEN(C3547)-FIND("km/h",C3547)+1)/3.6)</f>
        <v>2.5833333333333335</v>
      </c>
    </row>
    <row r="3548" spans="1:4">
      <c r="A3548" s="23" t="s">
        <v>554</v>
      </c>
      <c r="B3548" t="s">
        <v>545</v>
      </c>
      <c r="C3548" t="s">
        <v>979</v>
      </c>
      <c r="D3548" s="29">
        <f>VALUE(LEFT(C3548,LEN(C3548)-FIND("km/h",C3548)+1)/3.6)</f>
        <v>3.6944444444444446</v>
      </c>
    </row>
    <row r="3549" spans="1:4">
      <c r="A3549" s="23" t="s">
        <v>556</v>
      </c>
      <c r="B3549" t="s">
        <v>545</v>
      </c>
      <c r="C3549" t="s">
        <v>866</v>
      </c>
      <c r="D3549" s="26">
        <f>VALUE(LEFT(C3549,LEN(C3549)-7))</f>
        <v>325</v>
      </c>
    </row>
    <row r="3550" spans="1:4">
      <c r="A3550" s="23" t="s">
        <v>558</v>
      </c>
      <c r="B3550" t="s">
        <v>545</v>
      </c>
      <c r="C3550" t="s">
        <v>604</v>
      </c>
      <c r="D3550" s="29">
        <f>VALUE(LEFT(C3550,LEN(C3550)-3))</f>
        <v>0</v>
      </c>
    </row>
    <row r="3551" spans="1:4">
      <c r="A3551" s="23" t="s">
        <v>560</v>
      </c>
      <c r="B3551" t="s">
        <v>545</v>
      </c>
      <c r="C3551" t="s">
        <v>971</v>
      </c>
      <c r="D3551" s="29">
        <f>VALUE(LEFT(C3551,LEN(C3551)-3))</f>
        <v>691.2</v>
      </c>
    </row>
    <row r="3552" spans="1:4">
      <c r="A3552" s="23" t="s">
        <v>562</v>
      </c>
      <c r="B3552" t="s">
        <v>545</v>
      </c>
      <c r="C3552" t="s">
        <v>604</v>
      </c>
      <c r="D3552" s="29">
        <f>VALUE(LEFT(C3552,LEN(C3552)-3))</f>
        <v>0</v>
      </c>
    </row>
    <row r="3554" spans="1:4">
      <c r="A3554" s="23" t="s">
        <v>544</v>
      </c>
      <c r="B3554" t="s">
        <v>545</v>
      </c>
      <c r="C3554" t="s">
        <v>980</v>
      </c>
      <c r="D3554" s="29">
        <f>VALUE(LEFT(C3554,LEN(C3554)-2))</f>
        <v>16.5</v>
      </c>
    </row>
    <row r="3555" spans="1:4">
      <c r="A3555" s="23" t="s">
        <v>547</v>
      </c>
      <c r="B3555" t="s">
        <v>545</v>
      </c>
      <c r="C3555" s="24">
        <v>0.71</v>
      </c>
      <c r="D3555" s="27">
        <f>VALUE(C3555*100)</f>
        <v>71</v>
      </c>
    </row>
    <row r="3556" spans="1:4">
      <c r="A3556" s="23" t="s">
        <v>548</v>
      </c>
      <c r="B3556" t="s">
        <v>545</v>
      </c>
      <c r="C3556" t="s">
        <v>714</v>
      </c>
      <c r="D3556" s="29">
        <f>VALUE(LEFT(C3556,LEN(C3556)-2))</f>
        <v>10.4</v>
      </c>
    </row>
    <row r="3557" spans="1:4">
      <c r="A3557" s="23" t="s">
        <v>550</v>
      </c>
      <c r="B3557" t="s">
        <v>545</v>
      </c>
      <c r="C3557" t="s">
        <v>575</v>
      </c>
      <c r="D3557" s="28">
        <f>VALUE(LEFT(C3557,LEN(C3557)-4))</f>
        <v>1015.3</v>
      </c>
    </row>
    <row r="3558" spans="1:4">
      <c r="A3558" s="23" t="s">
        <v>552</v>
      </c>
      <c r="B3558" t="s">
        <v>545</v>
      </c>
      <c r="C3558" t="s">
        <v>839</v>
      </c>
      <c r="D3558" s="29">
        <f>VALUE(LEFT(C3558,LEN(C3558)-FIND("km/h",C3558)+1)/3.6)</f>
        <v>2.2222222222222223</v>
      </c>
    </row>
    <row r="3559" spans="1:4">
      <c r="A3559" s="23" t="s">
        <v>554</v>
      </c>
      <c r="B3559" t="s">
        <v>545</v>
      </c>
      <c r="C3559" t="s">
        <v>981</v>
      </c>
      <c r="D3559" s="29">
        <f>VALUE(LEFT(C3559,LEN(C3559)-FIND("km/h",C3559)+1)/3.6)</f>
        <v>3.3055555555555554</v>
      </c>
    </row>
    <row r="3560" spans="1:4">
      <c r="A3560" s="23" t="s">
        <v>556</v>
      </c>
      <c r="B3560" t="s">
        <v>545</v>
      </c>
      <c r="C3560" t="s">
        <v>982</v>
      </c>
      <c r="D3560" s="26">
        <f>VALUE(LEFT(C3560,LEN(C3560)-7))</f>
        <v>319</v>
      </c>
    </row>
    <row r="3561" spans="1:4">
      <c r="A3561" s="23" t="s">
        <v>558</v>
      </c>
      <c r="B3561" t="s">
        <v>545</v>
      </c>
      <c r="C3561" t="s">
        <v>604</v>
      </c>
      <c r="D3561" s="29">
        <f>VALUE(LEFT(C3561,LEN(C3561)-3))</f>
        <v>0</v>
      </c>
    </row>
    <row r="3562" spans="1:4">
      <c r="A3562" s="23" t="s">
        <v>560</v>
      </c>
      <c r="B3562" t="s">
        <v>545</v>
      </c>
      <c r="C3562" t="s">
        <v>971</v>
      </c>
      <c r="D3562" s="29">
        <f>VALUE(LEFT(C3562,LEN(C3562)-3))</f>
        <v>691.2</v>
      </c>
    </row>
    <row r="3563" spans="1:4">
      <c r="A3563" s="23" t="s">
        <v>562</v>
      </c>
      <c r="B3563" t="s">
        <v>545</v>
      </c>
      <c r="C3563" t="s">
        <v>604</v>
      </c>
      <c r="D3563" s="29">
        <f>VALUE(LEFT(C3563,LEN(C3563)-3))</f>
        <v>0</v>
      </c>
    </row>
    <row r="3565" spans="1:4">
      <c r="A3565" s="23" t="s">
        <v>544</v>
      </c>
      <c r="B3565" t="s">
        <v>545</v>
      </c>
      <c r="C3565" t="s">
        <v>867</v>
      </c>
      <c r="D3565" s="29">
        <f>VALUE(LEFT(C3565,LEN(C3565)-2))</f>
        <v>16.899999999999999</v>
      </c>
    </row>
    <row r="3566" spans="1:4">
      <c r="A3566" s="23" t="s">
        <v>547</v>
      </c>
      <c r="B3566" t="s">
        <v>545</v>
      </c>
      <c r="C3566" s="24">
        <v>0.7</v>
      </c>
      <c r="D3566" s="27">
        <f>VALUE(C3566*100)</f>
        <v>70</v>
      </c>
    </row>
    <row r="3567" spans="1:4">
      <c r="A3567" s="23" t="s">
        <v>548</v>
      </c>
      <c r="B3567" t="s">
        <v>545</v>
      </c>
      <c r="C3567" t="s">
        <v>903</v>
      </c>
      <c r="D3567" s="29">
        <f>VALUE(LEFT(C3567,LEN(C3567)-2))</f>
        <v>10.9</v>
      </c>
    </row>
    <row r="3568" spans="1:4">
      <c r="A3568" s="23" t="s">
        <v>550</v>
      </c>
      <c r="B3568" t="s">
        <v>545</v>
      </c>
      <c r="C3568" t="s">
        <v>983</v>
      </c>
      <c r="D3568" s="28">
        <f>VALUE(LEFT(C3568,LEN(C3568)-4))</f>
        <v>1010</v>
      </c>
    </row>
    <row r="3569" spans="1:4">
      <c r="A3569" s="23" t="s">
        <v>552</v>
      </c>
      <c r="B3569" t="s">
        <v>545</v>
      </c>
      <c r="C3569" t="s">
        <v>669</v>
      </c>
      <c r="D3569" s="29">
        <f>VALUE(LEFT(C3569,LEN(C3569)-FIND("km/h",C3569)+1)/3.6)</f>
        <v>1.4722222222222221</v>
      </c>
    </row>
    <row r="3570" spans="1:4">
      <c r="A3570" s="23" t="s">
        <v>554</v>
      </c>
      <c r="B3570" t="s">
        <v>545</v>
      </c>
      <c r="C3570" t="s">
        <v>953</v>
      </c>
      <c r="D3570" s="29">
        <f>VALUE(LEFT(C3570,LEN(C3570)-FIND("km/h",C3570)+1)/3.6)</f>
        <v>2.1666666666666665</v>
      </c>
    </row>
    <row r="3571" spans="1:4">
      <c r="A3571" s="23" t="s">
        <v>556</v>
      </c>
      <c r="B3571" t="s">
        <v>545</v>
      </c>
      <c r="C3571" t="s">
        <v>984</v>
      </c>
      <c r="D3571" s="26">
        <f>VALUE(LEFT(C3571,LEN(C3571)-7))</f>
        <v>211</v>
      </c>
    </row>
    <row r="3572" spans="1:4">
      <c r="A3572" s="23" t="s">
        <v>558</v>
      </c>
      <c r="B3572" t="s">
        <v>545</v>
      </c>
      <c r="C3572" t="s">
        <v>604</v>
      </c>
      <c r="D3572" s="29">
        <f>VALUE(LEFT(C3572,LEN(C3572)-3))</f>
        <v>0</v>
      </c>
    </row>
    <row r="3573" spans="1:4">
      <c r="A3573" s="23" t="s">
        <v>560</v>
      </c>
      <c r="B3573" t="s">
        <v>545</v>
      </c>
      <c r="C3573" t="s">
        <v>971</v>
      </c>
      <c r="D3573" s="29">
        <f>VALUE(LEFT(C3573,LEN(C3573)-3))</f>
        <v>691.2</v>
      </c>
    </row>
    <row r="3574" spans="1:4">
      <c r="A3574" s="23" t="s">
        <v>562</v>
      </c>
      <c r="B3574" t="s">
        <v>545</v>
      </c>
      <c r="C3574" t="s">
        <v>604</v>
      </c>
      <c r="D3574" s="29">
        <f>VALUE(LEFT(C3574,LEN(C3574)-3))</f>
        <v>0</v>
      </c>
    </row>
    <row r="3576" spans="1:4">
      <c r="A3576" s="23" t="s">
        <v>544</v>
      </c>
      <c r="B3576" t="s">
        <v>545</v>
      </c>
      <c r="C3576" t="s">
        <v>792</v>
      </c>
      <c r="D3576" s="29">
        <f>VALUE(LEFT(C3576,LEN(C3576)-2))</f>
        <v>16.7</v>
      </c>
    </row>
    <row r="3577" spans="1:4">
      <c r="A3577" s="23" t="s">
        <v>547</v>
      </c>
      <c r="B3577" t="s">
        <v>545</v>
      </c>
      <c r="C3577" s="24">
        <v>0.84</v>
      </c>
      <c r="D3577" s="27">
        <f>VALUE(C3577*100)</f>
        <v>84</v>
      </c>
    </row>
    <row r="3578" spans="1:4">
      <c r="A3578" s="23" t="s">
        <v>548</v>
      </c>
      <c r="B3578" t="s">
        <v>545</v>
      </c>
      <c r="C3578" t="s">
        <v>956</v>
      </c>
      <c r="D3578" s="29">
        <f>VALUE(LEFT(C3578,LEN(C3578)-2))</f>
        <v>14</v>
      </c>
    </row>
    <row r="3579" spans="1:4">
      <c r="A3579" s="23" t="s">
        <v>550</v>
      </c>
      <c r="B3579" t="s">
        <v>545</v>
      </c>
      <c r="C3579" t="s">
        <v>985</v>
      </c>
      <c r="D3579" s="28">
        <f>VALUE(LEFT(C3579,LEN(C3579)-4))</f>
        <v>1006.8</v>
      </c>
    </row>
    <row r="3580" spans="1:4">
      <c r="A3580" s="23" t="s">
        <v>552</v>
      </c>
      <c r="B3580" t="s">
        <v>545</v>
      </c>
      <c r="C3580" t="s">
        <v>855</v>
      </c>
      <c r="D3580" s="29">
        <f>VALUE(LEFT(C3580,LEN(C3580)-FIND("km/h",C3580)+1)/3.6)</f>
        <v>2.75</v>
      </c>
    </row>
    <row r="3581" spans="1:4">
      <c r="A3581" s="23" t="s">
        <v>554</v>
      </c>
      <c r="B3581" t="s">
        <v>545</v>
      </c>
      <c r="C3581" t="s">
        <v>986</v>
      </c>
      <c r="D3581" s="29">
        <f>VALUE(LEFT(C3581,LEN(C3581)-FIND("km/h",C3581)+1)/3.6)</f>
        <v>3.7777777777777777</v>
      </c>
    </row>
    <row r="3582" spans="1:4">
      <c r="A3582" s="23" t="s">
        <v>556</v>
      </c>
      <c r="B3582" t="s">
        <v>545</v>
      </c>
      <c r="C3582" t="s">
        <v>987</v>
      </c>
      <c r="D3582" s="26">
        <f>VALUE(LEFT(C3582,LEN(C3582)-7))</f>
        <v>185</v>
      </c>
    </row>
    <row r="3583" spans="1:4">
      <c r="A3583" s="23" t="s">
        <v>558</v>
      </c>
      <c r="B3583" t="s">
        <v>545</v>
      </c>
      <c r="C3583" t="s">
        <v>988</v>
      </c>
      <c r="D3583" s="29">
        <f>VALUE(LEFT(C3583,LEN(C3583)-3))</f>
        <v>5.3</v>
      </c>
    </row>
    <row r="3584" spans="1:4">
      <c r="A3584" s="23" t="s">
        <v>560</v>
      </c>
      <c r="B3584" t="s">
        <v>545</v>
      </c>
      <c r="C3584" t="s">
        <v>989</v>
      </c>
      <c r="D3584" s="29">
        <f>VALUE(LEFT(C3584,LEN(C3584)-3))</f>
        <v>696.5</v>
      </c>
    </row>
    <row r="3585" spans="1:4">
      <c r="A3585" s="23" t="s">
        <v>562</v>
      </c>
      <c r="B3585" t="s">
        <v>545</v>
      </c>
      <c r="C3585" t="s">
        <v>988</v>
      </c>
      <c r="D3585" s="29">
        <f>VALUE(LEFT(C3585,LEN(C3585)-3))</f>
        <v>5.3</v>
      </c>
    </row>
    <row r="3587" spans="1:4">
      <c r="A3587" s="23" t="s">
        <v>544</v>
      </c>
      <c r="B3587" t="s">
        <v>545</v>
      </c>
      <c r="C3587" t="s">
        <v>990</v>
      </c>
      <c r="D3587" s="29">
        <f>VALUE(LEFT(C3587,LEN(C3587)-2))</f>
        <v>17.600000000000001</v>
      </c>
    </row>
    <row r="3588" spans="1:4">
      <c r="A3588" s="23" t="s">
        <v>547</v>
      </c>
      <c r="B3588" t="s">
        <v>545</v>
      </c>
      <c r="C3588" s="24">
        <v>0.68</v>
      </c>
      <c r="D3588" s="27">
        <f>VALUE(C3588*100)</f>
        <v>68</v>
      </c>
    </row>
    <row r="3589" spans="1:4">
      <c r="A3589" s="23" t="s">
        <v>548</v>
      </c>
      <c r="B3589" t="s">
        <v>545</v>
      </c>
      <c r="C3589" t="s">
        <v>730</v>
      </c>
      <c r="D3589" s="29">
        <f>VALUE(LEFT(C3589,LEN(C3589)-2))</f>
        <v>11</v>
      </c>
    </row>
    <row r="3590" spans="1:4">
      <c r="A3590" s="23" t="s">
        <v>550</v>
      </c>
      <c r="B3590" t="s">
        <v>545</v>
      </c>
      <c r="C3590" t="s">
        <v>810</v>
      </c>
      <c r="D3590" s="28">
        <f>VALUE(LEFT(C3590,LEN(C3590)-4))</f>
        <v>1012</v>
      </c>
    </row>
    <row r="3591" spans="1:4">
      <c r="A3591" s="23" t="s">
        <v>552</v>
      </c>
      <c r="B3591" t="s">
        <v>545</v>
      </c>
      <c r="C3591" t="s">
        <v>748</v>
      </c>
      <c r="D3591" s="29">
        <f>VALUE(LEFT(C3591,LEN(C3591)-FIND("km/h",C3591)+1)/3.6)</f>
        <v>2.8611111111111112</v>
      </c>
    </row>
    <row r="3592" spans="1:4">
      <c r="A3592" s="23" t="s">
        <v>554</v>
      </c>
      <c r="B3592" t="s">
        <v>545</v>
      </c>
      <c r="C3592" t="s">
        <v>898</v>
      </c>
      <c r="D3592" s="29">
        <f>VALUE(LEFT(C3592,LEN(C3592)-FIND("km/h",C3592)+1)/3.6)</f>
        <v>3.9166666666666665</v>
      </c>
    </row>
    <row r="3593" spans="1:4">
      <c r="A3593" s="23" t="s">
        <v>556</v>
      </c>
      <c r="B3593" t="s">
        <v>545</v>
      </c>
      <c r="C3593" t="s">
        <v>991</v>
      </c>
      <c r="D3593" s="26">
        <f>VALUE(LEFT(C3593,LEN(C3593)-7))</f>
        <v>198</v>
      </c>
    </row>
    <row r="3594" spans="1:4">
      <c r="A3594" s="23" t="s">
        <v>558</v>
      </c>
      <c r="B3594" t="s">
        <v>545</v>
      </c>
      <c r="C3594" t="s">
        <v>988</v>
      </c>
      <c r="D3594" s="29">
        <f>VALUE(LEFT(C3594,LEN(C3594)-3))</f>
        <v>5.3</v>
      </c>
    </row>
    <row r="3595" spans="1:4">
      <c r="A3595" s="23" t="s">
        <v>560</v>
      </c>
      <c r="B3595" t="s">
        <v>545</v>
      </c>
      <c r="C3595" t="s">
        <v>989</v>
      </c>
      <c r="D3595" s="29">
        <f>VALUE(LEFT(C3595,LEN(C3595)-3))</f>
        <v>696.5</v>
      </c>
    </row>
    <row r="3596" spans="1:4">
      <c r="A3596" s="23" t="s">
        <v>562</v>
      </c>
      <c r="B3596" t="s">
        <v>545</v>
      </c>
      <c r="C3596" t="s">
        <v>604</v>
      </c>
      <c r="D3596" s="29">
        <f>VALUE(LEFT(C3596,LEN(C3596)-3))</f>
        <v>0</v>
      </c>
    </row>
    <row r="3598" spans="1:4">
      <c r="A3598" s="23" t="s">
        <v>544</v>
      </c>
      <c r="B3598" t="s">
        <v>545</v>
      </c>
      <c r="C3598" t="s">
        <v>992</v>
      </c>
      <c r="D3598" s="29">
        <f>VALUE(LEFT(C3598,LEN(C3598)-2))</f>
        <v>18.2</v>
      </c>
    </row>
    <row r="3599" spans="1:4">
      <c r="A3599" s="23" t="s">
        <v>547</v>
      </c>
      <c r="B3599" t="s">
        <v>545</v>
      </c>
      <c r="C3599" s="24">
        <v>0.67</v>
      </c>
      <c r="D3599" s="27">
        <f>VALUE(C3599*100)</f>
        <v>67</v>
      </c>
    </row>
    <row r="3600" spans="1:4">
      <c r="A3600" s="23" t="s">
        <v>548</v>
      </c>
      <c r="B3600" t="s">
        <v>545</v>
      </c>
      <c r="C3600" t="s">
        <v>753</v>
      </c>
      <c r="D3600" s="29">
        <f>VALUE(LEFT(C3600,LEN(C3600)-2))</f>
        <v>11.5</v>
      </c>
    </row>
    <row r="3601" spans="1:4">
      <c r="A3601" s="23" t="s">
        <v>550</v>
      </c>
      <c r="B3601" t="s">
        <v>545</v>
      </c>
      <c r="C3601" t="s">
        <v>993</v>
      </c>
      <c r="D3601" s="28">
        <f>VALUE(LEFT(C3601,LEN(C3601)-4))</f>
        <v>1016.3</v>
      </c>
    </row>
    <row r="3602" spans="1:4">
      <c r="A3602" s="23" t="s">
        <v>552</v>
      </c>
      <c r="B3602" t="s">
        <v>545</v>
      </c>
      <c r="C3602" t="s">
        <v>994</v>
      </c>
      <c r="D3602" s="29">
        <f>VALUE(LEFT(C3602,LEN(C3602)-FIND("km/h",C3602)+1)/3.6)</f>
        <v>1.6944444444444442</v>
      </c>
    </row>
    <row r="3603" spans="1:4">
      <c r="A3603" s="23" t="s">
        <v>554</v>
      </c>
      <c r="B3603" t="s">
        <v>545</v>
      </c>
      <c r="C3603" t="s">
        <v>868</v>
      </c>
      <c r="D3603" s="29">
        <f>VALUE(LEFT(C3603,LEN(C3603)-FIND("km/h",C3603)+1)/3.6)</f>
        <v>2.5</v>
      </c>
    </row>
    <row r="3604" spans="1:4">
      <c r="A3604" s="23" t="s">
        <v>556</v>
      </c>
      <c r="B3604" t="s">
        <v>545</v>
      </c>
      <c r="C3604" t="s">
        <v>856</v>
      </c>
      <c r="D3604" s="26">
        <f>VALUE(LEFT(C3604,LEN(C3604)-7))</f>
        <v>222</v>
      </c>
    </row>
    <row r="3605" spans="1:4">
      <c r="A3605" s="23" t="s">
        <v>558</v>
      </c>
      <c r="B3605" t="s">
        <v>545</v>
      </c>
      <c r="C3605" t="s">
        <v>988</v>
      </c>
      <c r="D3605" s="29">
        <f>VALUE(LEFT(C3605,LEN(C3605)-3))</f>
        <v>5.3</v>
      </c>
    </row>
    <row r="3606" spans="1:4">
      <c r="A3606" s="23" t="s">
        <v>560</v>
      </c>
      <c r="B3606" t="s">
        <v>545</v>
      </c>
      <c r="C3606" t="s">
        <v>989</v>
      </c>
      <c r="D3606" s="29">
        <f>VALUE(LEFT(C3606,LEN(C3606)-3))</f>
        <v>696.5</v>
      </c>
    </row>
    <row r="3607" spans="1:4">
      <c r="A3607" s="23" t="s">
        <v>562</v>
      </c>
      <c r="B3607" t="s">
        <v>545</v>
      </c>
      <c r="C3607" t="s">
        <v>604</v>
      </c>
      <c r="D3607" s="29">
        <f>VALUE(LEFT(C3607,LEN(C3607)-3))</f>
        <v>0</v>
      </c>
    </row>
    <row r="3609" spans="1:4">
      <c r="A3609" s="23" t="s">
        <v>544</v>
      </c>
      <c r="B3609" t="s">
        <v>545</v>
      </c>
      <c r="C3609" t="s">
        <v>992</v>
      </c>
      <c r="D3609" s="29">
        <f>VALUE(LEFT(C3609,LEN(C3609)-2))</f>
        <v>18.2</v>
      </c>
    </row>
    <row r="3610" spans="1:4">
      <c r="A3610" s="23" t="s">
        <v>547</v>
      </c>
      <c r="B3610" t="s">
        <v>545</v>
      </c>
      <c r="C3610" s="24">
        <v>0.67</v>
      </c>
      <c r="D3610" s="27">
        <f>VALUE(C3610*100)</f>
        <v>67</v>
      </c>
    </row>
    <row r="3611" spans="1:4">
      <c r="A3611" s="23" t="s">
        <v>548</v>
      </c>
      <c r="B3611" t="s">
        <v>545</v>
      </c>
      <c r="C3611" t="s">
        <v>730</v>
      </c>
      <c r="D3611" s="29">
        <f>VALUE(LEFT(C3611,LEN(C3611)-2))</f>
        <v>11</v>
      </c>
    </row>
    <row r="3612" spans="1:4">
      <c r="A3612" s="23" t="s">
        <v>550</v>
      </c>
      <c r="B3612" t="s">
        <v>545</v>
      </c>
      <c r="C3612" t="s">
        <v>664</v>
      </c>
      <c r="D3612" s="28">
        <f>VALUE(LEFT(C3612,LEN(C3612)-4))</f>
        <v>1016.9</v>
      </c>
    </row>
    <row r="3613" spans="1:4">
      <c r="A3613" s="23" t="s">
        <v>552</v>
      </c>
      <c r="B3613" t="s">
        <v>545</v>
      </c>
      <c r="C3613" t="s">
        <v>651</v>
      </c>
      <c r="D3613" s="29">
        <f>VALUE(LEFT(C3613,LEN(C3613)-FIND("km/h",C3613)+1)/3.6)</f>
        <v>1.2777777777777777</v>
      </c>
    </row>
    <row r="3614" spans="1:4">
      <c r="A3614" s="23" t="s">
        <v>554</v>
      </c>
      <c r="B3614" t="s">
        <v>545</v>
      </c>
      <c r="C3614" t="s">
        <v>995</v>
      </c>
      <c r="D3614" s="29">
        <f>VALUE(LEFT(C3614,LEN(C3614)-FIND("km/h",C3614)+1)/3.6)</f>
        <v>1.9444444444444444</v>
      </c>
    </row>
    <row r="3615" spans="1:4">
      <c r="A3615" s="23" t="s">
        <v>556</v>
      </c>
      <c r="B3615" t="s">
        <v>545</v>
      </c>
      <c r="C3615" t="s">
        <v>996</v>
      </c>
      <c r="D3615" s="26">
        <f>VALUE(LEFT(C3615,LEN(C3615)-7))</f>
        <v>240</v>
      </c>
    </row>
    <row r="3616" spans="1:4">
      <c r="A3616" s="23" t="s">
        <v>558</v>
      </c>
      <c r="B3616" t="s">
        <v>545</v>
      </c>
      <c r="C3616" t="s">
        <v>988</v>
      </c>
      <c r="D3616" s="29">
        <f>VALUE(LEFT(C3616,LEN(C3616)-3))</f>
        <v>5.3</v>
      </c>
    </row>
    <row r="3617" spans="1:4">
      <c r="A3617" s="23" t="s">
        <v>560</v>
      </c>
      <c r="B3617" t="s">
        <v>545</v>
      </c>
      <c r="C3617" t="s">
        <v>989</v>
      </c>
      <c r="D3617" s="29">
        <f>VALUE(LEFT(C3617,LEN(C3617)-3))</f>
        <v>696.5</v>
      </c>
    </row>
    <row r="3618" spans="1:4">
      <c r="A3618" s="23" t="s">
        <v>562</v>
      </c>
      <c r="B3618" t="s">
        <v>545</v>
      </c>
      <c r="C3618" t="s">
        <v>604</v>
      </c>
      <c r="D3618" s="29">
        <f>VALUE(LEFT(C3618,LEN(C3618)-3))</f>
        <v>0</v>
      </c>
    </row>
    <row r="3620" spans="1:4">
      <c r="A3620" s="23" t="s">
        <v>544</v>
      </c>
      <c r="B3620" t="s">
        <v>545</v>
      </c>
      <c r="C3620" t="s">
        <v>997</v>
      </c>
      <c r="D3620" s="29">
        <f>VALUE(LEFT(C3620,LEN(C3620)-2))</f>
        <v>17.8</v>
      </c>
    </row>
    <row r="3621" spans="1:4">
      <c r="A3621" s="23" t="s">
        <v>547</v>
      </c>
      <c r="B3621" t="s">
        <v>545</v>
      </c>
      <c r="C3621" s="24">
        <v>0.68</v>
      </c>
      <c r="D3621" s="27">
        <f>VALUE(C3621*100)</f>
        <v>68</v>
      </c>
    </row>
    <row r="3622" spans="1:4">
      <c r="A3622" s="23" t="s">
        <v>548</v>
      </c>
      <c r="B3622" t="s">
        <v>545</v>
      </c>
      <c r="C3622" t="s">
        <v>798</v>
      </c>
      <c r="D3622" s="29">
        <f>VALUE(LEFT(C3622,LEN(C3622)-2))</f>
        <v>11.1</v>
      </c>
    </row>
    <row r="3623" spans="1:4">
      <c r="A3623" s="23" t="s">
        <v>550</v>
      </c>
      <c r="B3623" t="s">
        <v>545</v>
      </c>
      <c r="C3623" t="s">
        <v>775</v>
      </c>
      <c r="D3623" s="28">
        <f>VALUE(LEFT(C3623,LEN(C3623)-4))</f>
        <v>1016.8</v>
      </c>
    </row>
    <row r="3624" spans="1:4">
      <c r="A3624" s="23" t="s">
        <v>552</v>
      </c>
      <c r="B3624" t="s">
        <v>545</v>
      </c>
      <c r="C3624" t="s">
        <v>795</v>
      </c>
      <c r="D3624" s="29">
        <f>VALUE(LEFT(C3624,LEN(C3624)-FIND("km/h",C3624)+1)/3.6)</f>
        <v>1.6111111111111109</v>
      </c>
    </row>
    <row r="3625" spans="1:4">
      <c r="A3625" s="23" t="s">
        <v>554</v>
      </c>
      <c r="B3625" t="s">
        <v>545</v>
      </c>
      <c r="C3625" t="s">
        <v>821</v>
      </c>
      <c r="D3625" s="29">
        <f>VALUE(LEFT(C3625,LEN(C3625)-FIND("km/h",C3625)+1)/3.6)</f>
        <v>2.3611111111111112</v>
      </c>
    </row>
    <row r="3626" spans="1:4">
      <c r="A3626" s="23" t="s">
        <v>556</v>
      </c>
      <c r="B3626" t="s">
        <v>545</v>
      </c>
      <c r="C3626" t="s">
        <v>801</v>
      </c>
      <c r="D3626" s="26">
        <f>VALUE(LEFT(C3626,LEN(C3626)-7))</f>
        <v>329</v>
      </c>
    </row>
    <row r="3627" spans="1:4">
      <c r="A3627" s="23" t="s">
        <v>558</v>
      </c>
      <c r="B3627" t="s">
        <v>545</v>
      </c>
      <c r="C3627" t="s">
        <v>988</v>
      </c>
      <c r="D3627" s="29">
        <f>VALUE(LEFT(C3627,LEN(C3627)-3))</f>
        <v>5.3</v>
      </c>
    </row>
    <row r="3628" spans="1:4">
      <c r="A3628" s="23" t="s">
        <v>560</v>
      </c>
      <c r="B3628" t="s">
        <v>545</v>
      </c>
      <c r="C3628" t="s">
        <v>989</v>
      </c>
      <c r="D3628" s="29">
        <f>VALUE(LEFT(C3628,LEN(C3628)-3))</f>
        <v>696.5</v>
      </c>
    </row>
    <row r="3629" spans="1:4">
      <c r="A3629" s="23" t="s">
        <v>562</v>
      </c>
      <c r="B3629" t="s">
        <v>545</v>
      </c>
      <c r="C3629" t="s">
        <v>604</v>
      </c>
      <c r="D3629" s="29">
        <f>VALUE(LEFT(C3629,LEN(C3629)-3))</f>
        <v>0</v>
      </c>
    </row>
    <row r="3631" spans="1:4">
      <c r="A3631" s="23" t="s">
        <v>544</v>
      </c>
      <c r="B3631" t="s">
        <v>545</v>
      </c>
      <c r="C3631" t="s">
        <v>998</v>
      </c>
      <c r="D3631" s="29">
        <f>VALUE(LEFT(C3631,LEN(C3631)-2))</f>
        <v>19.3</v>
      </c>
    </row>
    <row r="3632" spans="1:4">
      <c r="A3632" s="23" t="s">
        <v>547</v>
      </c>
      <c r="B3632" t="s">
        <v>545</v>
      </c>
      <c r="C3632" s="24">
        <v>0.67</v>
      </c>
      <c r="D3632" s="27">
        <f>VALUE(C3632*100)</f>
        <v>67</v>
      </c>
    </row>
    <row r="3633" spans="1:4">
      <c r="A3633" s="23" t="s">
        <v>548</v>
      </c>
      <c r="B3633" t="s">
        <v>545</v>
      </c>
      <c r="C3633" t="s">
        <v>759</v>
      </c>
      <c r="D3633" s="29">
        <f>VALUE(LEFT(C3633,LEN(C3633)-2))</f>
        <v>12.3</v>
      </c>
    </row>
    <row r="3634" spans="1:4">
      <c r="A3634" s="23" t="s">
        <v>550</v>
      </c>
      <c r="B3634" t="s">
        <v>545</v>
      </c>
      <c r="C3634" t="s">
        <v>999</v>
      </c>
      <c r="D3634" s="28">
        <f>VALUE(LEFT(C3634,LEN(C3634)-4))</f>
        <v>1017.3</v>
      </c>
    </row>
    <row r="3635" spans="1:4">
      <c r="A3635" s="23" t="s">
        <v>552</v>
      </c>
      <c r="B3635" t="s">
        <v>545</v>
      </c>
      <c r="C3635" t="s">
        <v>1000</v>
      </c>
      <c r="D3635" s="29">
        <f>VALUE(LEFT(C3635,LEN(C3635)-FIND("km/h",C3635)+1)/3.6)</f>
        <v>1.2222222222222223</v>
      </c>
    </row>
    <row r="3636" spans="1:4">
      <c r="A3636" s="23" t="s">
        <v>554</v>
      </c>
      <c r="B3636" t="s">
        <v>545</v>
      </c>
      <c r="C3636" t="s">
        <v>789</v>
      </c>
      <c r="D3636" s="29">
        <f>VALUE(LEFT(C3636,LEN(C3636)-FIND("km/h",C3636)+1)/3.6)</f>
        <v>1.8055555555555556</v>
      </c>
    </row>
    <row r="3637" spans="1:4">
      <c r="A3637" s="23" t="s">
        <v>556</v>
      </c>
      <c r="B3637" t="s">
        <v>545</v>
      </c>
      <c r="C3637" t="s">
        <v>864</v>
      </c>
      <c r="D3637" s="26">
        <f>VALUE(LEFT(C3637,LEN(C3637)-7))</f>
        <v>318</v>
      </c>
    </row>
    <row r="3638" spans="1:4">
      <c r="A3638" s="23" t="s">
        <v>558</v>
      </c>
      <c r="B3638" t="s">
        <v>545</v>
      </c>
      <c r="C3638" t="s">
        <v>988</v>
      </c>
      <c r="D3638" s="29">
        <f>VALUE(LEFT(C3638,LEN(C3638)-3))</f>
        <v>5.3</v>
      </c>
    </row>
    <row r="3639" spans="1:4">
      <c r="A3639" s="23" t="s">
        <v>560</v>
      </c>
      <c r="B3639" t="s">
        <v>545</v>
      </c>
      <c r="C3639" t="s">
        <v>989</v>
      </c>
      <c r="D3639" s="29">
        <f>VALUE(LEFT(C3639,LEN(C3639)-3))</f>
        <v>696.5</v>
      </c>
    </row>
    <row r="3640" spans="1:4">
      <c r="A3640" s="23" t="s">
        <v>562</v>
      </c>
      <c r="B3640" t="s">
        <v>545</v>
      </c>
      <c r="C3640" t="s">
        <v>604</v>
      </c>
      <c r="D3640" s="29">
        <f>VALUE(LEFT(C3640,LEN(C3640)-3))</f>
        <v>0</v>
      </c>
    </row>
    <row r="3642" spans="1:4">
      <c r="A3642" s="23" t="s">
        <v>544</v>
      </c>
      <c r="B3642" t="s">
        <v>545</v>
      </c>
      <c r="C3642" t="s">
        <v>1001</v>
      </c>
      <c r="D3642" s="29">
        <f>VALUE(LEFT(C3642,LEN(C3642)-2))</f>
        <v>22</v>
      </c>
    </row>
    <row r="3643" spans="1:4">
      <c r="A3643" s="23" t="s">
        <v>547</v>
      </c>
      <c r="B3643" t="s">
        <v>545</v>
      </c>
      <c r="C3643" s="24">
        <v>0.64</v>
      </c>
      <c r="D3643" s="27">
        <f>VALUE(C3643*100)</f>
        <v>64</v>
      </c>
    </row>
    <row r="3644" spans="1:4">
      <c r="A3644" s="23" t="s">
        <v>548</v>
      </c>
      <c r="B3644" t="s">
        <v>545</v>
      </c>
      <c r="C3644" t="s">
        <v>621</v>
      </c>
      <c r="D3644" s="29">
        <f>VALUE(LEFT(C3644,LEN(C3644)-2))</f>
        <v>13.8</v>
      </c>
    </row>
    <row r="3645" spans="1:4">
      <c r="A3645" s="23" t="s">
        <v>550</v>
      </c>
      <c r="B3645" t="s">
        <v>545</v>
      </c>
      <c r="C3645" t="s">
        <v>680</v>
      </c>
      <c r="D3645" s="28">
        <f>VALUE(LEFT(C3645,LEN(C3645)-4))</f>
        <v>1017.9</v>
      </c>
    </row>
    <row r="3646" spans="1:4">
      <c r="A3646" s="23" t="s">
        <v>552</v>
      </c>
      <c r="B3646" t="s">
        <v>545</v>
      </c>
      <c r="C3646" t="s">
        <v>777</v>
      </c>
      <c r="D3646" s="29">
        <f>VALUE(LEFT(C3646,LEN(C3646)-FIND("km/h",C3646)+1)/3.6)</f>
        <v>1.1388888888888888</v>
      </c>
    </row>
    <row r="3647" spans="1:4">
      <c r="A3647" s="23" t="s">
        <v>554</v>
      </c>
      <c r="B3647" t="s">
        <v>545</v>
      </c>
      <c r="C3647" t="s">
        <v>923</v>
      </c>
      <c r="D3647" s="29">
        <f>VALUE(LEFT(C3647,LEN(C3647)-FIND("km/h",C3647)+1)/3.6)</f>
        <v>1.75</v>
      </c>
    </row>
    <row r="3648" spans="1:4">
      <c r="A3648" s="23" t="s">
        <v>556</v>
      </c>
      <c r="B3648" t="s">
        <v>545</v>
      </c>
      <c r="C3648" t="s">
        <v>1002</v>
      </c>
      <c r="D3648" s="26">
        <f>VALUE(LEFT(C3648,LEN(C3648)-7))</f>
        <v>317</v>
      </c>
    </row>
    <row r="3649" spans="1:4">
      <c r="A3649" s="23" t="s">
        <v>558</v>
      </c>
      <c r="B3649" t="s">
        <v>545</v>
      </c>
      <c r="C3649" t="s">
        <v>988</v>
      </c>
      <c r="D3649" s="29">
        <f>VALUE(LEFT(C3649,LEN(C3649)-3))</f>
        <v>5.3</v>
      </c>
    </row>
    <row r="3650" spans="1:4">
      <c r="A3650" s="23" t="s">
        <v>560</v>
      </c>
      <c r="B3650" t="s">
        <v>545</v>
      </c>
      <c r="C3650" t="s">
        <v>989</v>
      </c>
      <c r="D3650" s="29">
        <f>VALUE(LEFT(C3650,LEN(C3650)-3))</f>
        <v>696.5</v>
      </c>
    </row>
    <row r="3651" spans="1:4">
      <c r="A3651" s="23" t="s">
        <v>562</v>
      </c>
      <c r="B3651" t="s">
        <v>545</v>
      </c>
      <c r="C3651" t="s">
        <v>604</v>
      </c>
      <c r="D3651" s="29">
        <f>VALUE(LEFT(C3651,LEN(C3651)-3))</f>
        <v>0</v>
      </c>
    </row>
    <row r="3653" spans="1:4">
      <c r="A3653" s="23" t="s">
        <v>544</v>
      </c>
      <c r="B3653" t="s">
        <v>545</v>
      </c>
      <c r="C3653" t="s">
        <v>1003</v>
      </c>
      <c r="D3653" s="29">
        <f>VALUE(LEFT(C3653,LEN(C3653)-2))</f>
        <v>21</v>
      </c>
    </row>
    <row r="3654" spans="1:4">
      <c r="A3654" s="23" t="s">
        <v>547</v>
      </c>
      <c r="B3654" t="s">
        <v>545</v>
      </c>
      <c r="C3654" s="24">
        <v>0.74</v>
      </c>
      <c r="D3654" s="27">
        <f>VALUE(C3654*100)</f>
        <v>74</v>
      </c>
    </row>
    <row r="3655" spans="1:4">
      <c r="A3655" s="23" t="s">
        <v>548</v>
      </c>
      <c r="B3655" t="s">
        <v>545</v>
      </c>
      <c r="C3655" t="s">
        <v>905</v>
      </c>
      <c r="D3655" s="29">
        <f>VALUE(LEFT(C3655,LEN(C3655)-2))</f>
        <v>15.6</v>
      </c>
    </row>
    <row r="3656" spans="1:4">
      <c r="A3656" s="23" t="s">
        <v>550</v>
      </c>
      <c r="B3656" t="s">
        <v>545</v>
      </c>
      <c r="C3656" t="s">
        <v>607</v>
      </c>
      <c r="D3656" s="28">
        <f>VALUE(LEFT(C3656,LEN(C3656)-4))</f>
        <v>1017.7</v>
      </c>
    </row>
    <row r="3657" spans="1:4">
      <c r="A3657" s="23" t="s">
        <v>552</v>
      </c>
      <c r="B3657" t="s">
        <v>545</v>
      </c>
      <c r="C3657" t="s">
        <v>639</v>
      </c>
      <c r="D3657" s="29">
        <f>VALUE(LEFT(C3657,LEN(C3657)-FIND("km/h",C3657)+1)/3.6)</f>
        <v>0.91666666666666663</v>
      </c>
    </row>
    <row r="3658" spans="1:4">
      <c r="A3658" s="23" t="s">
        <v>554</v>
      </c>
      <c r="B3658" t="s">
        <v>545</v>
      </c>
      <c r="C3658" t="s">
        <v>609</v>
      </c>
      <c r="D3658" s="29">
        <f>VALUE(LEFT(C3658,LEN(C3658)-FIND("km/h",C3658)+1)/3.6)</f>
        <v>1.5277777777777777</v>
      </c>
    </row>
    <row r="3659" spans="1:4">
      <c r="A3659" s="23" t="s">
        <v>556</v>
      </c>
      <c r="B3659" t="s">
        <v>545</v>
      </c>
      <c r="C3659" t="s">
        <v>1004</v>
      </c>
      <c r="D3659" s="26">
        <f>VALUE(LEFT(C3659,LEN(C3659)-7))</f>
        <v>320</v>
      </c>
    </row>
    <row r="3660" spans="1:4">
      <c r="A3660" s="23" t="s">
        <v>558</v>
      </c>
      <c r="B3660" t="s">
        <v>545</v>
      </c>
      <c r="C3660" t="s">
        <v>988</v>
      </c>
      <c r="D3660" s="29">
        <f>VALUE(LEFT(C3660,LEN(C3660)-3))</f>
        <v>5.3</v>
      </c>
    </row>
    <row r="3661" spans="1:4">
      <c r="A3661" s="23" t="s">
        <v>560</v>
      </c>
      <c r="B3661" t="s">
        <v>545</v>
      </c>
      <c r="C3661" t="s">
        <v>989</v>
      </c>
      <c r="D3661" s="29">
        <f>VALUE(LEFT(C3661,LEN(C3661)-3))</f>
        <v>696.5</v>
      </c>
    </row>
    <row r="3662" spans="1:4">
      <c r="A3662" s="23" t="s">
        <v>562</v>
      </c>
      <c r="B3662" t="s">
        <v>545</v>
      </c>
      <c r="C3662" t="s">
        <v>604</v>
      </c>
      <c r="D3662" s="29">
        <f>VALUE(LEFT(C3662,LEN(C3662)-3))</f>
        <v>0</v>
      </c>
    </row>
    <row r="3664" spans="1:4">
      <c r="A3664" s="23" t="s">
        <v>544</v>
      </c>
      <c r="B3664" t="s">
        <v>545</v>
      </c>
      <c r="C3664" t="s">
        <v>1005</v>
      </c>
      <c r="D3664" s="29">
        <f>VALUE(LEFT(C3664,LEN(C3664)-2))</f>
        <v>23.2</v>
      </c>
    </row>
    <row r="3665" spans="1:4">
      <c r="A3665" s="23" t="s">
        <v>547</v>
      </c>
      <c r="B3665" t="s">
        <v>545</v>
      </c>
      <c r="C3665" s="24">
        <v>0.66</v>
      </c>
      <c r="D3665" s="27">
        <f>VALUE(C3665*100)</f>
        <v>66</v>
      </c>
    </row>
    <row r="3666" spans="1:4">
      <c r="A3666" s="23" t="s">
        <v>548</v>
      </c>
      <c r="B3666" t="s">
        <v>545</v>
      </c>
      <c r="C3666" t="s">
        <v>1006</v>
      </c>
      <c r="D3666" s="29">
        <f>VALUE(LEFT(C3666,LEN(C3666)-2))</f>
        <v>15.2</v>
      </c>
    </row>
    <row r="3667" spans="1:4">
      <c r="A3667" s="23" t="s">
        <v>550</v>
      </c>
      <c r="B3667" t="s">
        <v>545</v>
      </c>
      <c r="C3667" t="s">
        <v>1007</v>
      </c>
      <c r="D3667" s="28">
        <f>VALUE(LEFT(C3667,LEN(C3667)-4))</f>
        <v>1013.5</v>
      </c>
    </row>
    <row r="3668" spans="1:4">
      <c r="A3668" s="23" t="s">
        <v>552</v>
      </c>
      <c r="B3668" t="s">
        <v>545</v>
      </c>
      <c r="C3668" t="s">
        <v>1008</v>
      </c>
      <c r="D3668" s="29">
        <f>VALUE(LEFT(C3668,LEN(C3668)-FIND("km/h",C3668)+1)/3.6)</f>
        <v>1.0277777777777779</v>
      </c>
    </row>
    <row r="3669" spans="1:4">
      <c r="A3669" s="23" t="s">
        <v>554</v>
      </c>
      <c r="B3669" t="s">
        <v>545</v>
      </c>
      <c r="C3669" t="s">
        <v>721</v>
      </c>
      <c r="D3669" s="29">
        <f>VALUE(LEFT(C3669,LEN(C3669)-FIND("km/h",C3669)+1)/3.6)</f>
        <v>1.5555555555555554</v>
      </c>
    </row>
    <row r="3670" spans="1:4">
      <c r="A3670" s="23" t="s">
        <v>556</v>
      </c>
      <c r="B3670" t="s">
        <v>545</v>
      </c>
      <c r="C3670" t="s">
        <v>594</v>
      </c>
      <c r="D3670" s="26">
        <f>VALUE(LEFT(C3670,LEN(C3670)-7))</f>
        <v>326</v>
      </c>
    </row>
    <row r="3671" spans="1:4">
      <c r="A3671" s="23" t="s">
        <v>558</v>
      </c>
      <c r="B3671" t="s">
        <v>545</v>
      </c>
      <c r="C3671" t="s">
        <v>988</v>
      </c>
      <c r="D3671" s="29">
        <f>VALUE(LEFT(C3671,LEN(C3671)-3))</f>
        <v>5.3</v>
      </c>
    </row>
    <row r="3672" spans="1:4">
      <c r="A3672" s="23" t="s">
        <v>560</v>
      </c>
      <c r="B3672" t="s">
        <v>545</v>
      </c>
      <c r="C3672" t="s">
        <v>989</v>
      </c>
      <c r="D3672" s="29">
        <f>VALUE(LEFT(C3672,LEN(C3672)-3))</f>
        <v>696.5</v>
      </c>
    </row>
    <row r="3673" spans="1:4">
      <c r="A3673" s="23" t="s">
        <v>562</v>
      </c>
      <c r="B3673" t="s">
        <v>545</v>
      </c>
      <c r="C3673" t="s">
        <v>604</v>
      </c>
      <c r="D3673" s="29">
        <f>VALUE(LEFT(C3673,LEN(C3673)-3))</f>
        <v>0</v>
      </c>
    </row>
    <row r="3675" spans="1:4">
      <c r="A3675" s="23" t="s">
        <v>544</v>
      </c>
      <c r="B3675" t="s">
        <v>545</v>
      </c>
      <c r="C3675" t="s">
        <v>1009</v>
      </c>
      <c r="D3675" s="29">
        <f>VALUE(LEFT(C3675,LEN(C3675)-2))</f>
        <v>24.8</v>
      </c>
    </row>
    <row r="3676" spans="1:4">
      <c r="A3676" s="23" t="s">
        <v>547</v>
      </c>
      <c r="B3676" t="s">
        <v>545</v>
      </c>
      <c r="C3676" s="24">
        <v>0.49</v>
      </c>
      <c r="D3676" s="27">
        <f>VALUE(C3676*100)</f>
        <v>49</v>
      </c>
    </row>
    <row r="3677" spans="1:4">
      <c r="A3677" s="23" t="s">
        <v>548</v>
      </c>
      <c r="B3677" t="s">
        <v>545</v>
      </c>
      <c r="C3677" t="s">
        <v>678</v>
      </c>
      <c r="D3677" s="29">
        <f>VALUE(LEFT(C3677,LEN(C3677)-2))</f>
        <v>11.2</v>
      </c>
    </row>
    <row r="3678" spans="1:4">
      <c r="A3678" s="23" t="s">
        <v>550</v>
      </c>
      <c r="B3678" t="s">
        <v>545</v>
      </c>
      <c r="C3678" t="s">
        <v>806</v>
      </c>
      <c r="D3678" s="28">
        <f>VALUE(LEFT(C3678,LEN(C3678)-4))</f>
        <v>1011.5</v>
      </c>
    </row>
    <row r="3679" spans="1:4">
      <c r="A3679" s="23" t="s">
        <v>552</v>
      </c>
      <c r="B3679" t="s">
        <v>545</v>
      </c>
      <c r="C3679" t="s">
        <v>994</v>
      </c>
      <c r="D3679" s="29">
        <f>VALUE(LEFT(C3679,LEN(C3679)-FIND("km/h",C3679)+1)/3.6)</f>
        <v>1.6944444444444442</v>
      </c>
    </row>
    <row r="3680" spans="1:4">
      <c r="A3680" s="23" t="s">
        <v>554</v>
      </c>
      <c r="B3680" t="s">
        <v>545</v>
      </c>
      <c r="C3680" t="s">
        <v>762</v>
      </c>
      <c r="D3680" s="29">
        <f>VALUE(LEFT(C3680,LEN(C3680)-FIND("km/h",C3680)+1)/3.6)</f>
        <v>2.4722222222222223</v>
      </c>
    </row>
    <row r="3681" spans="1:4">
      <c r="A3681" s="23" t="s">
        <v>556</v>
      </c>
      <c r="B3681" t="s">
        <v>545</v>
      </c>
      <c r="C3681" t="s">
        <v>1010</v>
      </c>
      <c r="D3681" s="26">
        <f>VALUE(LEFT(C3681,LEN(C3681)-7))</f>
        <v>55</v>
      </c>
    </row>
    <row r="3682" spans="1:4">
      <c r="A3682" s="23" t="s">
        <v>558</v>
      </c>
      <c r="B3682" t="s">
        <v>545</v>
      </c>
      <c r="C3682" t="s">
        <v>988</v>
      </c>
      <c r="D3682" s="29">
        <f>VALUE(LEFT(C3682,LEN(C3682)-3))</f>
        <v>5.3</v>
      </c>
    </row>
    <row r="3683" spans="1:4">
      <c r="A3683" s="23" t="s">
        <v>560</v>
      </c>
      <c r="B3683" t="s">
        <v>545</v>
      </c>
      <c r="C3683" t="s">
        <v>989</v>
      </c>
      <c r="D3683" s="29">
        <f>VALUE(LEFT(C3683,LEN(C3683)-3))</f>
        <v>696.5</v>
      </c>
    </row>
    <row r="3684" spans="1:4">
      <c r="A3684" s="23" t="s">
        <v>562</v>
      </c>
      <c r="B3684" t="s">
        <v>545</v>
      </c>
      <c r="C3684" t="s">
        <v>604</v>
      </c>
      <c r="D3684" s="29">
        <f>VALUE(LEFT(C3684,LEN(C3684)-3))</f>
        <v>0</v>
      </c>
    </row>
    <row r="3686" spans="1:4">
      <c r="A3686" s="23" t="s">
        <v>544</v>
      </c>
      <c r="B3686" t="s">
        <v>545</v>
      </c>
      <c r="C3686" t="s">
        <v>1011</v>
      </c>
      <c r="D3686" s="29">
        <f>VALUE(LEFT(C3686,LEN(C3686)-2))</f>
        <v>25.2</v>
      </c>
    </row>
    <row r="3687" spans="1:4">
      <c r="A3687" s="23" t="s">
        <v>547</v>
      </c>
      <c r="B3687" t="s">
        <v>545</v>
      </c>
      <c r="C3687" s="24">
        <v>0.38</v>
      </c>
      <c r="D3687" s="27">
        <f>VALUE(C3687*100)</f>
        <v>38</v>
      </c>
    </row>
    <row r="3688" spans="1:4">
      <c r="A3688" s="23" t="s">
        <v>548</v>
      </c>
      <c r="B3688" t="s">
        <v>545</v>
      </c>
      <c r="C3688" t="s">
        <v>1012</v>
      </c>
      <c r="D3688" s="29">
        <f>VALUE(LEFT(C3688,LEN(C3688)-2))</f>
        <v>8.3000000000000007</v>
      </c>
    </row>
    <row r="3689" spans="1:4">
      <c r="A3689" s="23" t="s">
        <v>550</v>
      </c>
      <c r="B3689" t="s">
        <v>545</v>
      </c>
      <c r="C3689" t="s">
        <v>1013</v>
      </c>
      <c r="D3689" s="28">
        <f>VALUE(LEFT(C3689,LEN(C3689)-4))</f>
        <v>1011.1</v>
      </c>
    </row>
    <row r="3690" spans="1:4">
      <c r="A3690" s="23" t="s">
        <v>552</v>
      </c>
      <c r="B3690" t="s">
        <v>545</v>
      </c>
      <c r="C3690" t="s">
        <v>646</v>
      </c>
      <c r="D3690" s="29">
        <f>VALUE(LEFT(C3690,LEN(C3690)-FIND("km/h",C3690)+1)/3.6)</f>
        <v>1.5833333333333333</v>
      </c>
    </row>
    <row r="3691" spans="1:4">
      <c r="A3691" s="23" t="s">
        <v>554</v>
      </c>
      <c r="B3691" t="s">
        <v>545</v>
      </c>
      <c r="C3691" t="s">
        <v>879</v>
      </c>
      <c r="D3691" s="29">
        <f>VALUE(LEFT(C3691,LEN(C3691)-FIND("km/h",C3691)+1)/3.6)</f>
        <v>2.2777777777777777</v>
      </c>
    </row>
    <row r="3692" spans="1:4">
      <c r="A3692" s="23" t="s">
        <v>556</v>
      </c>
      <c r="B3692" t="s">
        <v>545</v>
      </c>
      <c r="C3692" t="s">
        <v>620</v>
      </c>
      <c r="D3692" s="26">
        <f>VALUE(LEFT(C3692,LEN(C3692)-7))</f>
        <v>90</v>
      </c>
    </row>
    <row r="3693" spans="1:4">
      <c r="A3693" s="23" t="s">
        <v>558</v>
      </c>
      <c r="B3693" t="s">
        <v>545</v>
      </c>
      <c r="C3693" t="s">
        <v>988</v>
      </c>
      <c r="D3693" s="29">
        <f>VALUE(LEFT(C3693,LEN(C3693)-3))</f>
        <v>5.3</v>
      </c>
    </row>
    <row r="3694" spans="1:4">
      <c r="A3694" s="23" t="s">
        <v>560</v>
      </c>
      <c r="B3694" t="s">
        <v>545</v>
      </c>
      <c r="C3694" t="s">
        <v>989</v>
      </c>
      <c r="D3694" s="29">
        <f>VALUE(LEFT(C3694,LEN(C3694)-3))</f>
        <v>696.5</v>
      </c>
    </row>
    <row r="3695" spans="1:4">
      <c r="A3695" s="23" t="s">
        <v>562</v>
      </c>
      <c r="B3695" t="s">
        <v>545</v>
      </c>
      <c r="C3695" t="s">
        <v>604</v>
      </c>
      <c r="D3695" s="29">
        <f>VALUE(LEFT(C3695,LEN(C3695)-3))</f>
        <v>0</v>
      </c>
    </row>
    <row r="3697" spans="1:4">
      <c r="A3697" s="23" t="s">
        <v>544</v>
      </c>
      <c r="B3697" t="s">
        <v>545</v>
      </c>
      <c r="C3697" t="s">
        <v>1014</v>
      </c>
      <c r="D3697" s="29">
        <f>VALUE(LEFT(C3697,LEN(C3697)-2))</f>
        <v>22.6</v>
      </c>
    </row>
    <row r="3698" spans="1:4">
      <c r="A3698" s="23" t="s">
        <v>547</v>
      </c>
      <c r="B3698" t="s">
        <v>545</v>
      </c>
      <c r="C3698" s="24">
        <v>0.48</v>
      </c>
      <c r="D3698" s="27">
        <f>VALUE(C3698*100)</f>
        <v>48</v>
      </c>
    </row>
    <row r="3699" spans="1:4">
      <c r="A3699" s="23" t="s">
        <v>548</v>
      </c>
      <c r="B3699" t="s">
        <v>545</v>
      </c>
      <c r="C3699" t="s">
        <v>671</v>
      </c>
      <c r="D3699" s="29">
        <f>VALUE(LEFT(C3699,LEN(C3699)-2))</f>
        <v>10.5</v>
      </c>
    </row>
    <row r="3700" spans="1:4">
      <c r="A3700" s="23" t="s">
        <v>550</v>
      </c>
      <c r="B3700" t="s">
        <v>545</v>
      </c>
      <c r="C3700" t="s">
        <v>551</v>
      </c>
      <c r="D3700" s="28">
        <f>VALUE(LEFT(C3700,LEN(C3700)-4))</f>
        <v>1012.4</v>
      </c>
    </row>
    <row r="3701" spans="1:4">
      <c r="A3701" s="23" t="s">
        <v>552</v>
      </c>
      <c r="B3701" t="s">
        <v>545</v>
      </c>
      <c r="C3701" t="s">
        <v>854</v>
      </c>
      <c r="D3701" s="29">
        <f>VALUE(LEFT(C3701,LEN(C3701)-FIND("km/h",C3701)+1)/3.6)</f>
        <v>1.9722222222222221</v>
      </c>
    </row>
    <row r="3702" spans="1:4">
      <c r="A3702" s="23" t="s">
        <v>554</v>
      </c>
      <c r="B3702" t="s">
        <v>545</v>
      </c>
      <c r="C3702" t="s">
        <v>911</v>
      </c>
      <c r="D3702" s="29">
        <f>VALUE(LEFT(C3702,LEN(C3702)-FIND("km/h",C3702)+1)/3.6)</f>
        <v>2.7777777777777777</v>
      </c>
    </row>
    <row r="3703" spans="1:4">
      <c r="A3703" s="23" t="s">
        <v>556</v>
      </c>
      <c r="B3703" t="s">
        <v>545</v>
      </c>
      <c r="C3703" t="s">
        <v>1015</v>
      </c>
      <c r="D3703" s="26">
        <f>VALUE(LEFT(C3703,LEN(C3703)-7))</f>
        <v>270</v>
      </c>
    </row>
    <row r="3704" spans="1:4">
      <c r="A3704" s="23" t="s">
        <v>558</v>
      </c>
      <c r="B3704" t="s">
        <v>545</v>
      </c>
      <c r="C3704" t="s">
        <v>988</v>
      </c>
      <c r="D3704" s="29">
        <f>VALUE(LEFT(C3704,LEN(C3704)-3))</f>
        <v>5.3</v>
      </c>
    </row>
    <row r="3705" spans="1:4">
      <c r="A3705" s="23" t="s">
        <v>560</v>
      </c>
      <c r="B3705" t="s">
        <v>545</v>
      </c>
      <c r="C3705" t="s">
        <v>989</v>
      </c>
      <c r="D3705" s="29">
        <f>VALUE(LEFT(C3705,LEN(C3705)-3))</f>
        <v>696.5</v>
      </c>
    </row>
    <row r="3706" spans="1:4">
      <c r="A3706" s="23" t="s">
        <v>562</v>
      </c>
      <c r="B3706" t="s">
        <v>545</v>
      </c>
      <c r="C3706" t="s">
        <v>604</v>
      </c>
      <c r="D3706" s="29">
        <f>VALUE(LEFT(C3706,LEN(C3706)-3))</f>
        <v>0</v>
      </c>
    </row>
    <row r="3708" spans="1:4">
      <c r="A3708" s="23" t="s">
        <v>544</v>
      </c>
      <c r="B3708" t="s">
        <v>545</v>
      </c>
      <c r="C3708" t="s">
        <v>787</v>
      </c>
      <c r="D3708" s="29">
        <f>VALUE(LEFT(C3708,LEN(C3708)-2))</f>
        <v>19.2</v>
      </c>
    </row>
    <row r="3709" spans="1:4">
      <c r="A3709" s="23" t="s">
        <v>547</v>
      </c>
      <c r="B3709" t="s">
        <v>545</v>
      </c>
      <c r="C3709" s="24">
        <v>0.73</v>
      </c>
      <c r="D3709" s="27">
        <f>VALUE(C3709*100)</f>
        <v>73</v>
      </c>
    </row>
    <row r="3710" spans="1:4">
      <c r="A3710" s="23" t="s">
        <v>548</v>
      </c>
      <c r="B3710" t="s">
        <v>545</v>
      </c>
      <c r="C3710" t="s">
        <v>863</v>
      </c>
      <c r="D3710" s="29">
        <f>VALUE(LEFT(C3710,LEN(C3710)-2))</f>
        <v>13.9</v>
      </c>
    </row>
    <row r="3711" spans="1:4">
      <c r="A3711" s="23" t="s">
        <v>550</v>
      </c>
      <c r="B3711" t="s">
        <v>545</v>
      </c>
      <c r="C3711" t="s">
        <v>891</v>
      </c>
      <c r="D3711" s="28">
        <f>VALUE(LEFT(C3711,LEN(C3711)-4))</f>
        <v>1014.7</v>
      </c>
    </row>
    <row r="3712" spans="1:4">
      <c r="A3712" s="23" t="s">
        <v>552</v>
      </c>
      <c r="B3712" t="s">
        <v>545</v>
      </c>
      <c r="C3712" t="s">
        <v>636</v>
      </c>
      <c r="D3712" s="29">
        <f>VALUE(LEFT(C3712,LEN(C3712)-FIND("km/h",C3712)+1)/3.6)</f>
        <v>1.3333333333333333</v>
      </c>
    </row>
    <row r="3713" spans="1:4">
      <c r="A3713" s="23" t="s">
        <v>554</v>
      </c>
      <c r="B3713" t="s">
        <v>545</v>
      </c>
      <c r="C3713" t="s">
        <v>848</v>
      </c>
      <c r="D3713" s="29">
        <f>VALUE(LEFT(C3713,LEN(C3713)-FIND("km/h",C3713)+1)/3.6)</f>
        <v>1.8888888888888888</v>
      </c>
    </row>
    <row r="3714" spans="1:4">
      <c r="A3714" s="23" t="s">
        <v>556</v>
      </c>
      <c r="B3714" t="s">
        <v>545</v>
      </c>
      <c r="C3714" t="s">
        <v>1016</v>
      </c>
      <c r="D3714" s="26">
        <f>VALUE(LEFT(C3714,LEN(C3714)-7))</f>
        <v>247</v>
      </c>
    </row>
    <row r="3715" spans="1:4">
      <c r="A3715" s="23" t="s">
        <v>558</v>
      </c>
      <c r="B3715" t="s">
        <v>545</v>
      </c>
      <c r="C3715" t="s">
        <v>988</v>
      </c>
      <c r="D3715" s="29">
        <f>VALUE(LEFT(C3715,LEN(C3715)-3))</f>
        <v>5.3</v>
      </c>
    </row>
    <row r="3716" spans="1:4">
      <c r="A3716" s="23" t="s">
        <v>560</v>
      </c>
      <c r="B3716" t="s">
        <v>545</v>
      </c>
      <c r="C3716" t="s">
        <v>989</v>
      </c>
      <c r="D3716" s="29">
        <f>VALUE(LEFT(C3716,LEN(C3716)-3))</f>
        <v>696.5</v>
      </c>
    </row>
    <row r="3717" spans="1:4">
      <c r="A3717" s="23" t="s">
        <v>562</v>
      </c>
      <c r="B3717" t="s">
        <v>545</v>
      </c>
      <c r="C3717" t="s">
        <v>604</v>
      </c>
      <c r="D3717" s="29">
        <f>VALUE(LEFT(C3717,LEN(C3717)-3))</f>
        <v>0</v>
      </c>
    </row>
    <row r="3719" spans="1:4">
      <c r="A3719" s="23" t="s">
        <v>544</v>
      </c>
      <c r="B3719" t="s">
        <v>545</v>
      </c>
      <c r="C3719" t="s">
        <v>1017</v>
      </c>
      <c r="D3719" s="29">
        <f>VALUE(LEFT(C3719,LEN(C3719)-2))</f>
        <v>19.399999999999999</v>
      </c>
    </row>
    <row r="3720" spans="1:4">
      <c r="A3720" s="23" t="s">
        <v>547</v>
      </c>
      <c r="B3720" t="s">
        <v>545</v>
      </c>
      <c r="C3720" s="24">
        <v>0.69</v>
      </c>
      <c r="D3720" s="27">
        <f>VALUE(C3720*100)</f>
        <v>69</v>
      </c>
    </row>
    <row r="3721" spans="1:4">
      <c r="A3721" s="23" t="s">
        <v>548</v>
      </c>
      <c r="B3721" t="s">
        <v>545</v>
      </c>
      <c r="C3721" t="s">
        <v>931</v>
      </c>
      <c r="D3721" s="29">
        <f>VALUE(LEFT(C3721,LEN(C3721)-2))</f>
        <v>13</v>
      </c>
    </row>
    <row r="3722" spans="1:4">
      <c r="A3722" s="23" t="s">
        <v>550</v>
      </c>
      <c r="B3722" t="s">
        <v>545</v>
      </c>
      <c r="C3722" t="s">
        <v>952</v>
      </c>
      <c r="D3722" s="28">
        <f>VALUE(LEFT(C3722,LEN(C3722)-4))</f>
        <v>1015</v>
      </c>
    </row>
    <row r="3723" spans="1:4">
      <c r="A3723" s="23" t="s">
        <v>552</v>
      </c>
      <c r="B3723" t="s">
        <v>545</v>
      </c>
      <c r="C3723" t="s">
        <v>669</v>
      </c>
      <c r="D3723" s="29">
        <f>VALUE(LEFT(C3723,LEN(C3723)-FIND("km/h",C3723)+1)/3.6)</f>
        <v>1.4722222222222221</v>
      </c>
    </row>
    <row r="3724" spans="1:4">
      <c r="A3724" s="23" t="s">
        <v>554</v>
      </c>
      <c r="B3724" t="s">
        <v>545</v>
      </c>
      <c r="C3724" t="s">
        <v>953</v>
      </c>
      <c r="D3724" s="29">
        <f>VALUE(LEFT(C3724,LEN(C3724)-FIND("km/h",C3724)+1)/3.6)</f>
        <v>2.1666666666666665</v>
      </c>
    </row>
    <row r="3725" spans="1:4">
      <c r="A3725" s="23" t="s">
        <v>556</v>
      </c>
      <c r="B3725" t="s">
        <v>545</v>
      </c>
      <c r="C3725" t="s">
        <v>1018</v>
      </c>
      <c r="D3725" s="26">
        <f>VALUE(LEFT(C3725,LEN(C3725)-7))</f>
        <v>273</v>
      </c>
    </row>
    <row r="3726" spans="1:4">
      <c r="A3726" s="23" t="s">
        <v>558</v>
      </c>
      <c r="B3726" t="s">
        <v>545</v>
      </c>
      <c r="C3726" t="s">
        <v>988</v>
      </c>
      <c r="D3726" s="29">
        <f>VALUE(LEFT(C3726,LEN(C3726)-3))</f>
        <v>5.3</v>
      </c>
    </row>
    <row r="3727" spans="1:4">
      <c r="A3727" s="23" t="s">
        <v>560</v>
      </c>
      <c r="B3727" t="s">
        <v>545</v>
      </c>
      <c r="C3727" t="s">
        <v>989</v>
      </c>
      <c r="D3727" s="29">
        <f>VALUE(LEFT(C3727,LEN(C3727)-3))</f>
        <v>696.5</v>
      </c>
    </row>
    <row r="3728" spans="1:4">
      <c r="A3728" s="23" t="s">
        <v>562</v>
      </c>
      <c r="B3728" t="s">
        <v>545</v>
      </c>
      <c r="C3728" t="s">
        <v>604</v>
      </c>
      <c r="D3728" s="29">
        <f>VALUE(LEFT(C3728,LEN(C3728)-3))</f>
        <v>0</v>
      </c>
    </row>
    <row r="3730" spans="1:4">
      <c r="A3730" s="23" t="s">
        <v>544</v>
      </c>
      <c r="B3730" t="s">
        <v>545</v>
      </c>
      <c r="C3730" t="s">
        <v>881</v>
      </c>
      <c r="D3730" s="29">
        <f>VALUE(LEFT(C3730,LEN(C3730)-2))</f>
        <v>19.5</v>
      </c>
    </row>
    <row r="3731" spans="1:4">
      <c r="A3731" s="23" t="s">
        <v>547</v>
      </c>
      <c r="B3731" t="s">
        <v>545</v>
      </c>
      <c r="C3731" s="24">
        <v>0.65</v>
      </c>
      <c r="D3731" s="27">
        <f>VALUE(C3731*100)</f>
        <v>65</v>
      </c>
    </row>
    <row r="3732" spans="1:4">
      <c r="A3732" s="23" t="s">
        <v>548</v>
      </c>
      <c r="B3732" t="s">
        <v>545</v>
      </c>
      <c r="C3732" t="s">
        <v>696</v>
      </c>
      <c r="D3732" s="29">
        <f>VALUE(LEFT(C3732,LEN(C3732)-2))</f>
        <v>12.1</v>
      </c>
    </row>
    <row r="3733" spans="1:4">
      <c r="A3733" s="23" t="s">
        <v>550</v>
      </c>
      <c r="B3733" t="s">
        <v>545</v>
      </c>
      <c r="C3733" t="s">
        <v>788</v>
      </c>
      <c r="D3733" s="28">
        <f>VALUE(LEFT(C3733,LEN(C3733)-4))</f>
        <v>1013.3</v>
      </c>
    </row>
    <row r="3734" spans="1:4">
      <c r="A3734" s="23" t="s">
        <v>552</v>
      </c>
      <c r="B3734" t="s">
        <v>545</v>
      </c>
      <c r="C3734" t="s">
        <v>673</v>
      </c>
      <c r="D3734" s="29">
        <f>VALUE(LEFT(C3734,LEN(C3734)-FIND("km/h",C3734)+1)/3.6)</f>
        <v>1.3055555555555556</v>
      </c>
    </row>
    <row r="3735" spans="1:4">
      <c r="A3735" s="23" t="s">
        <v>554</v>
      </c>
      <c r="B3735" t="s">
        <v>545</v>
      </c>
      <c r="C3735" t="s">
        <v>854</v>
      </c>
      <c r="D3735" s="29">
        <f>VALUE(LEFT(C3735,LEN(C3735)-FIND("km/h",C3735)+1)/3.6)</f>
        <v>1.9722222222222221</v>
      </c>
    </row>
    <row r="3736" spans="1:4">
      <c r="A3736" s="23" t="s">
        <v>556</v>
      </c>
      <c r="B3736" t="s">
        <v>545</v>
      </c>
      <c r="C3736" t="s">
        <v>1019</v>
      </c>
      <c r="D3736" s="26">
        <f>VALUE(LEFT(C3736,LEN(C3736)-7))</f>
        <v>239</v>
      </c>
    </row>
    <row r="3737" spans="1:4">
      <c r="A3737" s="23" t="s">
        <v>558</v>
      </c>
      <c r="B3737" t="s">
        <v>545</v>
      </c>
      <c r="C3737" t="s">
        <v>988</v>
      </c>
      <c r="D3737" s="29">
        <f>VALUE(LEFT(C3737,LEN(C3737)-3))</f>
        <v>5.3</v>
      </c>
    </row>
    <row r="3738" spans="1:4">
      <c r="A3738" s="23" t="s">
        <v>560</v>
      </c>
      <c r="B3738" t="s">
        <v>545</v>
      </c>
      <c r="C3738" t="s">
        <v>989</v>
      </c>
      <c r="D3738" s="29">
        <f>VALUE(LEFT(C3738,LEN(C3738)-3))</f>
        <v>696.5</v>
      </c>
    </row>
    <row r="3739" spans="1:4">
      <c r="A3739" s="23" t="s">
        <v>562</v>
      </c>
      <c r="B3739" t="s">
        <v>545</v>
      </c>
      <c r="C3739" t="s">
        <v>604</v>
      </c>
      <c r="D3739" s="29">
        <f>VALUE(LEFT(C3739,LEN(C3739)-3))</f>
        <v>0</v>
      </c>
    </row>
    <row r="3741" spans="1:4">
      <c r="A3741" s="23" t="s">
        <v>544</v>
      </c>
      <c r="B3741" t="s">
        <v>545</v>
      </c>
      <c r="C3741" t="s">
        <v>1020</v>
      </c>
      <c r="D3741" s="29">
        <f>VALUE(LEFT(C3741,LEN(C3741)-2))</f>
        <v>19.7</v>
      </c>
    </row>
    <row r="3742" spans="1:4">
      <c r="A3742" s="23" t="s">
        <v>547</v>
      </c>
      <c r="B3742" t="s">
        <v>545</v>
      </c>
      <c r="C3742" s="24">
        <v>0.7</v>
      </c>
      <c r="D3742" s="27">
        <f>VALUE(C3742*100)</f>
        <v>70</v>
      </c>
    </row>
    <row r="3743" spans="1:4">
      <c r="A3743" s="23" t="s">
        <v>548</v>
      </c>
      <c r="B3743" t="s">
        <v>545</v>
      </c>
      <c r="C3743" t="s">
        <v>642</v>
      </c>
      <c r="D3743" s="29">
        <f>VALUE(LEFT(C3743,LEN(C3743)-2))</f>
        <v>13.7</v>
      </c>
    </row>
    <row r="3744" spans="1:4">
      <c r="A3744" s="23" t="s">
        <v>550</v>
      </c>
      <c r="B3744" t="s">
        <v>545</v>
      </c>
      <c r="C3744" t="s">
        <v>1021</v>
      </c>
      <c r="D3744" s="28">
        <f>VALUE(LEFT(C3744,LEN(C3744)-4))</f>
        <v>1013</v>
      </c>
    </row>
    <row r="3745" spans="1:4">
      <c r="A3745" s="23" t="s">
        <v>552</v>
      </c>
      <c r="B3745" t="s">
        <v>545</v>
      </c>
      <c r="C3745" t="s">
        <v>826</v>
      </c>
      <c r="D3745" s="29">
        <f>VALUE(LEFT(C3745,LEN(C3745)-FIND("km/h",C3745)+1)/3.6)</f>
        <v>2.6944444444444442</v>
      </c>
    </row>
    <row r="3746" spans="1:4">
      <c r="A3746" s="23" t="s">
        <v>554</v>
      </c>
      <c r="B3746" t="s">
        <v>545</v>
      </c>
      <c r="C3746" t="s">
        <v>1022</v>
      </c>
      <c r="D3746" s="29">
        <f>VALUE(LEFT(C3746,LEN(C3746)-FIND("km/h",C3746)+1)/3.6)</f>
        <v>3.6666666666666665</v>
      </c>
    </row>
    <row r="3747" spans="1:4">
      <c r="A3747" s="23" t="s">
        <v>556</v>
      </c>
      <c r="B3747" t="s">
        <v>545</v>
      </c>
      <c r="C3747" t="s">
        <v>1023</v>
      </c>
      <c r="D3747" s="26">
        <f>VALUE(LEFT(C3747,LEN(C3747)-7))</f>
        <v>209</v>
      </c>
    </row>
    <row r="3748" spans="1:4">
      <c r="A3748" s="23" t="s">
        <v>558</v>
      </c>
      <c r="B3748" t="s">
        <v>545</v>
      </c>
      <c r="C3748" t="s">
        <v>1024</v>
      </c>
      <c r="D3748" s="29">
        <f>VALUE(LEFT(C3748,LEN(C3748)-3))</f>
        <v>6.3</v>
      </c>
    </row>
    <row r="3749" spans="1:4">
      <c r="A3749" s="23" t="s">
        <v>560</v>
      </c>
      <c r="B3749" t="s">
        <v>545</v>
      </c>
      <c r="C3749" t="s">
        <v>1025</v>
      </c>
      <c r="D3749" s="29">
        <f>VALUE(LEFT(C3749,LEN(C3749)-3))</f>
        <v>697.5</v>
      </c>
    </row>
    <row r="3750" spans="1:4">
      <c r="A3750" s="23" t="s">
        <v>562</v>
      </c>
      <c r="B3750" t="s">
        <v>545</v>
      </c>
      <c r="C3750" t="s">
        <v>581</v>
      </c>
      <c r="D3750" s="29">
        <f>VALUE(LEFT(C3750,LEN(C3750)-3))</f>
        <v>1</v>
      </c>
    </row>
    <row r="3752" spans="1:4">
      <c r="A3752" s="23" t="s">
        <v>544</v>
      </c>
      <c r="B3752" t="s">
        <v>545</v>
      </c>
      <c r="C3752" t="s">
        <v>816</v>
      </c>
      <c r="D3752" s="29">
        <f>VALUE(LEFT(C3752,LEN(C3752)-2))</f>
        <v>17</v>
      </c>
    </row>
    <row r="3753" spans="1:4">
      <c r="A3753" s="23" t="s">
        <v>547</v>
      </c>
      <c r="B3753" t="s">
        <v>545</v>
      </c>
      <c r="C3753" s="24">
        <v>0.85</v>
      </c>
      <c r="D3753" s="27">
        <f>VALUE(C3753*100)</f>
        <v>85</v>
      </c>
    </row>
    <row r="3754" spans="1:4">
      <c r="A3754" s="23" t="s">
        <v>548</v>
      </c>
      <c r="B3754" t="s">
        <v>545</v>
      </c>
      <c r="C3754" t="s">
        <v>943</v>
      </c>
      <c r="D3754" s="29">
        <f>VALUE(LEFT(C3754,LEN(C3754)-2))</f>
        <v>14.3</v>
      </c>
    </row>
    <row r="3755" spans="1:4">
      <c r="A3755" s="23" t="s">
        <v>550</v>
      </c>
      <c r="B3755" t="s">
        <v>545</v>
      </c>
      <c r="C3755" t="s">
        <v>805</v>
      </c>
      <c r="D3755" s="28">
        <f>VALUE(LEFT(C3755,LEN(C3755)-4))</f>
        <v>1015.6</v>
      </c>
    </row>
    <row r="3756" spans="1:4">
      <c r="A3756" s="23" t="s">
        <v>552</v>
      </c>
      <c r="B3756" t="s">
        <v>545</v>
      </c>
      <c r="C3756" t="s">
        <v>635</v>
      </c>
      <c r="D3756" s="29">
        <f>VALUE(LEFT(C3756,LEN(C3756)-FIND("km/h",C3756)+1)/3.6)</f>
        <v>0.80555555555555547</v>
      </c>
    </row>
    <row r="3757" spans="1:4">
      <c r="A3757" s="23" t="s">
        <v>554</v>
      </c>
      <c r="B3757" t="s">
        <v>545</v>
      </c>
      <c r="C3757" t="s">
        <v>817</v>
      </c>
      <c r="D3757" s="29">
        <f>VALUE(LEFT(C3757,LEN(C3757)-FIND("km/h",C3757)+1)/3.6)</f>
        <v>1.3611111111111112</v>
      </c>
    </row>
    <row r="3758" spans="1:4">
      <c r="A3758" s="23" t="s">
        <v>556</v>
      </c>
      <c r="B3758" t="s">
        <v>545</v>
      </c>
      <c r="C3758" t="s">
        <v>631</v>
      </c>
      <c r="D3758" s="26">
        <f>VALUE(LEFT(C3758,LEN(C3758)-7))</f>
        <v>119</v>
      </c>
    </row>
    <row r="3759" spans="1:4">
      <c r="A3759" s="23" t="s">
        <v>558</v>
      </c>
      <c r="B3759" t="s">
        <v>545</v>
      </c>
      <c r="C3759" t="s">
        <v>1026</v>
      </c>
      <c r="D3759" s="29">
        <f>VALUE(LEFT(C3759,LEN(C3759)-3))</f>
        <v>10.3</v>
      </c>
    </row>
    <row r="3760" spans="1:4">
      <c r="A3760" s="23" t="s">
        <v>560</v>
      </c>
      <c r="B3760" t="s">
        <v>545</v>
      </c>
      <c r="C3760" t="s">
        <v>1027</v>
      </c>
      <c r="D3760" s="29">
        <f>VALUE(LEFT(C3760,LEN(C3760)-3))</f>
        <v>701.5</v>
      </c>
    </row>
    <row r="3761" spans="1:4">
      <c r="A3761" s="23" t="s">
        <v>562</v>
      </c>
      <c r="B3761" t="s">
        <v>545</v>
      </c>
      <c r="C3761" t="s">
        <v>589</v>
      </c>
      <c r="D3761" s="29">
        <f>VALUE(LEFT(C3761,LEN(C3761)-3))</f>
        <v>4</v>
      </c>
    </row>
    <row r="3763" spans="1:4">
      <c r="A3763" s="23" t="s">
        <v>544</v>
      </c>
      <c r="B3763" t="s">
        <v>545</v>
      </c>
      <c r="C3763" t="s">
        <v>816</v>
      </c>
      <c r="D3763" s="29">
        <f>VALUE(LEFT(C3763,LEN(C3763)-2))</f>
        <v>17</v>
      </c>
    </row>
    <row r="3764" spans="1:4">
      <c r="A3764" s="23" t="s">
        <v>547</v>
      </c>
      <c r="B3764" t="s">
        <v>545</v>
      </c>
      <c r="C3764" s="24">
        <v>0.91</v>
      </c>
      <c r="D3764" s="27">
        <f>VALUE(C3764*100)</f>
        <v>91</v>
      </c>
    </row>
    <row r="3765" spans="1:4">
      <c r="A3765" s="23" t="s">
        <v>548</v>
      </c>
      <c r="B3765" t="s">
        <v>545</v>
      </c>
      <c r="C3765" t="s">
        <v>1028</v>
      </c>
      <c r="D3765" s="29">
        <f>VALUE(LEFT(C3765,LEN(C3765)-2))</f>
        <v>15.4</v>
      </c>
    </row>
    <row r="3766" spans="1:4">
      <c r="A3766" s="23" t="s">
        <v>550</v>
      </c>
      <c r="B3766" t="s">
        <v>545</v>
      </c>
      <c r="C3766" t="s">
        <v>1029</v>
      </c>
      <c r="D3766" s="28">
        <f>VALUE(LEFT(C3766,LEN(C3766)-4))</f>
        <v>1015.5</v>
      </c>
    </row>
    <row r="3767" spans="1:4">
      <c r="A3767" s="23" t="s">
        <v>552</v>
      </c>
      <c r="B3767" t="s">
        <v>545</v>
      </c>
      <c r="C3767" t="s">
        <v>1030</v>
      </c>
      <c r="D3767" s="29">
        <f>VALUE(LEFT(C3767,LEN(C3767)-FIND("km/h",C3767)+1)/3.6)</f>
        <v>0.66666666666666663</v>
      </c>
    </row>
    <row r="3768" spans="1:4">
      <c r="A3768" s="23" t="s">
        <v>554</v>
      </c>
      <c r="B3768" t="s">
        <v>545</v>
      </c>
      <c r="C3768" t="s">
        <v>800</v>
      </c>
      <c r="D3768" s="29">
        <f>VALUE(LEFT(C3768,LEN(C3768)-FIND("km/h",C3768)+1)/3.6)</f>
        <v>1.0555555555555556</v>
      </c>
    </row>
    <row r="3769" spans="1:4">
      <c r="A3769" s="23" t="s">
        <v>556</v>
      </c>
      <c r="B3769" t="s">
        <v>545</v>
      </c>
      <c r="C3769" t="s">
        <v>1031</v>
      </c>
      <c r="D3769" s="26">
        <f>VALUE(LEFT(C3769,LEN(C3769)-7))</f>
        <v>24</v>
      </c>
    </row>
    <row r="3770" spans="1:4">
      <c r="A3770" s="23" t="s">
        <v>558</v>
      </c>
      <c r="B3770" t="s">
        <v>545</v>
      </c>
      <c r="C3770" t="s">
        <v>1032</v>
      </c>
      <c r="D3770" s="29">
        <f>VALUE(LEFT(C3770,LEN(C3770)-3))</f>
        <v>18.899999999999999</v>
      </c>
    </row>
    <row r="3771" spans="1:4">
      <c r="A3771" s="23" t="s">
        <v>560</v>
      </c>
      <c r="B3771" t="s">
        <v>545</v>
      </c>
      <c r="C3771" t="s">
        <v>1033</v>
      </c>
      <c r="D3771" s="29">
        <f>VALUE(LEFT(C3771,LEN(C3771)-3))</f>
        <v>710.1</v>
      </c>
    </row>
    <row r="3772" spans="1:4">
      <c r="A3772" s="23" t="s">
        <v>562</v>
      </c>
      <c r="B3772" t="s">
        <v>545</v>
      </c>
      <c r="C3772" t="s">
        <v>752</v>
      </c>
      <c r="D3772" s="29">
        <f>VALUE(LEFT(C3772,LEN(C3772)-3))</f>
        <v>8.6</v>
      </c>
    </row>
    <row r="3774" spans="1:4">
      <c r="A3774" s="23" t="s">
        <v>544</v>
      </c>
      <c r="B3774" t="s">
        <v>545</v>
      </c>
      <c r="C3774" t="s">
        <v>1034</v>
      </c>
      <c r="D3774" s="29">
        <f>VALUE(LEFT(C3774,LEN(C3774)-2))</f>
        <v>18.5</v>
      </c>
    </row>
    <row r="3775" spans="1:4">
      <c r="A3775" s="23" t="s">
        <v>547</v>
      </c>
      <c r="B3775" t="s">
        <v>545</v>
      </c>
      <c r="C3775" s="24">
        <v>0.83</v>
      </c>
      <c r="D3775" s="27">
        <f>VALUE(C3775*100)</f>
        <v>83</v>
      </c>
    </row>
    <row r="3776" spans="1:4">
      <c r="A3776" s="23" t="s">
        <v>548</v>
      </c>
      <c r="B3776" t="s">
        <v>545</v>
      </c>
      <c r="C3776" t="s">
        <v>1028</v>
      </c>
      <c r="D3776" s="29">
        <f>VALUE(LEFT(C3776,LEN(C3776)-2))</f>
        <v>15.4</v>
      </c>
    </row>
    <row r="3777" spans="1:4">
      <c r="A3777" s="23" t="s">
        <v>550</v>
      </c>
      <c r="B3777" t="s">
        <v>545</v>
      </c>
      <c r="C3777" t="s">
        <v>623</v>
      </c>
      <c r="D3777" s="28">
        <f>VALUE(LEFT(C3777,LEN(C3777)-4))</f>
        <v>1015.2</v>
      </c>
    </row>
    <row r="3778" spans="1:4">
      <c r="A3778" s="23" t="s">
        <v>552</v>
      </c>
      <c r="B3778" t="s">
        <v>545</v>
      </c>
      <c r="C3778" t="s">
        <v>817</v>
      </c>
      <c r="D3778" s="29">
        <f>VALUE(LEFT(C3778,LEN(C3778)-FIND("km/h",C3778)+1)/3.6)</f>
        <v>1.3611111111111112</v>
      </c>
    </row>
    <row r="3779" spans="1:4">
      <c r="A3779" s="23" t="s">
        <v>554</v>
      </c>
      <c r="B3779" t="s">
        <v>545</v>
      </c>
      <c r="C3779" t="s">
        <v>854</v>
      </c>
      <c r="D3779" s="29">
        <f>VALUE(LEFT(C3779,LEN(C3779)-FIND("km/h",C3779)+1)/3.6)</f>
        <v>1.9722222222222221</v>
      </c>
    </row>
    <row r="3780" spans="1:4">
      <c r="A3780" s="23" t="s">
        <v>556</v>
      </c>
      <c r="B3780" t="s">
        <v>545</v>
      </c>
      <c r="C3780" t="s">
        <v>1035</v>
      </c>
      <c r="D3780" s="26">
        <f>VALUE(LEFT(C3780,LEN(C3780)-7))</f>
        <v>285</v>
      </c>
    </row>
    <row r="3781" spans="1:4">
      <c r="A3781" s="23" t="s">
        <v>558</v>
      </c>
      <c r="B3781" t="s">
        <v>545</v>
      </c>
      <c r="C3781" t="s">
        <v>1036</v>
      </c>
      <c r="D3781" s="29">
        <f>VALUE(LEFT(C3781,LEN(C3781)-3))</f>
        <v>19.899999999999999</v>
      </c>
    </row>
    <row r="3782" spans="1:4">
      <c r="A3782" s="23" t="s">
        <v>560</v>
      </c>
      <c r="B3782" t="s">
        <v>545</v>
      </c>
      <c r="C3782" t="s">
        <v>1037</v>
      </c>
      <c r="D3782" s="29">
        <f>VALUE(LEFT(C3782,LEN(C3782)-3))</f>
        <v>711.1</v>
      </c>
    </row>
    <row r="3783" spans="1:4">
      <c r="A3783" s="23" t="s">
        <v>562</v>
      </c>
      <c r="B3783" t="s">
        <v>545</v>
      </c>
      <c r="C3783" t="s">
        <v>581</v>
      </c>
      <c r="D3783" s="29">
        <f>VALUE(LEFT(C3783,LEN(C3783)-3))</f>
        <v>1</v>
      </c>
    </row>
    <row r="3785" spans="1:4">
      <c r="A3785" s="23" t="s">
        <v>544</v>
      </c>
      <c r="B3785" t="s">
        <v>545</v>
      </c>
      <c r="C3785" t="s">
        <v>1034</v>
      </c>
      <c r="D3785" s="29">
        <f>VALUE(LEFT(C3785,LEN(C3785)-2))</f>
        <v>18.5</v>
      </c>
    </row>
    <row r="3786" spans="1:4">
      <c r="A3786" s="23" t="s">
        <v>547</v>
      </c>
      <c r="B3786" t="s">
        <v>545</v>
      </c>
      <c r="C3786" s="24">
        <v>0.79</v>
      </c>
      <c r="D3786" s="27">
        <f>VALUE(C3786*100)</f>
        <v>79</v>
      </c>
    </row>
    <row r="3787" spans="1:4">
      <c r="A3787" s="23" t="s">
        <v>548</v>
      </c>
      <c r="B3787" t="s">
        <v>545</v>
      </c>
      <c r="C3787" t="s">
        <v>1038</v>
      </c>
      <c r="D3787" s="29">
        <f>VALUE(LEFT(C3787,LEN(C3787)-2))</f>
        <v>14.4</v>
      </c>
    </row>
    <row r="3788" spans="1:4">
      <c r="A3788" s="23" t="s">
        <v>550</v>
      </c>
      <c r="B3788" t="s">
        <v>545</v>
      </c>
      <c r="C3788" t="s">
        <v>775</v>
      </c>
      <c r="D3788" s="28">
        <f>VALUE(LEFT(C3788,LEN(C3788)-4))</f>
        <v>1016.8</v>
      </c>
    </row>
    <row r="3789" spans="1:4">
      <c r="A3789" s="23" t="s">
        <v>552</v>
      </c>
      <c r="B3789" t="s">
        <v>545</v>
      </c>
      <c r="C3789" t="s">
        <v>974</v>
      </c>
      <c r="D3789" s="29">
        <f>VALUE(LEFT(C3789,LEN(C3789)-FIND("km/h",C3789)+1)/3.6)</f>
        <v>2.25</v>
      </c>
    </row>
    <row r="3790" spans="1:4">
      <c r="A3790" s="23" t="s">
        <v>554</v>
      </c>
      <c r="B3790" t="s">
        <v>545</v>
      </c>
      <c r="C3790" t="s">
        <v>1039</v>
      </c>
      <c r="D3790" s="29">
        <f>VALUE(LEFT(C3790,LEN(C3790)-FIND("km/h",C3790)+1)/3.6)</f>
        <v>3.2222222222222219</v>
      </c>
    </row>
    <row r="3791" spans="1:4">
      <c r="A3791" s="23" t="s">
        <v>556</v>
      </c>
      <c r="B3791" t="s">
        <v>545</v>
      </c>
      <c r="C3791" t="s">
        <v>1040</v>
      </c>
      <c r="D3791" s="26">
        <f>VALUE(LEFT(C3791,LEN(C3791)-7))</f>
        <v>295</v>
      </c>
    </row>
    <row r="3792" spans="1:4">
      <c r="A3792" s="23" t="s">
        <v>558</v>
      </c>
      <c r="B3792" t="s">
        <v>545</v>
      </c>
      <c r="C3792" t="s">
        <v>1036</v>
      </c>
      <c r="D3792" s="29">
        <f>VALUE(LEFT(C3792,LEN(C3792)-3))</f>
        <v>19.899999999999999</v>
      </c>
    </row>
    <row r="3793" spans="1:4">
      <c r="A3793" s="23" t="s">
        <v>560</v>
      </c>
      <c r="B3793" t="s">
        <v>545</v>
      </c>
      <c r="C3793" t="s">
        <v>1037</v>
      </c>
      <c r="D3793" s="29">
        <f>VALUE(LEFT(C3793,LEN(C3793)-3))</f>
        <v>711.1</v>
      </c>
    </row>
    <row r="3794" spans="1:4">
      <c r="A3794" s="23" t="s">
        <v>562</v>
      </c>
      <c r="B3794" t="s">
        <v>545</v>
      </c>
      <c r="C3794" t="s">
        <v>604</v>
      </c>
      <c r="D3794" s="29">
        <f>VALUE(LEFT(C3794,LEN(C3794)-3))</f>
        <v>0</v>
      </c>
    </row>
    <row r="3796" spans="1:4">
      <c r="A3796" s="23" t="s">
        <v>544</v>
      </c>
      <c r="B3796" t="s">
        <v>545</v>
      </c>
      <c r="C3796" t="s">
        <v>787</v>
      </c>
      <c r="D3796" s="29">
        <f>VALUE(LEFT(C3796,LEN(C3796)-2))</f>
        <v>19.2</v>
      </c>
    </row>
    <row r="3797" spans="1:4">
      <c r="A3797" s="23" t="s">
        <v>547</v>
      </c>
      <c r="B3797" t="s">
        <v>545</v>
      </c>
      <c r="C3797" s="24">
        <v>0.7</v>
      </c>
      <c r="D3797" s="27">
        <f>VALUE(C3797*100)</f>
        <v>70</v>
      </c>
    </row>
    <row r="3798" spans="1:4">
      <c r="A3798" s="23" t="s">
        <v>548</v>
      </c>
      <c r="B3798" t="s">
        <v>545</v>
      </c>
      <c r="C3798" t="s">
        <v>931</v>
      </c>
      <c r="D3798" s="29">
        <f>VALUE(LEFT(C3798,LEN(C3798)-2))</f>
        <v>13</v>
      </c>
    </row>
    <row r="3799" spans="1:4">
      <c r="A3799" s="23" t="s">
        <v>550</v>
      </c>
      <c r="B3799" t="s">
        <v>545</v>
      </c>
      <c r="C3799" t="s">
        <v>664</v>
      </c>
      <c r="D3799" s="28">
        <f>VALUE(LEFT(C3799,LEN(C3799)-4))</f>
        <v>1016.9</v>
      </c>
    </row>
    <row r="3800" spans="1:4">
      <c r="A3800" s="23" t="s">
        <v>552</v>
      </c>
      <c r="B3800" t="s">
        <v>545</v>
      </c>
      <c r="C3800" t="s">
        <v>655</v>
      </c>
      <c r="D3800" s="29">
        <f>VALUE(LEFT(C3800,LEN(C3800)-FIND("km/h",C3800)+1)/3.6)</f>
        <v>1.8611111111111112</v>
      </c>
    </row>
    <row r="3801" spans="1:4">
      <c r="A3801" s="23" t="s">
        <v>554</v>
      </c>
      <c r="B3801" t="s">
        <v>545</v>
      </c>
      <c r="C3801" t="s">
        <v>592</v>
      </c>
      <c r="D3801" s="29">
        <f>VALUE(LEFT(C3801,LEN(C3801)-FIND("km/h",C3801)+1)/3.6)</f>
        <v>2.7222222222222223</v>
      </c>
    </row>
    <row r="3802" spans="1:4">
      <c r="A3802" s="23" t="s">
        <v>556</v>
      </c>
      <c r="B3802" t="s">
        <v>545</v>
      </c>
      <c r="C3802" t="s">
        <v>890</v>
      </c>
      <c r="D3802" s="26">
        <f>VALUE(LEFT(C3802,LEN(C3802)-7))</f>
        <v>312</v>
      </c>
    </row>
    <row r="3803" spans="1:4">
      <c r="A3803" s="23" t="s">
        <v>558</v>
      </c>
      <c r="B3803" t="s">
        <v>545</v>
      </c>
      <c r="C3803" t="s">
        <v>1036</v>
      </c>
      <c r="D3803" s="29">
        <f>VALUE(LEFT(C3803,LEN(C3803)-3))</f>
        <v>19.899999999999999</v>
      </c>
    </row>
    <row r="3804" spans="1:4">
      <c r="A3804" s="23" t="s">
        <v>560</v>
      </c>
      <c r="B3804" t="s">
        <v>545</v>
      </c>
      <c r="C3804" t="s">
        <v>1037</v>
      </c>
      <c r="D3804" s="29">
        <f>VALUE(LEFT(C3804,LEN(C3804)-3))</f>
        <v>711.1</v>
      </c>
    </row>
    <row r="3805" spans="1:4">
      <c r="A3805" s="23" t="s">
        <v>562</v>
      </c>
      <c r="B3805" t="s">
        <v>545</v>
      </c>
      <c r="C3805" t="s">
        <v>604</v>
      </c>
      <c r="D3805" s="29">
        <f>VALUE(LEFT(C3805,LEN(C3805)-3))</f>
        <v>0</v>
      </c>
    </row>
    <row r="3807" spans="1:4">
      <c r="A3807" s="23" t="s">
        <v>544</v>
      </c>
      <c r="B3807" t="s">
        <v>545</v>
      </c>
      <c r="C3807" t="s">
        <v>998</v>
      </c>
      <c r="D3807" s="29">
        <f>VALUE(LEFT(C3807,LEN(C3807)-2))</f>
        <v>19.3</v>
      </c>
    </row>
    <row r="3808" spans="1:4">
      <c r="A3808" s="23" t="s">
        <v>547</v>
      </c>
      <c r="B3808" t="s">
        <v>545</v>
      </c>
      <c r="C3808" s="24">
        <v>0.67</v>
      </c>
      <c r="D3808" s="27">
        <f>VALUE(C3808*100)</f>
        <v>67</v>
      </c>
    </row>
    <row r="3809" spans="1:4">
      <c r="A3809" s="23" t="s">
        <v>548</v>
      </c>
      <c r="B3809" t="s">
        <v>545</v>
      </c>
      <c r="C3809" t="s">
        <v>565</v>
      </c>
      <c r="D3809" s="29">
        <f>VALUE(LEFT(C3809,LEN(C3809)-2))</f>
        <v>12.4</v>
      </c>
    </row>
    <row r="3810" spans="1:4">
      <c r="A3810" s="23" t="s">
        <v>550</v>
      </c>
      <c r="B3810" t="s">
        <v>545</v>
      </c>
      <c r="C3810" t="s">
        <v>1041</v>
      </c>
      <c r="D3810" s="28">
        <f>VALUE(LEFT(C3810,LEN(C3810)-4))</f>
        <v>1017.1</v>
      </c>
    </row>
    <row r="3811" spans="1:4">
      <c r="A3811" s="23" t="s">
        <v>552</v>
      </c>
      <c r="B3811" t="s">
        <v>545</v>
      </c>
      <c r="C3811" t="s">
        <v>994</v>
      </c>
      <c r="D3811" s="29">
        <f>VALUE(LEFT(C3811,LEN(C3811)-FIND("km/h",C3811)+1)/3.6)</f>
        <v>1.6944444444444442</v>
      </c>
    </row>
    <row r="3812" spans="1:4">
      <c r="A3812" s="23" t="s">
        <v>554</v>
      </c>
      <c r="B3812" t="s">
        <v>545</v>
      </c>
      <c r="C3812" t="s">
        <v>933</v>
      </c>
      <c r="D3812" s="29">
        <f>VALUE(LEFT(C3812,LEN(C3812)-FIND("km/h",C3812)+1)/3.6)</f>
        <v>2.4166666666666665</v>
      </c>
    </row>
    <row r="3813" spans="1:4">
      <c r="A3813" s="23" t="s">
        <v>556</v>
      </c>
      <c r="B3813" t="s">
        <v>545</v>
      </c>
      <c r="C3813" t="s">
        <v>1042</v>
      </c>
      <c r="D3813" s="26">
        <f>VALUE(LEFT(C3813,LEN(C3813)-7))</f>
        <v>302</v>
      </c>
    </row>
    <row r="3814" spans="1:4">
      <c r="A3814" s="23" t="s">
        <v>558</v>
      </c>
      <c r="B3814" t="s">
        <v>545</v>
      </c>
      <c r="C3814" t="s">
        <v>1036</v>
      </c>
      <c r="D3814" s="29">
        <f>VALUE(LEFT(C3814,LEN(C3814)-3))</f>
        <v>19.899999999999999</v>
      </c>
    </row>
    <row r="3815" spans="1:4">
      <c r="A3815" s="23" t="s">
        <v>560</v>
      </c>
      <c r="B3815" t="s">
        <v>545</v>
      </c>
      <c r="C3815" t="s">
        <v>1037</v>
      </c>
      <c r="D3815" s="29">
        <f>VALUE(LEFT(C3815,LEN(C3815)-3))</f>
        <v>711.1</v>
      </c>
    </row>
    <row r="3816" spans="1:4">
      <c r="A3816" s="23" t="s">
        <v>562</v>
      </c>
      <c r="B3816" t="s">
        <v>545</v>
      </c>
      <c r="C3816" t="s">
        <v>604</v>
      </c>
      <c r="D3816" s="29">
        <f>VALUE(LEFT(C3816,LEN(C3816)-3))</f>
        <v>0</v>
      </c>
    </row>
    <row r="3818" spans="1:4">
      <c r="A3818" s="23" t="s">
        <v>544</v>
      </c>
      <c r="B3818" t="s">
        <v>545</v>
      </c>
      <c r="C3818" t="s">
        <v>1043</v>
      </c>
      <c r="D3818" s="29">
        <f>VALUE(LEFT(C3818,LEN(C3818)-2))</f>
        <v>18</v>
      </c>
    </row>
    <row r="3819" spans="1:4">
      <c r="A3819" s="23" t="s">
        <v>547</v>
      </c>
      <c r="B3819" t="s">
        <v>545</v>
      </c>
      <c r="C3819" s="24">
        <v>0.76</v>
      </c>
      <c r="D3819" s="27">
        <f>VALUE(C3819*100)</f>
        <v>76</v>
      </c>
    </row>
    <row r="3820" spans="1:4">
      <c r="A3820" s="23" t="s">
        <v>548</v>
      </c>
      <c r="B3820" t="s">
        <v>545</v>
      </c>
      <c r="C3820" t="s">
        <v>598</v>
      </c>
      <c r="D3820" s="29">
        <f>VALUE(LEFT(C3820,LEN(C3820)-2))</f>
        <v>13.4</v>
      </c>
    </row>
    <row r="3821" spans="1:4">
      <c r="A3821" s="23" t="s">
        <v>550</v>
      </c>
      <c r="B3821" t="s">
        <v>545</v>
      </c>
      <c r="C3821" t="s">
        <v>877</v>
      </c>
      <c r="D3821" s="28">
        <f>VALUE(LEFT(C3821,LEN(C3821)-4))</f>
        <v>1016.4</v>
      </c>
    </row>
    <row r="3822" spans="1:4">
      <c r="A3822" s="23" t="s">
        <v>552</v>
      </c>
      <c r="B3822" t="s">
        <v>545</v>
      </c>
      <c r="C3822" t="s">
        <v>933</v>
      </c>
      <c r="D3822" s="29">
        <f>VALUE(LEFT(C3822,LEN(C3822)-FIND("km/h",C3822)+1)/3.6)</f>
        <v>2.4166666666666665</v>
      </c>
    </row>
    <row r="3823" spans="1:4">
      <c r="A3823" s="23" t="s">
        <v>554</v>
      </c>
      <c r="B3823" t="s">
        <v>545</v>
      </c>
      <c r="C3823" t="s">
        <v>1044</v>
      </c>
      <c r="D3823" s="29">
        <f>VALUE(LEFT(C3823,LEN(C3823)-FIND("km/h",C3823)+1)/3.6)</f>
        <v>3.416666666666667</v>
      </c>
    </row>
    <row r="3824" spans="1:4">
      <c r="A3824" s="23" t="s">
        <v>556</v>
      </c>
      <c r="B3824" t="s">
        <v>545</v>
      </c>
      <c r="C3824" t="s">
        <v>637</v>
      </c>
      <c r="D3824" s="26">
        <f>VALUE(LEFT(C3824,LEN(C3824)-7))</f>
        <v>282</v>
      </c>
    </row>
    <row r="3825" spans="1:4">
      <c r="A3825" s="23" t="s">
        <v>558</v>
      </c>
      <c r="B3825" t="s">
        <v>545</v>
      </c>
      <c r="C3825" t="s">
        <v>1036</v>
      </c>
      <c r="D3825" s="29">
        <f>VALUE(LEFT(C3825,LEN(C3825)-3))</f>
        <v>19.899999999999999</v>
      </c>
    </row>
    <row r="3826" spans="1:4">
      <c r="A3826" s="23" t="s">
        <v>560</v>
      </c>
      <c r="B3826" t="s">
        <v>545</v>
      </c>
      <c r="C3826" t="s">
        <v>1037</v>
      </c>
      <c r="D3826" s="29">
        <f>VALUE(LEFT(C3826,LEN(C3826)-3))</f>
        <v>711.1</v>
      </c>
    </row>
    <row r="3827" spans="1:4">
      <c r="A3827" s="23" t="s">
        <v>562</v>
      </c>
      <c r="B3827" t="s">
        <v>545</v>
      </c>
      <c r="C3827" t="s">
        <v>604</v>
      </c>
      <c r="D3827" s="29">
        <f>VALUE(LEFT(C3827,LEN(C3827)-3))</f>
        <v>0</v>
      </c>
    </row>
    <row r="3829" spans="1:4">
      <c r="A3829" s="23" t="s">
        <v>544</v>
      </c>
      <c r="B3829" t="s">
        <v>545</v>
      </c>
      <c r="C3829" t="s">
        <v>925</v>
      </c>
      <c r="D3829" s="29">
        <f>VALUE(LEFT(C3829,LEN(C3829)-2))</f>
        <v>18.3</v>
      </c>
    </row>
    <row r="3830" spans="1:4">
      <c r="A3830" s="23" t="s">
        <v>547</v>
      </c>
      <c r="B3830" t="s">
        <v>545</v>
      </c>
      <c r="C3830" s="24">
        <v>0.67</v>
      </c>
      <c r="D3830" s="27">
        <f>VALUE(C3830*100)</f>
        <v>67</v>
      </c>
    </row>
    <row r="3831" spans="1:4">
      <c r="A3831" s="23" t="s">
        <v>548</v>
      </c>
      <c r="B3831" t="s">
        <v>545</v>
      </c>
      <c r="C3831" t="s">
        <v>978</v>
      </c>
      <c r="D3831" s="29">
        <f>VALUE(LEFT(C3831,LEN(C3831)-2))</f>
        <v>11.7</v>
      </c>
    </row>
    <row r="3832" spans="1:4">
      <c r="A3832" s="23" t="s">
        <v>550</v>
      </c>
      <c r="B3832" t="s">
        <v>545</v>
      </c>
      <c r="C3832" t="s">
        <v>653</v>
      </c>
      <c r="D3832" s="28">
        <f>VALUE(LEFT(C3832,LEN(C3832)-4))</f>
        <v>1020.4</v>
      </c>
    </row>
    <row r="3833" spans="1:4">
      <c r="A3833" s="23" t="s">
        <v>552</v>
      </c>
      <c r="B3833" t="s">
        <v>545</v>
      </c>
      <c r="C3833" t="s">
        <v>893</v>
      </c>
      <c r="D3833" s="29">
        <f>VALUE(LEFT(C3833,LEN(C3833)-FIND("km/h",C3833)+1)/3.6)</f>
        <v>2.5277777777777777</v>
      </c>
    </row>
    <row r="3834" spans="1:4">
      <c r="A3834" s="23" t="s">
        <v>554</v>
      </c>
      <c r="B3834" t="s">
        <v>545</v>
      </c>
      <c r="C3834" t="s">
        <v>979</v>
      </c>
      <c r="D3834" s="29">
        <f>VALUE(LEFT(C3834,LEN(C3834)-FIND("km/h",C3834)+1)/3.6)</f>
        <v>3.6944444444444446</v>
      </c>
    </row>
    <row r="3835" spans="1:4">
      <c r="A3835" s="23" t="s">
        <v>556</v>
      </c>
      <c r="B3835" t="s">
        <v>545</v>
      </c>
      <c r="C3835" t="s">
        <v>880</v>
      </c>
      <c r="D3835" s="26">
        <f>VALUE(LEFT(C3835,LEN(C3835)-7))</f>
        <v>327</v>
      </c>
    </row>
    <row r="3836" spans="1:4">
      <c r="A3836" s="23" t="s">
        <v>558</v>
      </c>
      <c r="B3836" t="s">
        <v>545</v>
      </c>
      <c r="C3836" t="s">
        <v>1036</v>
      </c>
      <c r="D3836" s="29">
        <f>VALUE(LEFT(C3836,LEN(C3836)-3))</f>
        <v>19.899999999999999</v>
      </c>
    </row>
    <row r="3837" spans="1:4">
      <c r="A3837" s="23" t="s">
        <v>560</v>
      </c>
      <c r="B3837" t="s">
        <v>545</v>
      </c>
      <c r="C3837" t="s">
        <v>1037</v>
      </c>
      <c r="D3837" s="29">
        <f>VALUE(LEFT(C3837,LEN(C3837)-3))</f>
        <v>711.1</v>
      </c>
    </row>
    <row r="3838" spans="1:4">
      <c r="A3838" s="23" t="s">
        <v>562</v>
      </c>
      <c r="B3838" t="s">
        <v>545</v>
      </c>
      <c r="C3838" t="s">
        <v>604</v>
      </c>
      <c r="D3838" s="29">
        <f>VALUE(LEFT(C3838,LEN(C3838)-3))</f>
        <v>0</v>
      </c>
    </row>
    <row r="3840" spans="1:4">
      <c r="A3840" s="23" t="s">
        <v>544</v>
      </c>
      <c r="B3840" t="s">
        <v>545</v>
      </c>
      <c r="C3840" t="s">
        <v>992</v>
      </c>
      <c r="D3840" s="29">
        <f>VALUE(LEFT(C3840,LEN(C3840)-2))</f>
        <v>18.2</v>
      </c>
    </row>
    <row r="3841" spans="1:4">
      <c r="A3841" s="23" t="s">
        <v>547</v>
      </c>
      <c r="B3841" t="s">
        <v>545</v>
      </c>
      <c r="C3841" s="24">
        <v>0.69</v>
      </c>
      <c r="D3841" s="27">
        <f>VALUE(C3841*100)</f>
        <v>69</v>
      </c>
    </row>
    <row r="3842" spans="1:4">
      <c r="A3842" s="23" t="s">
        <v>548</v>
      </c>
      <c r="B3842" t="s">
        <v>545</v>
      </c>
      <c r="C3842" t="s">
        <v>978</v>
      </c>
      <c r="D3842" s="29">
        <f>VALUE(LEFT(C3842,LEN(C3842)-2))</f>
        <v>11.7</v>
      </c>
    </row>
    <row r="3843" spans="1:4">
      <c r="A3843" s="23" t="s">
        <v>550</v>
      </c>
      <c r="B3843" t="s">
        <v>545</v>
      </c>
      <c r="C3843" t="s">
        <v>1045</v>
      </c>
      <c r="D3843" s="28">
        <f>VALUE(LEFT(C3843,LEN(C3843)-4))</f>
        <v>1018.4</v>
      </c>
    </row>
    <row r="3844" spans="1:4">
      <c r="A3844" s="23" t="s">
        <v>552</v>
      </c>
      <c r="B3844" t="s">
        <v>545</v>
      </c>
      <c r="C3844" t="s">
        <v>655</v>
      </c>
      <c r="D3844" s="29">
        <f>VALUE(LEFT(C3844,LEN(C3844)-FIND("km/h",C3844)+1)/3.6)</f>
        <v>1.8611111111111112</v>
      </c>
    </row>
    <row r="3845" spans="1:4">
      <c r="A3845" s="23" t="s">
        <v>554</v>
      </c>
      <c r="B3845" t="s">
        <v>545</v>
      </c>
      <c r="C3845" t="s">
        <v>858</v>
      </c>
      <c r="D3845" s="29">
        <f>VALUE(LEFT(C3845,LEN(C3845)-FIND("km/h",C3845)+1)/3.6)</f>
        <v>2.5833333333333335</v>
      </c>
    </row>
    <row r="3846" spans="1:4">
      <c r="A3846" s="23" t="s">
        <v>556</v>
      </c>
      <c r="B3846" t="s">
        <v>545</v>
      </c>
      <c r="C3846" t="s">
        <v>835</v>
      </c>
      <c r="D3846" s="26">
        <f>VALUE(LEFT(C3846,LEN(C3846)-7))</f>
        <v>292</v>
      </c>
    </row>
    <row r="3847" spans="1:4">
      <c r="A3847" s="23" t="s">
        <v>558</v>
      </c>
      <c r="B3847" t="s">
        <v>545</v>
      </c>
      <c r="C3847" t="s">
        <v>1036</v>
      </c>
      <c r="D3847" s="29">
        <f>VALUE(LEFT(C3847,LEN(C3847)-3))</f>
        <v>19.899999999999999</v>
      </c>
    </row>
    <row r="3848" spans="1:4">
      <c r="A3848" s="23" t="s">
        <v>560</v>
      </c>
      <c r="B3848" t="s">
        <v>545</v>
      </c>
      <c r="C3848" t="s">
        <v>1037</v>
      </c>
      <c r="D3848" s="29">
        <f>VALUE(LEFT(C3848,LEN(C3848)-3))</f>
        <v>711.1</v>
      </c>
    </row>
    <row r="3849" spans="1:4">
      <c r="A3849" s="23" t="s">
        <v>562</v>
      </c>
      <c r="B3849" t="s">
        <v>545</v>
      </c>
      <c r="C3849" t="s">
        <v>604</v>
      </c>
      <c r="D3849" s="29">
        <f>VALUE(LEFT(C3849,LEN(C3849)-3))</f>
        <v>0</v>
      </c>
    </row>
    <row r="3850" spans="1:4" s="30" customFormat="1"/>
    <row r="3851" spans="1:4">
      <c r="A3851" s="23" t="s">
        <v>544</v>
      </c>
      <c r="B3851" t="s">
        <v>545</v>
      </c>
      <c r="C3851" t="s">
        <v>809</v>
      </c>
      <c r="D3851" s="29">
        <f>VALUE(LEFT(C3851,LEN(C3851)-2))</f>
        <v>18.600000000000001</v>
      </c>
    </row>
    <row r="3852" spans="1:4">
      <c r="A3852" s="23" t="s">
        <v>547</v>
      </c>
      <c r="B3852" t="s">
        <v>545</v>
      </c>
      <c r="C3852" s="24">
        <v>0.73</v>
      </c>
      <c r="D3852" s="27">
        <f>VALUE(C3852*100)</f>
        <v>73</v>
      </c>
    </row>
    <row r="3853" spans="1:4">
      <c r="A3853" s="23" t="s">
        <v>548</v>
      </c>
      <c r="B3853" t="s">
        <v>545</v>
      </c>
      <c r="C3853" t="s">
        <v>851</v>
      </c>
      <c r="D3853" s="29">
        <f>VALUE(LEFT(C3853,LEN(C3853)-2))</f>
        <v>13.3</v>
      </c>
    </row>
    <row r="3854" spans="1:4">
      <c r="A3854" s="23" t="s">
        <v>550</v>
      </c>
      <c r="B3854" t="s">
        <v>545</v>
      </c>
      <c r="C3854" t="s">
        <v>805</v>
      </c>
      <c r="D3854" s="28">
        <f>VALUE(LEFT(C3854,LEN(C3854)-4))</f>
        <v>1015.6</v>
      </c>
    </row>
    <row r="3855" spans="1:4">
      <c r="A3855" s="23" t="s">
        <v>552</v>
      </c>
      <c r="B3855" t="s">
        <v>545</v>
      </c>
      <c r="C3855" t="s">
        <v>839</v>
      </c>
      <c r="D3855" s="29">
        <f>VALUE(LEFT(C3855,LEN(C3855)-FIND("km/h",C3855)+1)/3.6)</f>
        <v>2.2222222222222223</v>
      </c>
    </row>
    <row r="3856" spans="1:4">
      <c r="A3856" s="23" t="s">
        <v>554</v>
      </c>
      <c r="B3856" t="s">
        <v>545</v>
      </c>
      <c r="C3856" t="s">
        <v>567</v>
      </c>
      <c r="D3856" s="29">
        <f>VALUE(LEFT(C3856,LEN(C3856)-FIND("km/h",C3856)+1)/3.6)</f>
        <v>3.1111111111111107</v>
      </c>
    </row>
    <row r="3857" spans="1:4">
      <c r="A3857" s="23" t="s">
        <v>556</v>
      </c>
      <c r="B3857" t="s">
        <v>545</v>
      </c>
      <c r="C3857" t="s">
        <v>1507</v>
      </c>
      <c r="D3857" s="26">
        <f>VALUE(LEFT(C3857,LEN(C3857)-7))</f>
        <v>277</v>
      </c>
    </row>
    <row r="3858" spans="1:4">
      <c r="A3858" s="23" t="s">
        <v>558</v>
      </c>
      <c r="B3858" t="s">
        <v>545</v>
      </c>
      <c r="C3858" t="s">
        <v>685</v>
      </c>
      <c r="D3858" s="29">
        <f>VALUE(LEFT(C3858,LEN(C3858)-3))</f>
        <v>2</v>
      </c>
    </row>
    <row r="3859" spans="1:4">
      <c r="A3859" s="23" t="s">
        <v>560</v>
      </c>
      <c r="B3859" t="s">
        <v>545</v>
      </c>
      <c r="C3859" t="s">
        <v>1508</v>
      </c>
      <c r="D3859" s="29">
        <f>VALUE(LEFT(C3859,LEN(C3859)-3))</f>
        <v>713.1</v>
      </c>
    </row>
    <row r="3860" spans="1:4">
      <c r="A3860" s="23" t="s">
        <v>562</v>
      </c>
      <c r="B3860" t="s">
        <v>545</v>
      </c>
      <c r="C3860" t="s">
        <v>685</v>
      </c>
      <c r="D3860" s="29">
        <f>VALUE(LEFT(C3860,LEN(C3860)-3))</f>
        <v>2</v>
      </c>
    </row>
    <row r="3862" spans="1:4">
      <c r="A3862" s="23" t="s">
        <v>544</v>
      </c>
      <c r="B3862" t="s">
        <v>545</v>
      </c>
      <c r="C3862" t="s">
        <v>1034</v>
      </c>
      <c r="D3862" s="29">
        <f t="shared" ref="D3862" si="756">VALUE(LEFT(C3862,LEN(C3862)-2))</f>
        <v>18.5</v>
      </c>
    </row>
    <row r="3863" spans="1:4">
      <c r="A3863" s="23" t="s">
        <v>547</v>
      </c>
      <c r="B3863" t="s">
        <v>545</v>
      </c>
      <c r="C3863" s="24">
        <v>0.76</v>
      </c>
      <c r="D3863" s="27">
        <f t="shared" ref="D3863" si="757">VALUE(C3863*100)</f>
        <v>76</v>
      </c>
    </row>
    <row r="3864" spans="1:4">
      <c r="A3864" s="23" t="s">
        <v>548</v>
      </c>
      <c r="B3864" t="s">
        <v>545</v>
      </c>
      <c r="C3864" t="s">
        <v>621</v>
      </c>
      <c r="D3864" s="29">
        <f t="shared" ref="D3864" si="758">VALUE(LEFT(C3864,LEN(C3864)-2))</f>
        <v>13.8</v>
      </c>
    </row>
    <row r="3865" spans="1:4">
      <c r="A3865" s="23" t="s">
        <v>550</v>
      </c>
      <c r="B3865" t="s">
        <v>545</v>
      </c>
      <c r="C3865" t="s">
        <v>805</v>
      </c>
      <c r="D3865" s="28">
        <f t="shared" ref="D3865" si="759">VALUE(LEFT(C3865,LEN(C3865)-4))</f>
        <v>1015.6</v>
      </c>
    </row>
    <row r="3866" spans="1:4">
      <c r="A3866" s="23" t="s">
        <v>552</v>
      </c>
      <c r="B3866" t="s">
        <v>545</v>
      </c>
      <c r="C3866" t="s">
        <v>843</v>
      </c>
      <c r="D3866" s="29">
        <f t="shared" ref="D3866:D3867" si="760">VALUE(LEFT(C3866,LEN(C3866)-FIND("km/h",C3866)+1)/3.6)</f>
        <v>2.3055555555555558</v>
      </c>
    </row>
    <row r="3867" spans="1:4">
      <c r="A3867" s="23" t="s">
        <v>554</v>
      </c>
      <c r="B3867" t="s">
        <v>545</v>
      </c>
      <c r="C3867" t="s">
        <v>1391</v>
      </c>
      <c r="D3867" s="29">
        <f t="shared" si="760"/>
        <v>3.2777777777777777</v>
      </c>
    </row>
    <row r="3868" spans="1:4">
      <c r="A3868" s="23" t="s">
        <v>556</v>
      </c>
      <c r="B3868" t="s">
        <v>545</v>
      </c>
      <c r="C3868" t="s">
        <v>890</v>
      </c>
      <c r="D3868" s="26">
        <f t="shared" ref="D3868" si="761">VALUE(LEFT(C3868,LEN(C3868)-7))</f>
        <v>312</v>
      </c>
    </row>
    <row r="3869" spans="1:4">
      <c r="A3869" s="23" t="s">
        <v>558</v>
      </c>
      <c r="B3869" t="s">
        <v>545</v>
      </c>
      <c r="C3869" t="s">
        <v>597</v>
      </c>
      <c r="D3869" s="29">
        <f t="shared" ref="D3869:D3871" si="762">VALUE(LEFT(C3869,LEN(C3869)-3))</f>
        <v>3</v>
      </c>
    </row>
    <row r="3870" spans="1:4">
      <c r="A3870" s="23" t="s">
        <v>560</v>
      </c>
      <c r="B3870" t="s">
        <v>545</v>
      </c>
      <c r="C3870" t="s">
        <v>1509</v>
      </c>
      <c r="D3870" s="29">
        <f t="shared" si="762"/>
        <v>714.1</v>
      </c>
    </row>
    <row r="3871" spans="1:4">
      <c r="A3871" s="23" t="s">
        <v>562</v>
      </c>
      <c r="B3871" t="s">
        <v>545</v>
      </c>
      <c r="C3871" t="s">
        <v>581</v>
      </c>
      <c r="D3871" s="29">
        <f t="shared" si="762"/>
        <v>1</v>
      </c>
    </row>
    <row r="3873" spans="1:4">
      <c r="A3873" s="23" t="s">
        <v>544</v>
      </c>
      <c r="B3873" t="s">
        <v>545</v>
      </c>
      <c r="C3873" t="s">
        <v>1510</v>
      </c>
      <c r="D3873" s="29">
        <f t="shared" ref="D3873" si="763">VALUE(LEFT(C3873,LEN(C3873)-2))</f>
        <v>20.7</v>
      </c>
    </row>
    <row r="3874" spans="1:4">
      <c r="A3874" s="23" t="s">
        <v>547</v>
      </c>
      <c r="B3874" t="s">
        <v>545</v>
      </c>
      <c r="C3874" s="24">
        <v>0.73</v>
      </c>
      <c r="D3874" s="27">
        <f t="shared" ref="D3874" si="764">VALUE(C3874*100)</f>
        <v>73</v>
      </c>
    </row>
    <row r="3875" spans="1:4">
      <c r="A3875" s="23" t="s">
        <v>548</v>
      </c>
      <c r="B3875" t="s">
        <v>545</v>
      </c>
      <c r="C3875" t="s">
        <v>960</v>
      </c>
      <c r="D3875" s="29">
        <f t="shared" ref="D3875" si="765">VALUE(LEFT(C3875,LEN(C3875)-2))</f>
        <v>14.9</v>
      </c>
    </row>
    <row r="3876" spans="1:4">
      <c r="A3876" s="23" t="s">
        <v>550</v>
      </c>
      <c r="B3876" t="s">
        <v>545</v>
      </c>
      <c r="C3876" t="s">
        <v>618</v>
      </c>
      <c r="D3876" s="28">
        <f t="shared" ref="D3876" si="766">VALUE(LEFT(C3876,LEN(C3876)-4))</f>
        <v>1016</v>
      </c>
    </row>
    <row r="3877" spans="1:4">
      <c r="A3877" s="23" t="s">
        <v>552</v>
      </c>
      <c r="B3877" t="s">
        <v>545</v>
      </c>
      <c r="C3877" t="s">
        <v>781</v>
      </c>
      <c r="D3877" s="29">
        <f t="shared" ref="D3877:D3878" si="767">VALUE(LEFT(C3877,LEN(C3877)-FIND("km/h",C3877)+1)/3.6)</f>
        <v>1.8333333333333333</v>
      </c>
    </row>
    <row r="3878" spans="1:4">
      <c r="A3878" s="23" t="s">
        <v>554</v>
      </c>
      <c r="B3878" t="s">
        <v>545</v>
      </c>
      <c r="C3878" t="s">
        <v>790</v>
      </c>
      <c r="D3878" s="29">
        <f t="shared" si="767"/>
        <v>2.6111111111111112</v>
      </c>
    </row>
    <row r="3879" spans="1:4">
      <c r="A3879" s="23" t="s">
        <v>556</v>
      </c>
      <c r="B3879" t="s">
        <v>545</v>
      </c>
      <c r="C3879" t="s">
        <v>965</v>
      </c>
      <c r="D3879" s="26">
        <f t="shared" ref="D3879" si="768">VALUE(LEFT(C3879,LEN(C3879)-7))</f>
        <v>288</v>
      </c>
    </row>
    <row r="3880" spans="1:4">
      <c r="A3880" s="23" t="s">
        <v>558</v>
      </c>
      <c r="B3880" t="s">
        <v>545</v>
      </c>
      <c r="C3880" t="s">
        <v>597</v>
      </c>
      <c r="D3880" s="29">
        <f t="shared" ref="D3880:D3882" si="769">VALUE(LEFT(C3880,LEN(C3880)-3))</f>
        <v>3</v>
      </c>
    </row>
    <row r="3881" spans="1:4">
      <c r="A3881" s="23" t="s">
        <v>560</v>
      </c>
      <c r="B3881" t="s">
        <v>545</v>
      </c>
      <c r="C3881" t="s">
        <v>1509</v>
      </c>
      <c r="D3881" s="29">
        <f t="shared" si="769"/>
        <v>714.1</v>
      </c>
    </row>
    <row r="3882" spans="1:4">
      <c r="A3882" s="23" t="s">
        <v>562</v>
      </c>
      <c r="B3882" t="s">
        <v>545</v>
      </c>
      <c r="C3882" t="s">
        <v>604</v>
      </c>
      <c r="D3882" s="29">
        <f t="shared" si="769"/>
        <v>0</v>
      </c>
    </row>
    <row r="3884" spans="1:4">
      <c r="A3884" s="23" t="s">
        <v>544</v>
      </c>
      <c r="B3884" t="s">
        <v>545</v>
      </c>
      <c r="C3884" t="s">
        <v>1471</v>
      </c>
      <c r="D3884" s="29">
        <f t="shared" ref="D3884" si="770">VALUE(LEFT(C3884,LEN(C3884)-2))</f>
        <v>18.8</v>
      </c>
    </row>
    <row r="3885" spans="1:4">
      <c r="A3885" s="23" t="s">
        <v>547</v>
      </c>
      <c r="B3885" t="s">
        <v>545</v>
      </c>
      <c r="C3885" s="24">
        <v>0.82</v>
      </c>
      <c r="D3885" s="27">
        <f t="shared" ref="D3885" si="771">VALUE(C3885*100)</f>
        <v>82</v>
      </c>
    </row>
    <row r="3886" spans="1:4">
      <c r="A3886" s="23" t="s">
        <v>548</v>
      </c>
      <c r="B3886" t="s">
        <v>545</v>
      </c>
      <c r="C3886" t="s">
        <v>905</v>
      </c>
      <c r="D3886" s="29">
        <f t="shared" ref="D3886" si="772">VALUE(LEFT(C3886,LEN(C3886)-2))</f>
        <v>15.6</v>
      </c>
    </row>
    <row r="3887" spans="1:4">
      <c r="A3887" s="23" t="s">
        <v>550</v>
      </c>
      <c r="B3887" t="s">
        <v>545</v>
      </c>
      <c r="C3887" t="s">
        <v>680</v>
      </c>
      <c r="D3887" s="28">
        <f t="shared" ref="D3887" si="773">VALUE(LEFT(C3887,LEN(C3887)-4))</f>
        <v>1017.9</v>
      </c>
    </row>
    <row r="3888" spans="1:4">
      <c r="A3888" s="23" t="s">
        <v>552</v>
      </c>
      <c r="B3888" t="s">
        <v>545</v>
      </c>
      <c r="C3888" t="s">
        <v>839</v>
      </c>
      <c r="D3888" s="29">
        <f t="shared" ref="D3888:D3889" si="774">VALUE(LEFT(C3888,LEN(C3888)-FIND("km/h",C3888)+1)/3.6)</f>
        <v>2.2222222222222223</v>
      </c>
    </row>
    <row r="3889" spans="1:4">
      <c r="A3889" s="23" t="s">
        <v>554</v>
      </c>
      <c r="B3889" t="s">
        <v>545</v>
      </c>
      <c r="C3889" t="s">
        <v>704</v>
      </c>
      <c r="D3889" s="29">
        <f t="shared" si="774"/>
        <v>3.1388888888888888</v>
      </c>
    </row>
    <row r="3890" spans="1:4">
      <c r="A3890" s="23" t="s">
        <v>556</v>
      </c>
      <c r="B3890" t="s">
        <v>545</v>
      </c>
      <c r="C3890" t="s">
        <v>1002</v>
      </c>
      <c r="D3890" s="26">
        <f t="shared" ref="D3890" si="775">VALUE(LEFT(C3890,LEN(C3890)-7))</f>
        <v>317</v>
      </c>
    </row>
    <row r="3891" spans="1:4">
      <c r="A3891" s="23" t="s">
        <v>558</v>
      </c>
      <c r="B3891" t="s">
        <v>545</v>
      </c>
      <c r="C3891" t="s">
        <v>597</v>
      </c>
      <c r="D3891" s="29">
        <f t="shared" ref="D3891:D3893" si="776">VALUE(LEFT(C3891,LEN(C3891)-3))</f>
        <v>3</v>
      </c>
    </row>
    <row r="3892" spans="1:4">
      <c r="A3892" s="23" t="s">
        <v>560</v>
      </c>
      <c r="B3892" t="s">
        <v>545</v>
      </c>
      <c r="C3892" t="s">
        <v>1509</v>
      </c>
      <c r="D3892" s="29">
        <f t="shared" si="776"/>
        <v>714.1</v>
      </c>
    </row>
    <row r="3893" spans="1:4">
      <c r="A3893" s="23" t="s">
        <v>562</v>
      </c>
      <c r="B3893" t="s">
        <v>545</v>
      </c>
      <c r="C3893" t="s">
        <v>604</v>
      </c>
      <c r="D3893" s="29">
        <f t="shared" si="776"/>
        <v>0</v>
      </c>
    </row>
    <row r="3895" spans="1:4">
      <c r="A3895" s="23" t="s">
        <v>544</v>
      </c>
      <c r="B3895" t="s">
        <v>545</v>
      </c>
      <c r="C3895" t="s">
        <v>787</v>
      </c>
      <c r="D3895" s="29">
        <f t="shared" ref="D3895" si="777">VALUE(LEFT(C3895,LEN(C3895)-2))</f>
        <v>19.2</v>
      </c>
    </row>
    <row r="3896" spans="1:4">
      <c r="A3896" s="23" t="s">
        <v>547</v>
      </c>
      <c r="B3896" t="s">
        <v>545</v>
      </c>
      <c r="C3896" s="24">
        <v>0.81</v>
      </c>
      <c r="D3896" s="27">
        <f t="shared" ref="D3896" si="778">VALUE(C3896*100)</f>
        <v>81</v>
      </c>
    </row>
    <row r="3897" spans="1:4">
      <c r="A3897" s="23" t="s">
        <v>548</v>
      </c>
      <c r="B3897" t="s">
        <v>545</v>
      </c>
      <c r="C3897" t="s">
        <v>802</v>
      </c>
      <c r="D3897" s="29">
        <f t="shared" ref="D3897" si="779">VALUE(LEFT(C3897,LEN(C3897)-2))</f>
        <v>15.7</v>
      </c>
    </row>
    <row r="3898" spans="1:4">
      <c r="A3898" s="23" t="s">
        <v>550</v>
      </c>
      <c r="B3898" t="s">
        <v>545</v>
      </c>
      <c r="C3898" t="s">
        <v>1127</v>
      </c>
      <c r="D3898" s="28">
        <f t="shared" ref="D3898" si="780">VALUE(LEFT(C3898,LEN(C3898)-4))</f>
        <v>1016.6</v>
      </c>
    </row>
    <row r="3899" spans="1:4">
      <c r="A3899" s="23" t="s">
        <v>552</v>
      </c>
      <c r="B3899" t="s">
        <v>545</v>
      </c>
      <c r="C3899" t="s">
        <v>692</v>
      </c>
      <c r="D3899" s="29">
        <f t="shared" ref="D3899:D3900" si="781">VALUE(LEFT(C3899,LEN(C3899)-FIND("km/h",C3899)+1)/3.6)</f>
        <v>2.1388888888888888</v>
      </c>
    </row>
    <row r="3900" spans="1:4">
      <c r="A3900" s="23" t="s">
        <v>554</v>
      </c>
      <c r="B3900" t="s">
        <v>545</v>
      </c>
      <c r="C3900" t="s">
        <v>576</v>
      </c>
      <c r="D3900" s="29">
        <f t="shared" si="781"/>
        <v>2.9722222222222219</v>
      </c>
    </row>
    <row r="3901" spans="1:4">
      <c r="A3901" s="23" t="s">
        <v>556</v>
      </c>
      <c r="B3901" t="s">
        <v>545</v>
      </c>
      <c r="C3901" t="s">
        <v>965</v>
      </c>
      <c r="D3901" s="26">
        <f t="shared" ref="D3901" si="782">VALUE(LEFT(C3901,LEN(C3901)-7))</f>
        <v>288</v>
      </c>
    </row>
    <row r="3902" spans="1:4">
      <c r="A3902" s="23" t="s">
        <v>558</v>
      </c>
      <c r="B3902" t="s">
        <v>545</v>
      </c>
      <c r="C3902" t="s">
        <v>597</v>
      </c>
      <c r="D3902" s="29">
        <f t="shared" ref="D3902:D3904" si="783">VALUE(LEFT(C3902,LEN(C3902)-3))</f>
        <v>3</v>
      </c>
    </row>
    <row r="3903" spans="1:4">
      <c r="A3903" s="23" t="s">
        <v>560</v>
      </c>
      <c r="B3903" t="s">
        <v>545</v>
      </c>
      <c r="C3903" t="s">
        <v>1509</v>
      </c>
      <c r="D3903" s="29">
        <f t="shared" si="783"/>
        <v>714.1</v>
      </c>
    </row>
    <row r="3904" spans="1:4">
      <c r="A3904" s="23" t="s">
        <v>562</v>
      </c>
      <c r="B3904" t="s">
        <v>545</v>
      </c>
      <c r="C3904" t="s">
        <v>604</v>
      </c>
      <c r="D3904" s="29">
        <f t="shared" si="783"/>
        <v>0</v>
      </c>
    </row>
    <row r="3906" spans="1:4">
      <c r="A3906" s="23" t="s">
        <v>544</v>
      </c>
      <c r="B3906" t="s">
        <v>545</v>
      </c>
      <c r="C3906" t="s">
        <v>1460</v>
      </c>
      <c r="D3906" s="29">
        <f t="shared" ref="D3906" si="784">VALUE(LEFT(C3906,LEN(C3906)-2))</f>
        <v>19.100000000000001</v>
      </c>
    </row>
    <row r="3907" spans="1:4">
      <c r="A3907" s="23" t="s">
        <v>547</v>
      </c>
      <c r="B3907" t="s">
        <v>545</v>
      </c>
      <c r="C3907" s="24">
        <v>0.81</v>
      </c>
      <c r="D3907" s="27">
        <f t="shared" ref="D3907" si="785">VALUE(C3907*100)</f>
        <v>81</v>
      </c>
    </row>
    <row r="3908" spans="1:4">
      <c r="A3908" s="23" t="s">
        <v>548</v>
      </c>
      <c r="B3908" t="s">
        <v>545</v>
      </c>
      <c r="C3908" t="s">
        <v>905</v>
      </c>
      <c r="D3908" s="29">
        <f t="shared" ref="D3908" si="786">VALUE(LEFT(C3908,LEN(C3908)-2))</f>
        <v>15.6</v>
      </c>
    </row>
    <row r="3909" spans="1:4">
      <c r="A3909" s="23" t="s">
        <v>550</v>
      </c>
      <c r="B3909" t="s">
        <v>545</v>
      </c>
      <c r="C3909" t="s">
        <v>623</v>
      </c>
      <c r="D3909" s="28">
        <f t="shared" ref="D3909" si="787">VALUE(LEFT(C3909,LEN(C3909)-4))</f>
        <v>1015.2</v>
      </c>
    </row>
    <row r="3910" spans="1:4">
      <c r="A3910" s="23" t="s">
        <v>552</v>
      </c>
      <c r="B3910" t="s">
        <v>545</v>
      </c>
      <c r="C3910" t="s">
        <v>1338</v>
      </c>
      <c r="D3910" s="29">
        <f t="shared" ref="D3910:D3911" si="788">VALUE(LEFT(C3910,LEN(C3910)-FIND("km/h",C3910)+1)/3.6)</f>
        <v>2.4444444444444446</v>
      </c>
    </row>
    <row r="3911" spans="1:4">
      <c r="A3911" s="23" t="s">
        <v>554</v>
      </c>
      <c r="B3911" t="s">
        <v>545</v>
      </c>
      <c r="C3911" t="s">
        <v>763</v>
      </c>
      <c r="D3911" s="29">
        <f t="shared" si="788"/>
        <v>3.3888888888888884</v>
      </c>
    </row>
    <row r="3912" spans="1:4">
      <c r="A3912" s="23" t="s">
        <v>556</v>
      </c>
      <c r="B3912" t="s">
        <v>545</v>
      </c>
      <c r="C3912" t="s">
        <v>1507</v>
      </c>
      <c r="D3912" s="26">
        <f t="shared" ref="D3912" si="789">VALUE(LEFT(C3912,LEN(C3912)-7))</f>
        <v>277</v>
      </c>
    </row>
    <row r="3913" spans="1:4">
      <c r="A3913" s="23" t="s">
        <v>558</v>
      </c>
      <c r="B3913" t="s">
        <v>545</v>
      </c>
      <c r="C3913" t="s">
        <v>677</v>
      </c>
      <c r="D3913" s="29">
        <f t="shared" ref="D3913:D3915" si="790">VALUE(LEFT(C3913,LEN(C3913)-3))</f>
        <v>5</v>
      </c>
    </row>
    <row r="3914" spans="1:4">
      <c r="A3914" s="23" t="s">
        <v>560</v>
      </c>
      <c r="B3914" t="s">
        <v>545</v>
      </c>
      <c r="C3914" t="s">
        <v>1511</v>
      </c>
      <c r="D3914" s="29">
        <f t="shared" si="790"/>
        <v>716.1</v>
      </c>
    </row>
    <row r="3915" spans="1:4">
      <c r="A3915" s="23" t="s">
        <v>562</v>
      </c>
      <c r="B3915" t="s">
        <v>545</v>
      </c>
      <c r="C3915" t="s">
        <v>685</v>
      </c>
      <c r="D3915" s="29">
        <f t="shared" si="790"/>
        <v>2</v>
      </c>
    </row>
    <row r="3917" spans="1:4">
      <c r="A3917" s="23" t="s">
        <v>544</v>
      </c>
      <c r="B3917" t="s">
        <v>545</v>
      </c>
      <c r="C3917" t="s">
        <v>1469</v>
      </c>
      <c r="D3917" s="29">
        <f t="shared" ref="D3917" si="791">VALUE(LEFT(C3917,LEN(C3917)-2))</f>
        <v>18.100000000000001</v>
      </c>
    </row>
    <row r="3918" spans="1:4">
      <c r="A3918" s="23" t="s">
        <v>547</v>
      </c>
      <c r="B3918" t="s">
        <v>545</v>
      </c>
      <c r="C3918" s="24">
        <v>0.66</v>
      </c>
      <c r="D3918" s="27">
        <f t="shared" ref="D3918" si="792">VALUE(C3918*100)</f>
        <v>66</v>
      </c>
    </row>
    <row r="3919" spans="1:4">
      <c r="A3919" s="23" t="s">
        <v>548</v>
      </c>
      <c r="B3919" t="s">
        <v>545</v>
      </c>
      <c r="C3919" t="s">
        <v>903</v>
      </c>
      <c r="D3919" s="29">
        <f t="shared" ref="D3919" si="793">VALUE(LEFT(C3919,LEN(C3919)-2))</f>
        <v>10.9</v>
      </c>
    </row>
    <row r="3920" spans="1:4">
      <c r="A3920" s="23" t="s">
        <v>550</v>
      </c>
      <c r="B3920" t="s">
        <v>545</v>
      </c>
      <c r="C3920" t="s">
        <v>1512</v>
      </c>
      <c r="D3920" s="28">
        <f t="shared" ref="D3920" si="794">VALUE(LEFT(C3920,LEN(C3920)-4))</f>
        <v>1019.4</v>
      </c>
    </row>
    <row r="3921" spans="1:4">
      <c r="A3921" s="23" t="s">
        <v>552</v>
      </c>
      <c r="B3921" t="s">
        <v>545</v>
      </c>
      <c r="C3921" t="s">
        <v>855</v>
      </c>
      <c r="D3921" s="29">
        <f t="shared" ref="D3921:D3922" si="795">VALUE(LEFT(C3921,LEN(C3921)-FIND("km/h",C3921)+1)/3.6)</f>
        <v>2.75</v>
      </c>
    </row>
    <row r="3922" spans="1:4">
      <c r="A3922" s="23" t="s">
        <v>554</v>
      </c>
      <c r="B3922" t="s">
        <v>545</v>
      </c>
      <c r="C3922" t="s">
        <v>593</v>
      </c>
      <c r="D3922" s="29">
        <f t="shared" si="795"/>
        <v>3.8333333333333335</v>
      </c>
    </row>
    <row r="3923" spans="1:4">
      <c r="A3923" s="23" t="s">
        <v>556</v>
      </c>
      <c r="B3923" t="s">
        <v>545</v>
      </c>
      <c r="C3923" t="s">
        <v>880</v>
      </c>
      <c r="D3923" s="26">
        <f t="shared" ref="D3923" si="796">VALUE(LEFT(C3923,LEN(C3923)-7))</f>
        <v>327</v>
      </c>
    </row>
    <row r="3924" spans="1:4">
      <c r="A3924" s="23" t="s">
        <v>558</v>
      </c>
      <c r="B3924" t="s">
        <v>545</v>
      </c>
      <c r="C3924" t="s">
        <v>677</v>
      </c>
      <c r="D3924" s="29">
        <f t="shared" ref="D3924:D3926" si="797">VALUE(LEFT(C3924,LEN(C3924)-3))</f>
        <v>5</v>
      </c>
    </row>
    <row r="3925" spans="1:4">
      <c r="A3925" s="23" t="s">
        <v>560</v>
      </c>
      <c r="B3925" t="s">
        <v>545</v>
      </c>
      <c r="C3925" t="s">
        <v>1511</v>
      </c>
      <c r="D3925" s="29">
        <f t="shared" si="797"/>
        <v>716.1</v>
      </c>
    </row>
    <row r="3926" spans="1:4">
      <c r="A3926" s="23" t="s">
        <v>562</v>
      </c>
      <c r="B3926" t="s">
        <v>545</v>
      </c>
      <c r="C3926" t="s">
        <v>604</v>
      </c>
      <c r="D3926" s="29">
        <f t="shared" si="797"/>
        <v>0</v>
      </c>
    </row>
    <row r="3928" spans="1:4">
      <c r="A3928" s="23" t="s">
        <v>544</v>
      </c>
      <c r="B3928" t="s">
        <v>545</v>
      </c>
      <c r="C3928" t="s">
        <v>1034</v>
      </c>
      <c r="D3928" s="29">
        <f t="shared" ref="D3928" si="798">VALUE(LEFT(C3928,LEN(C3928)-2))</f>
        <v>18.5</v>
      </c>
    </row>
    <row r="3929" spans="1:4">
      <c r="A3929" s="23" t="s">
        <v>547</v>
      </c>
      <c r="B3929" t="s">
        <v>545</v>
      </c>
      <c r="C3929" s="24">
        <v>0.71</v>
      </c>
      <c r="D3929" s="27">
        <f t="shared" ref="D3929" si="799">VALUE(C3929*100)</f>
        <v>71</v>
      </c>
    </row>
    <row r="3930" spans="1:4">
      <c r="A3930" s="23" t="s">
        <v>548</v>
      </c>
      <c r="B3930" t="s">
        <v>545</v>
      </c>
      <c r="C3930" t="s">
        <v>564</v>
      </c>
      <c r="D3930" s="29">
        <f t="shared" ref="D3930" si="800">VALUE(LEFT(C3930,LEN(C3930)-2))</f>
        <v>12.7</v>
      </c>
    </row>
    <row r="3931" spans="1:4">
      <c r="A3931" s="23" t="s">
        <v>550</v>
      </c>
      <c r="B3931" t="s">
        <v>545</v>
      </c>
      <c r="C3931" t="s">
        <v>1512</v>
      </c>
      <c r="D3931" s="28">
        <f t="shared" ref="D3931" si="801">VALUE(LEFT(C3931,LEN(C3931)-4))</f>
        <v>1019.4</v>
      </c>
    </row>
    <row r="3932" spans="1:4">
      <c r="A3932" s="23" t="s">
        <v>552</v>
      </c>
      <c r="B3932" t="s">
        <v>545</v>
      </c>
      <c r="C3932" t="s">
        <v>974</v>
      </c>
      <c r="D3932" s="29">
        <f t="shared" ref="D3932:D3933" si="802">VALUE(LEFT(C3932,LEN(C3932)-FIND("km/h",C3932)+1)/3.6)</f>
        <v>2.25</v>
      </c>
    </row>
    <row r="3933" spans="1:4">
      <c r="A3933" s="23" t="s">
        <v>554</v>
      </c>
      <c r="B3933" t="s">
        <v>545</v>
      </c>
      <c r="C3933" t="s">
        <v>1415</v>
      </c>
      <c r="D3933" s="29">
        <f t="shared" si="802"/>
        <v>3.2499999999999996</v>
      </c>
    </row>
    <row r="3934" spans="1:4">
      <c r="A3934" s="23" t="s">
        <v>556</v>
      </c>
      <c r="B3934" t="s">
        <v>545</v>
      </c>
      <c r="C3934" t="s">
        <v>594</v>
      </c>
      <c r="D3934" s="26">
        <f t="shared" ref="D3934" si="803">VALUE(LEFT(C3934,LEN(C3934)-7))</f>
        <v>326</v>
      </c>
    </row>
    <row r="3935" spans="1:4">
      <c r="A3935" s="23" t="s">
        <v>558</v>
      </c>
      <c r="B3935" t="s">
        <v>545</v>
      </c>
      <c r="C3935" t="s">
        <v>677</v>
      </c>
      <c r="D3935" s="29">
        <f t="shared" ref="D3935:D3937" si="804">VALUE(LEFT(C3935,LEN(C3935)-3))</f>
        <v>5</v>
      </c>
    </row>
    <row r="3936" spans="1:4">
      <c r="A3936" s="23" t="s">
        <v>560</v>
      </c>
      <c r="B3936" t="s">
        <v>545</v>
      </c>
      <c r="C3936" t="s">
        <v>1511</v>
      </c>
      <c r="D3936" s="29">
        <f t="shared" si="804"/>
        <v>716.1</v>
      </c>
    </row>
    <row r="3937" spans="1:4">
      <c r="A3937" s="23" t="s">
        <v>562</v>
      </c>
      <c r="B3937" t="s">
        <v>545</v>
      </c>
      <c r="C3937" t="s">
        <v>604</v>
      </c>
      <c r="D3937" s="29">
        <f t="shared" si="804"/>
        <v>0</v>
      </c>
    </row>
    <row r="3939" spans="1:4">
      <c r="A3939" s="23" t="s">
        <v>544</v>
      </c>
      <c r="B3939" t="s">
        <v>545</v>
      </c>
      <c r="C3939" t="s">
        <v>910</v>
      </c>
      <c r="D3939" s="29">
        <f t="shared" ref="D3939" si="805">VALUE(LEFT(C3939,LEN(C3939)-2))</f>
        <v>20.8</v>
      </c>
    </row>
    <row r="3940" spans="1:4">
      <c r="A3940" s="23" t="s">
        <v>547</v>
      </c>
      <c r="B3940" t="s">
        <v>545</v>
      </c>
      <c r="C3940" s="24">
        <v>0.63</v>
      </c>
      <c r="D3940" s="27">
        <f t="shared" ref="D3940" si="806">VALUE(C3940*100)</f>
        <v>63</v>
      </c>
    </row>
    <row r="3941" spans="1:4">
      <c r="A3941" s="23" t="s">
        <v>548</v>
      </c>
      <c r="B3941" t="s">
        <v>545</v>
      </c>
      <c r="C3941" t="s">
        <v>1195</v>
      </c>
      <c r="D3941" s="29">
        <f t="shared" ref="D3941" si="807">VALUE(LEFT(C3941,LEN(C3941)-2))</f>
        <v>12.2</v>
      </c>
    </row>
    <row r="3942" spans="1:4">
      <c r="A3942" s="23" t="s">
        <v>550</v>
      </c>
      <c r="B3942" t="s">
        <v>545</v>
      </c>
      <c r="C3942" t="s">
        <v>952</v>
      </c>
      <c r="D3942" s="28">
        <f t="shared" ref="D3942" si="808">VALUE(LEFT(C3942,LEN(C3942)-4))</f>
        <v>1015</v>
      </c>
    </row>
    <row r="3943" spans="1:4">
      <c r="A3943" s="23" t="s">
        <v>552</v>
      </c>
      <c r="B3943" t="s">
        <v>545</v>
      </c>
      <c r="C3943" t="s">
        <v>785</v>
      </c>
      <c r="D3943" s="29">
        <f t="shared" ref="D3943:D3944" si="809">VALUE(LEFT(C3943,LEN(C3943)-FIND("km/h",C3943)+1)/3.6)</f>
        <v>1.7222222222222223</v>
      </c>
    </row>
    <row r="3944" spans="1:4">
      <c r="A3944" s="23" t="s">
        <v>554</v>
      </c>
      <c r="B3944" t="s">
        <v>545</v>
      </c>
      <c r="C3944" t="s">
        <v>933</v>
      </c>
      <c r="D3944" s="29">
        <f t="shared" si="809"/>
        <v>2.4166666666666665</v>
      </c>
    </row>
    <row r="3945" spans="1:4">
      <c r="A3945" s="23" t="s">
        <v>556</v>
      </c>
      <c r="B3945" t="s">
        <v>545</v>
      </c>
      <c r="C3945" t="s">
        <v>1419</v>
      </c>
      <c r="D3945" s="26">
        <f t="shared" ref="D3945" si="810">VALUE(LEFT(C3945,LEN(C3945)-7))</f>
        <v>309</v>
      </c>
    </row>
    <row r="3946" spans="1:4">
      <c r="A3946" s="23" t="s">
        <v>558</v>
      </c>
      <c r="B3946" t="s">
        <v>545</v>
      </c>
      <c r="C3946" t="s">
        <v>677</v>
      </c>
      <c r="D3946" s="29">
        <f t="shared" ref="D3946:D3948" si="811">VALUE(LEFT(C3946,LEN(C3946)-3))</f>
        <v>5</v>
      </c>
    </row>
    <row r="3947" spans="1:4">
      <c r="A3947" s="23" t="s">
        <v>560</v>
      </c>
      <c r="B3947" t="s">
        <v>545</v>
      </c>
      <c r="C3947" t="s">
        <v>1511</v>
      </c>
      <c r="D3947" s="29">
        <f t="shared" si="811"/>
        <v>716.1</v>
      </c>
    </row>
    <row r="3948" spans="1:4">
      <c r="A3948" s="23" t="s">
        <v>562</v>
      </c>
      <c r="B3948" t="s">
        <v>545</v>
      </c>
      <c r="C3948" t="s">
        <v>604</v>
      </c>
      <c r="D3948" s="29">
        <f t="shared" si="811"/>
        <v>0</v>
      </c>
    </row>
    <row r="3950" spans="1:4">
      <c r="A3950" s="23" t="s">
        <v>544</v>
      </c>
      <c r="B3950" t="s">
        <v>545</v>
      </c>
      <c r="C3950" t="s">
        <v>1513</v>
      </c>
      <c r="D3950" s="29">
        <f t="shared" ref="D3950" si="812">VALUE(LEFT(C3950,LEN(C3950)-2))</f>
        <v>21.9</v>
      </c>
    </row>
    <row r="3951" spans="1:4">
      <c r="A3951" s="23" t="s">
        <v>547</v>
      </c>
      <c r="B3951" t="s">
        <v>545</v>
      </c>
      <c r="C3951" s="24">
        <v>0.53</v>
      </c>
      <c r="D3951" s="27">
        <f t="shared" ref="D3951" si="813">VALUE(C3951*100)</f>
        <v>53</v>
      </c>
    </row>
    <row r="3952" spans="1:4">
      <c r="A3952" s="23" t="s">
        <v>548</v>
      </c>
      <c r="B3952" t="s">
        <v>545</v>
      </c>
      <c r="C3952" t="s">
        <v>737</v>
      </c>
      <c r="D3952" s="29">
        <f t="shared" ref="D3952" si="814">VALUE(LEFT(C3952,LEN(C3952)-2))</f>
        <v>10.6</v>
      </c>
    </row>
    <row r="3953" spans="1:4">
      <c r="A3953" s="23" t="s">
        <v>550</v>
      </c>
      <c r="B3953" t="s">
        <v>545</v>
      </c>
      <c r="C3953" t="s">
        <v>1397</v>
      </c>
      <c r="D3953" s="28">
        <f t="shared" ref="D3953" si="815">VALUE(LEFT(C3953,LEN(C3953)-4))</f>
        <v>1015.1</v>
      </c>
    </row>
    <row r="3954" spans="1:4">
      <c r="A3954" s="23" t="s">
        <v>552</v>
      </c>
      <c r="B3954" t="s">
        <v>545</v>
      </c>
      <c r="C3954" t="s">
        <v>795</v>
      </c>
      <c r="D3954" s="29">
        <f t="shared" ref="D3954:D3955" si="816">VALUE(LEFT(C3954,LEN(C3954)-FIND("km/h",C3954)+1)/3.6)</f>
        <v>1.6111111111111109</v>
      </c>
    </row>
    <row r="3955" spans="1:4">
      <c r="A3955" s="23" t="s">
        <v>554</v>
      </c>
      <c r="B3955" t="s">
        <v>545</v>
      </c>
      <c r="C3955" t="s">
        <v>839</v>
      </c>
      <c r="D3955" s="29">
        <f t="shared" si="816"/>
        <v>2.2222222222222223</v>
      </c>
    </row>
    <row r="3956" spans="1:4">
      <c r="A3956" s="23" t="s">
        <v>556</v>
      </c>
      <c r="B3956" t="s">
        <v>545</v>
      </c>
      <c r="C3956" t="s">
        <v>1514</v>
      </c>
      <c r="D3956" s="26">
        <f t="shared" ref="D3956" si="817">VALUE(LEFT(C3956,LEN(C3956)-7))</f>
        <v>331</v>
      </c>
    </row>
    <row r="3957" spans="1:4">
      <c r="A3957" s="23" t="s">
        <v>558</v>
      </c>
      <c r="B3957" t="s">
        <v>545</v>
      </c>
      <c r="C3957" t="s">
        <v>677</v>
      </c>
      <c r="D3957" s="29">
        <f t="shared" ref="D3957:D3959" si="818">VALUE(LEFT(C3957,LEN(C3957)-3))</f>
        <v>5</v>
      </c>
    </row>
    <row r="3958" spans="1:4">
      <c r="A3958" s="23" t="s">
        <v>560</v>
      </c>
      <c r="B3958" t="s">
        <v>545</v>
      </c>
      <c r="C3958" t="s">
        <v>1511</v>
      </c>
      <c r="D3958" s="29">
        <f t="shared" si="818"/>
        <v>716.1</v>
      </c>
    </row>
    <row r="3959" spans="1:4">
      <c r="A3959" s="23" t="s">
        <v>562</v>
      </c>
      <c r="B3959" t="s">
        <v>545</v>
      </c>
      <c r="C3959" t="s">
        <v>604</v>
      </c>
      <c r="D3959" s="29">
        <f t="shared" si="818"/>
        <v>0</v>
      </c>
    </row>
    <row r="3961" spans="1:4">
      <c r="A3961" s="23" t="s">
        <v>544</v>
      </c>
      <c r="B3961" t="s">
        <v>545</v>
      </c>
      <c r="C3961" t="s">
        <v>1513</v>
      </c>
      <c r="D3961" s="29">
        <f t="shared" ref="D3961" si="819">VALUE(LEFT(C3961,LEN(C3961)-2))</f>
        <v>21.9</v>
      </c>
    </row>
    <row r="3962" spans="1:4">
      <c r="A3962" s="23" t="s">
        <v>547</v>
      </c>
      <c r="B3962" t="s">
        <v>545</v>
      </c>
      <c r="C3962" s="24">
        <v>0.52</v>
      </c>
      <c r="D3962" s="27">
        <f t="shared" ref="D3962" si="820">VALUE(C3962*100)</f>
        <v>52</v>
      </c>
    </row>
    <row r="3963" spans="1:4">
      <c r="A3963" s="23" t="s">
        <v>548</v>
      </c>
      <c r="B3963" t="s">
        <v>545</v>
      </c>
      <c r="C3963" t="s">
        <v>1148</v>
      </c>
      <c r="D3963" s="29">
        <f t="shared" ref="D3963" si="821">VALUE(LEFT(C3963,LEN(C3963)-2))</f>
        <v>9.9</v>
      </c>
    </row>
    <row r="3964" spans="1:4">
      <c r="A3964" s="23" t="s">
        <v>550</v>
      </c>
      <c r="B3964" t="s">
        <v>545</v>
      </c>
      <c r="C3964" t="s">
        <v>1109</v>
      </c>
      <c r="D3964" s="28">
        <f t="shared" ref="D3964" si="822">VALUE(LEFT(C3964,LEN(C3964)-4))</f>
        <v>1015.9</v>
      </c>
    </row>
    <row r="3965" spans="1:4">
      <c r="A3965" s="23" t="s">
        <v>552</v>
      </c>
      <c r="B3965" t="s">
        <v>545</v>
      </c>
      <c r="C3965" t="s">
        <v>646</v>
      </c>
      <c r="D3965" s="29">
        <f t="shared" ref="D3965:D3966" si="823">VALUE(LEFT(C3965,LEN(C3965)-FIND("km/h",C3965)+1)/3.6)</f>
        <v>1.5833333333333333</v>
      </c>
    </row>
    <row r="3966" spans="1:4">
      <c r="A3966" s="23" t="s">
        <v>554</v>
      </c>
      <c r="B3966" t="s">
        <v>545</v>
      </c>
      <c r="C3966" t="s">
        <v>839</v>
      </c>
      <c r="D3966" s="29">
        <f t="shared" si="823"/>
        <v>2.2222222222222223</v>
      </c>
    </row>
    <row r="3967" spans="1:4">
      <c r="A3967" s="23" t="s">
        <v>556</v>
      </c>
      <c r="B3967" t="s">
        <v>545</v>
      </c>
      <c r="C3967" t="s">
        <v>782</v>
      </c>
      <c r="D3967" s="26">
        <f t="shared" ref="D3967" si="824">VALUE(LEFT(C3967,LEN(C3967)-7))</f>
        <v>324</v>
      </c>
    </row>
    <row r="3968" spans="1:4">
      <c r="A3968" s="23" t="s">
        <v>558</v>
      </c>
      <c r="B3968" t="s">
        <v>545</v>
      </c>
      <c r="C3968" t="s">
        <v>677</v>
      </c>
      <c r="D3968" s="29">
        <f t="shared" ref="D3968:D3970" si="825">VALUE(LEFT(C3968,LEN(C3968)-3))</f>
        <v>5</v>
      </c>
    </row>
    <row r="3969" spans="1:4">
      <c r="A3969" s="23" t="s">
        <v>560</v>
      </c>
      <c r="B3969" t="s">
        <v>545</v>
      </c>
      <c r="C3969" t="s">
        <v>1511</v>
      </c>
      <c r="D3969" s="29">
        <f t="shared" si="825"/>
        <v>716.1</v>
      </c>
    </row>
    <row r="3970" spans="1:4">
      <c r="A3970" s="23" t="s">
        <v>562</v>
      </c>
      <c r="B3970" t="s">
        <v>545</v>
      </c>
      <c r="C3970" t="s">
        <v>604</v>
      </c>
      <c r="D3970" s="29">
        <f t="shared" si="825"/>
        <v>0</v>
      </c>
    </row>
    <row r="3972" spans="1:4">
      <c r="A3972" s="23" t="s">
        <v>544</v>
      </c>
      <c r="B3972" t="s">
        <v>545</v>
      </c>
      <c r="C3972" t="s">
        <v>1417</v>
      </c>
      <c r="D3972" s="29">
        <f t="shared" ref="D3972" si="826">VALUE(LEFT(C3972,LEN(C3972)-2))</f>
        <v>20</v>
      </c>
    </row>
    <row r="3973" spans="1:4">
      <c r="A3973" s="23" t="s">
        <v>547</v>
      </c>
      <c r="B3973" t="s">
        <v>545</v>
      </c>
      <c r="C3973" s="24">
        <v>0.67</v>
      </c>
      <c r="D3973" s="27">
        <f t="shared" ref="D3973" si="827">VALUE(C3973*100)</f>
        <v>67</v>
      </c>
    </row>
    <row r="3974" spans="1:4">
      <c r="A3974" s="23" t="s">
        <v>548</v>
      </c>
      <c r="B3974" t="s">
        <v>545</v>
      </c>
      <c r="C3974" t="s">
        <v>546</v>
      </c>
      <c r="D3974" s="29">
        <f t="shared" ref="D3974" si="828">VALUE(LEFT(C3974,LEN(C3974)-2))</f>
        <v>12.9</v>
      </c>
    </row>
    <row r="3975" spans="1:4">
      <c r="A3975" s="23" t="s">
        <v>550</v>
      </c>
      <c r="B3975" t="s">
        <v>545</v>
      </c>
      <c r="C3975" t="s">
        <v>805</v>
      </c>
      <c r="D3975" s="28">
        <f t="shared" ref="D3975" si="829">VALUE(LEFT(C3975,LEN(C3975)-4))</f>
        <v>1015.6</v>
      </c>
    </row>
    <row r="3976" spans="1:4">
      <c r="A3976" s="23" t="s">
        <v>552</v>
      </c>
      <c r="B3976" t="s">
        <v>545</v>
      </c>
      <c r="C3976" t="s">
        <v>646</v>
      </c>
      <c r="D3976" s="29">
        <f t="shared" ref="D3976:D3977" si="830">VALUE(LEFT(C3976,LEN(C3976)-FIND("km/h",C3976)+1)/3.6)</f>
        <v>1.5833333333333333</v>
      </c>
    </row>
    <row r="3977" spans="1:4">
      <c r="A3977" s="23" t="s">
        <v>554</v>
      </c>
      <c r="B3977" t="s">
        <v>545</v>
      </c>
      <c r="C3977" t="s">
        <v>839</v>
      </c>
      <c r="D3977" s="29">
        <f t="shared" si="830"/>
        <v>2.2222222222222223</v>
      </c>
    </row>
    <row r="3978" spans="1:4">
      <c r="A3978" s="23" t="s">
        <v>556</v>
      </c>
      <c r="B3978" t="s">
        <v>545</v>
      </c>
      <c r="C3978" t="s">
        <v>1515</v>
      </c>
      <c r="D3978" s="26">
        <f t="shared" ref="D3978" si="831">VALUE(LEFT(C3978,LEN(C3978)-7))</f>
        <v>272</v>
      </c>
    </row>
    <row r="3979" spans="1:4">
      <c r="A3979" s="23" t="s">
        <v>558</v>
      </c>
      <c r="B3979" t="s">
        <v>545</v>
      </c>
      <c r="C3979" t="s">
        <v>677</v>
      </c>
      <c r="D3979" s="29">
        <f t="shared" ref="D3979:D3981" si="832">VALUE(LEFT(C3979,LEN(C3979)-3))</f>
        <v>5</v>
      </c>
    </row>
    <row r="3980" spans="1:4">
      <c r="A3980" s="23" t="s">
        <v>560</v>
      </c>
      <c r="B3980" t="s">
        <v>545</v>
      </c>
      <c r="C3980" t="s">
        <v>1511</v>
      </c>
      <c r="D3980" s="29">
        <f t="shared" si="832"/>
        <v>716.1</v>
      </c>
    </row>
    <row r="3981" spans="1:4">
      <c r="A3981" s="23" t="s">
        <v>562</v>
      </c>
      <c r="B3981" t="s">
        <v>545</v>
      </c>
      <c r="C3981" t="s">
        <v>604</v>
      </c>
      <c r="D3981" s="29">
        <f t="shared" si="832"/>
        <v>0</v>
      </c>
    </row>
    <row r="3983" spans="1:4">
      <c r="A3983" s="23" t="s">
        <v>544</v>
      </c>
      <c r="B3983" t="s">
        <v>545</v>
      </c>
      <c r="C3983" t="s">
        <v>787</v>
      </c>
      <c r="D3983" s="29">
        <f t="shared" ref="D3983" si="833">VALUE(LEFT(C3983,LEN(C3983)-2))</f>
        <v>19.2</v>
      </c>
    </row>
    <row r="3984" spans="1:4">
      <c r="A3984" s="23" t="s">
        <v>547</v>
      </c>
      <c r="B3984" t="s">
        <v>545</v>
      </c>
      <c r="C3984" s="24">
        <v>0.76</v>
      </c>
      <c r="D3984" s="27">
        <f t="shared" ref="D3984" si="834">VALUE(C3984*100)</f>
        <v>76</v>
      </c>
    </row>
    <row r="3985" spans="1:4">
      <c r="A3985" s="23" t="s">
        <v>548</v>
      </c>
      <c r="B3985" t="s">
        <v>545</v>
      </c>
      <c r="C3985" t="s">
        <v>1038</v>
      </c>
      <c r="D3985" s="29">
        <f t="shared" ref="D3985" si="835">VALUE(LEFT(C3985,LEN(C3985)-2))</f>
        <v>14.4</v>
      </c>
    </row>
    <row r="3986" spans="1:4">
      <c r="A3986" s="23" t="s">
        <v>550</v>
      </c>
      <c r="B3986" t="s">
        <v>545</v>
      </c>
      <c r="C3986" t="s">
        <v>909</v>
      </c>
      <c r="D3986" s="28">
        <f t="shared" ref="D3986" si="836">VALUE(LEFT(C3986,LEN(C3986)-4))</f>
        <v>1017</v>
      </c>
    </row>
    <row r="3987" spans="1:4">
      <c r="A3987" s="23" t="s">
        <v>552</v>
      </c>
      <c r="B3987" t="s">
        <v>545</v>
      </c>
      <c r="C3987" t="s">
        <v>790</v>
      </c>
      <c r="D3987" s="29">
        <f t="shared" ref="D3987:D3988" si="837">VALUE(LEFT(C3987,LEN(C3987)-FIND("km/h",C3987)+1)/3.6)</f>
        <v>2.6111111111111112</v>
      </c>
    </row>
    <row r="3988" spans="1:4">
      <c r="A3988" s="23" t="s">
        <v>554</v>
      </c>
      <c r="B3988" t="s">
        <v>545</v>
      </c>
      <c r="C3988" t="s">
        <v>1516</v>
      </c>
      <c r="D3988" s="29">
        <f t="shared" si="837"/>
        <v>3.7222222222222223</v>
      </c>
    </row>
    <row r="3989" spans="1:4">
      <c r="A3989" s="23" t="s">
        <v>556</v>
      </c>
      <c r="B3989" t="s">
        <v>545</v>
      </c>
      <c r="C3989" t="s">
        <v>666</v>
      </c>
      <c r="D3989" s="26">
        <f t="shared" ref="D3989" si="838">VALUE(LEFT(C3989,LEN(C3989)-7))</f>
        <v>300</v>
      </c>
    </row>
    <row r="3990" spans="1:4">
      <c r="A3990" s="23" t="s">
        <v>558</v>
      </c>
      <c r="B3990" t="s">
        <v>545</v>
      </c>
      <c r="C3990" t="s">
        <v>677</v>
      </c>
      <c r="D3990" s="29">
        <f t="shared" ref="D3990:D3992" si="839">VALUE(LEFT(C3990,LEN(C3990)-3))</f>
        <v>5</v>
      </c>
    </row>
    <row r="3991" spans="1:4">
      <c r="A3991" s="23" t="s">
        <v>560</v>
      </c>
      <c r="B3991" t="s">
        <v>545</v>
      </c>
      <c r="C3991" t="s">
        <v>1511</v>
      </c>
      <c r="D3991" s="29">
        <f t="shared" si="839"/>
        <v>716.1</v>
      </c>
    </row>
    <row r="3992" spans="1:4">
      <c r="A3992" s="23" t="s">
        <v>562</v>
      </c>
      <c r="B3992" t="s">
        <v>545</v>
      </c>
      <c r="C3992" t="s">
        <v>604</v>
      </c>
      <c r="D3992" s="29">
        <f t="shared" si="839"/>
        <v>0</v>
      </c>
    </row>
    <row r="3994" spans="1:4">
      <c r="A3994" s="23" t="s">
        <v>544</v>
      </c>
      <c r="B3994" t="s">
        <v>545</v>
      </c>
      <c r="C3994" t="s">
        <v>1383</v>
      </c>
      <c r="D3994" s="29">
        <f t="shared" ref="D3994" si="840">VALUE(LEFT(C3994,LEN(C3994)-2))</f>
        <v>20.399999999999999</v>
      </c>
    </row>
    <row r="3995" spans="1:4">
      <c r="A3995" s="23" t="s">
        <v>547</v>
      </c>
      <c r="B3995" t="s">
        <v>545</v>
      </c>
      <c r="C3995" s="24">
        <v>0.77</v>
      </c>
      <c r="D3995" s="27">
        <f t="shared" ref="D3995" si="841">VALUE(C3995*100)</f>
        <v>77</v>
      </c>
    </row>
    <row r="3996" spans="1:4">
      <c r="A3996" s="23" t="s">
        <v>548</v>
      </c>
      <c r="B3996" t="s">
        <v>545</v>
      </c>
      <c r="C3996" t="s">
        <v>968</v>
      </c>
      <c r="D3996" s="29">
        <f t="shared" ref="D3996" si="842">VALUE(LEFT(C3996,LEN(C3996)-2))</f>
        <v>15.8</v>
      </c>
    </row>
    <row r="3997" spans="1:4">
      <c r="A3997" s="23" t="s">
        <v>550</v>
      </c>
      <c r="B3997" t="s">
        <v>545</v>
      </c>
      <c r="C3997" t="s">
        <v>993</v>
      </c>
      <c r="D3997" s="28">
        <f t="shared" ref="D3997" si="843">VALUE(LEFT(C3997,LEN(C3997)-4))</f>
        <v>1016.3</v>
      </c>
    </row>
    <row r="3998" spans="1:4">
      <c r="A3998" s="23" t="s">
        <v>552</v>
      </c>
      <c r="B3998" t="s">
        <v>545</v>
      </c>
      <c r="C3998" t="s">
        <v>692</v>
      </c>
      <c r="D3998" s="29">
        <f t="shared" ref="D3998:D3999" si="844">VALUE(LEFT(C3998,LEN(C3998)-FIND("km/h",C3998)+1)/3.6)</f>
        <v>2.1388888888888888</v>
      </c>
    </row>
    <row r="3999" spans="1:4">
      <c r="A3999" s="23" t="s">
        <v>554</v>
      </c>
      <c r="B3999" t="s">
        <v>545</v>
      </c>
      <c r="C3999" t="s">
        <v>567</v>
      </c>
      <c r="D3999" s="29">
        <f t="shared" si="844"/>
        <v>3.1111111111111107</v>
      </c>
    </row>
    <row r="4000" spans="1:4">
      <c r="A4000" s="23" t="s">
        <v>556</v>
      </c>
      <c r="B4000" t="s">
        <v>545</v>
      </c>
      <c r="C4000" t="s">
        <v>827</v>
      </c>
      <c r="D4000" s="26">
        <f t="shared" ref="D4000" si="845">VALUE(LEFT(C4000,LEN(C4000)-7))</f>
        <v>298</v>
      </c>
    </row>
    <row r="4001" spans="1:4">
      <c r="A4001" s="23" t="s">
        <v>558</v>
      </c>
      <c r="B4001" t="s">
        <v>545</v>
      </c>
      <c r="C4001" t="s">
        <v>677</v>
      </c>
      <c r="D4001" s="29">
        <f t="shared" ref="D4001:D4003" si="846">VALUE(LEFT(C4001,LEN(C4001)-3))</f>
        <v>5</v>
      </c>
    </row>
    <row r="4002" spans="1:4">
      <c r="A4002" s="23" t="s">
        <v>560</v>
      </c>
      <c r="B4002" t="s">
        <v>545</v>
      </c>
      <c r="C4002" t="s">
        <v>1511</v>
      </c>
      <c r="D4002" s="29">
        <f t="shared" si="846"/>
        <v>716.1</v>
      </c>
    </row>
    <row r="4003" spans="1:4">
      <c r="A4003" s="23" t="s">
        <v>562</v>
      </c>
      <c r="B4003" t="s">
        <v>545</v>
      </c>
      <c r="C4003" t="s">
        <v>604</v>
      </c>
      <c r="D4003" s="29">
        <f t="shared" si="846"/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L364"/>
  <sheetViews>
    <sheetView zoomScale="85" zoomScaleNormal="85" workbookViewId="0">
      <pane ySplit="1" topLeftCell="A2" activePane="bottomLeft" state="frozen"/>
      <selection pane="bottomLeft"/>
    </sheetView>
  </sheetViews>
  <sheetFormatPr defaultRowHeight="12.75"/>
  <cols>
    <col min="1" max="1" width="9.42578125" bestFit="1" customWidth="1"/>
    <col min="3" max="3" width="18.28515625" bestFit="1" customWidth="1"/>
    <col min="4" max="4" width="15.28515625" bestFit="1" customWidth="1"/>
    <col min="5" max="5" width="15.5703125" bestFit="1" customWidth="1"/>
    <col min="6" max="6" width="16.5703125" bestFit="1" customWidth="1"/>
    <col min="7" max="7" width="17" bestFit="1" customWidth="1"/>
    <col min="8" max="8" width="16.85546875" bestFit="1" customWidth="1"/>
    <col min="9" max="9" width="15.28515625" bestFit="1" customWidth="1"/>
    <col min="10" max="10" width="15.42578125" bestFit="1" customWidth="1"/>
    <col min="11" max="11" width="13.85546875" bestFit="1" customWidth="1"/>
    <col min="12" max="12" width="13.28515625" bestFit="1" customWidth="1"/>
  </cols>
  <sheetData>
    <row r="1" spans="1:12" s="30" customFormat="1">
      <c r="A1" s="31" t="s">
        <v>873</v>
      </c>
      <c r="B1" s="31" t="s">
        <v>563</v>
      </c>
      <c r="C1" s="32" t="s">
        <v>544</v>
      </c>
      <c r="D1" s="33" t="s">
        <v>547</v>
      </c>
      <c r="E1" s="32" t="s">
        <v>548</v>
      </c>
      <c r="F1" s="34" t="s">
        <v>550</v>
      </c>
      <c r="G1" s="32" t="s">
        <v>552</v>
      </c>
      <c r="H1" s="32" t="s">
        <v>554</v>
      </c>
      <c r="I1" s="35" t="s">
        <v>556</v>
      </c>
      <c r="J1" s="32" t="s">
        <v>558</v>
      </c>
      <c r="K1" s="32" t="s">
        <v>560</v>
      </c>
      <c r="L1" s="32" t="s">
        <v>562</v>
      </c>
    </row>
    <row r="2" spans="1:12" s="30" customFormat="1">
      <c r="A2" s="31" t="s">
        <v>1370</v>
      </c>
      <c r="B2" s="31">
        <v>17</v>
      </c>
      <c r="C2" s="32">
        <v>18.3</v>
      </c>
      <c r="D2" s="33">
        <v>0</v>
      </c>
      <c r="E2" s="32">
        <v>50</v>
      </c>
      <c r="F2" s="34">
        <v>1018</v>
      </c>
      <c r="G2" s="32">
        <v>1.1111111111111112</v>
      </c>
      <c r="H2" s="32">
        <v>1.9166666666666667</v>
      </c>
      <c r="I2" s="35">
        <v>306</v>
      </c>
      <c r="J2" s="32">
        <v>0</v>
      </c>
      <c r="K2" s="32">
        <v>381</v>
      </c>
      <c r="L2" s="32">
        <v>0</v>
      </c>
    </row>
    <row r="3" spans="1:12" s="30" customFormat="1">
      <c r="A3" s="31" t="s">
        <v>1370</v>
      </c>
      <c r="B3" s="31">
        <v>18</v>
      </c>
      <c r="C3" s="32">
        <v>17.899999999999999</v>
      </c>
      <c r="D3" s="33">
        <v>27</v>
      </c>
      <c r="E3" s="32">
        <v>38</v>
      </c>
      <c r="F3" s="34">
        <v>1016.7</v>
      </c>
      <c r="G3" s="32">
        <v>0.69444444444444442</v>
      </c>
      <c r="H3" s="32">
        <v>1.2222222222222223</v>
      </c>
      <c r="I3" s="35">
        <v>251</v>
      </c>
      <c r="J3" s="32">
        <v>0</v>
      </c>
      <c r="K3" s="32">
        <v>381</v>
      </c>
      <c r="L3" s="32">
        <v>0</v>
      </c>
    </row>
    <row r="4" spans="1:12" s="30" customFormat="1">
      <c r="A4" s="31" t="s">
        <v>1370</v>
      </c>
      <c r="B4" s="31">
        <v>19</v>
      </c>
      <c r="C4" s="32">
        <v>17.3</v>
      </c>
      <c r="D4" s="33">
        <v>86</v>
      </c>
      <c r="E4" s="32">
        <v>14.9</v>
      </c>
      <c r="F4" s="34">
        <v>1014.5</v>
      </c>
      <c r="G4" s="32">
        <v>0.77777777777777768</v>
      </c>
      <c r="H4" s="32">
        <v>1.2222222222222223</v>
      </c>
      <c r="I4" s="35">
        <v>225</v>
      </c>
      <c r="J4" s="32">
        <v>0</v>
      </c>
      <c r="K4" s="32">
        <v>381</v>
      </c>
      <c r="L4" s="32">
        <v>0</v>
      </c>
    </row>
    <row r="5" spans="1:12" s="30" customFormat="1">
      <c r="A5" s="31" t="s">
        <v>1370</v>
      </c>
      <c r="B5" s="31">
        <v>20</v>
      </c>
      <c r="C5" s="32">
        <v>21.2</v>
      </c>
      <c r="D5" s="33">
        <v>63</v>
      </c>
      <c r="E5" s="32">
        <v>13.5</v>
      </c>
      <c r="F5" s="34">
        <v>1013.9</v>
      </c>
      <c r="G5" s="32">
        <v>1.8055555555555556</v>
      </c>
      <c r="H5" s="32">
        <v>2.6666666666666665</v>
      </c>
      <c r="I5" s="35">
        <v>293</v>
      </c>
      <c r="J5" s="32">
        <v>0</v>
      </c>
      <c r="K5" s="32">
        <v>381</v>
      </c>
      <c r="L5" s="32">
        <v>0</v>
      </c>
    </row>
    <row r="6" spans="1:12" s="30" customFormat="1">
      <c r="A6" s="31" t="s">
        <v>1370</v>
      </c>
      <c r="B6" s="31">
        <v>21</v>
      </c>
      <c r="C6" s="32">
        <v>20.399999999999999</v>
      </c>
      <c r="D6" s="33">
        <v>65</v>
      </c>
      <c r="E6" s="32">
        <v>13.3</v>
      </c>
      <c r="F6" s="34">
        <v>1015.3</v>
      </c>
      <c r="G6" s="32">
        <v>1.5277777777777777</v>
      </c>
      <c r="H6" s="32">
        <v>2.2777777777777777</v>
      </c>
      <c r="I6" s="35">
        <v>300</v>
      </c>
      <c r="J6" s="32">
        <v>0</v>
      </c>
      <c r="K6" s="32">
        <v>381</v>
      </c>
      <c r="L6" s="32">
        <v>0</v>
      </c>
    </row>
    <row r="7" spans="1:12" s="30" customFormat="1">
      <c r="A7" s="31" t="s">
        <v>1370</v>
      </c>
      <c r="B7" s="31">
        <v>22</v>
      </c>
      <c r="C7" s="32">
        <v>20.100000000000001</v>
      </c>
      <c r="D7" s="33">
        <v>71</v>
      </c>
      <c r="E7" s="32">
        <v>14.2</v>
      </c>
      <c r="F7" s="34">
        <v>1015.6</v>
      </c>
      <c r="G7" s="32">
        <v>1.5</v>
      </c>
      <c r="H7" s="32">
        <v>2.1666666666666665</v>
      </c>
      <c r="I7" s="35">
        <v>318</v>
      </c>
      <c r="J7" s="32">
        <v>0</v>
      </c>
      <c r="K7" s="32">
        <v>381</v>
      </c>
      <c r="L7" s="32">
        <v>0</v>
      </c>
    </row>
    <row r="8" spans="1:12" s="30" customFormat="1">
      <c r="A8" s="31" t="s">
        <v>1370</v>
      </c>
      <c r="B8" s="31">
        <v>23</v>
      </c>
      <c r="C8" s="32">
        <v>20.399999999999999</v>
      </c>
      <c r="D8" s="33">
        <v>68</v>
      </c>
      <c r="E8" s="32">
        <v>13.2</v>
      </c>
      <c r="F8" s="34">
        <v>1015.8</v>
      </c>
      <c r="G8" s="32">
        <v>1.4722222222222221</v>
      </c>
      <c r="H8" s="32">
        <v>2.0833333333333335</v>
      </c>
      <c r="I8" s="35">
        <v>308</v>
      </c>
      <c r="J8" s="32">
        <v>0</v>
      </c>
      <c r="K8" s="32">
        <v>381</v>
      </c>
      <c r="L8" s="32">
        <v>0</v>
      </c>
    </row>
    <row r="9" spans="1:12" s="30" customFormat="1">
      <c r="A9" s="31" t="s">
        <v>1370</v>
      </c>
      <c r="B9" s="31">
        <v>24</v>
      </c>
      <c r="C9" s="32">
        <v>21.8</v>
      </c>
      <c r="D9" s="33">
        <v>71</v>
      </c>
      <c r="E9" s="32">
        <v>15.5</v>
      </c>
      <c r="F9" s="34">
        <v>1016.7</v>
      </c>
      <c r="G9" s="32">
        <v>1.3333333333333333</v>
      </c>
      <c r="H9" s="32">
        <v>1.9722222222222221</v>
      </c>
      <c r="I9" s="35">
        <v>301</v>
      </c>
      <c r="J9" s="32">
        <v>0</v>
      </c>
      <c r="K9" s="32">
        <v>381</v>
      </c>
      <c r="L9" s="32">
        <v>0</v>
      </c>
    </row>
    <row r="10" spans="1:12" s="30" customFormat="1">
      <c r="A10" s="31" t="s">
        <v>1370</v>
      </c>
      <c r="B10" s="31">
        <v>25</v>
      </c>
      <c r="C10" s="32">
        <v>21.6</v>
      </c>
      <c r="D10" s="33">
        <v>75</v>
      </c>
      <c r="E10" s="32">
        <v>16.899999999999999</v>
      </c>
      <c r="F10" s="34">
        <v>1015.8</v>
      </c>
      <c r="G10" s="32">
        <v>1.5833333333333333</v>
      </c>
      <c r="H10" s="32">
        <v>2.3611111111111112</v>
      </c>
      <c r="I10" s="35">
        <v>294</v>
      </c>
      <c r="J10" s="32">
        <v>0</v>
      </c>
      <c r="K10" s="32">
        <v>381</v>
      </c>
      <c r="L10" s="32">
        <v>0</v>
      </c>
    </row>
    <row r="11" spans="1:12" s="30" customFormat="1">
      <c r="A11" s="31" t="s">
        <v>1370</v>
      </c>
      <c r="B11" s="31">
        <v>26</v>
      </c>
      <c r="C11" s="32">
        <v>19.600000000000001</v>
      </c>
      <c r="D11" s="33">
        <v>70</v>
      </c>
      <c r="E11" s="32">
        <v>13.2</v>
      </c>
      <c r="F11" s="34">
        <v>1012.4</v>
      </c>
      <c r="G11" s="32">
        <v>1.3611111111111112</v>
      </c>
      <c r="H11" s="32">
        <v>2</v>
      </c>
      <c r="I11" s="35">
        <v>289</v>
      </c>
      <c r="J11" s="32">
        <v>0</v>
      </c>
      <c r="K11" s="32">
        <v>381</v>
      </c>
      <c r="L11" s="32">
        <v>0</v>
      </c>
    </row>
    <row r="12" spans="1:12" s="30" customFormat="1">
      <c r="A12" s="31" t="s">
        <v>1370</v>
      </c>
      <c r="B12" s="31">
        <v>27</v>
      </c>
      <c r="C12" s="32">
        <v>20.100000000000001</v>
      </c>
      <c r="D12" s="33">
        <v>64</v>
      </c>
      <c r="E12" s="32">
        <v>12.4</v>
      </c>
      <c r="F12" s="34">
        <v>1010.9</v>
      </c>
      <c r="G12" s="32">
        <v>2.3333333333333335</v>
      </c>
      <c r="H12" s="32">
        <v>3.2777777777777777</v>
      </c>
      <c r="I12" s="35">
        <v>226</v>
      </c>
      <c r="J12" s="32">
        <v>0</v>
      </c>
      <c r="K12" s="32">
        <v>381</v>
      </c>
      <c r="L12" s="32">
        <v>0</v>
      </c>
    </row>
    <row r="13" spans="1:12" s="30" customFormat="1">
      <c r="A13" s="31" t="s">
        <v>1370</v>
      </c>
      <c r="B13" s="31">
        <v>28</v>
      </c>
      <c r="C13" s="32">
        <v>20.3</v>
      </c>
      <c r="D13" s="33">
        <v>68</v>
      </c>
      <c r="E13" s="32">
        <v>13.6</v>
      </c>
      <c r="F13" s="34">
        <v>1015.5</v>
      </c>
      <c r="G13" s="32">
        <v>2.1388888888888888</v>
      </c>
      <c r="H13" s="32">
        <v>3.083333333333333</v>
      </c>
      <c r="I13" s="35">
        <v>221</v>
      </c>
      <c r="J13" s="32">
        <v>0</v>
      </c>
      <c r="K13" s="32">
        <v>381</v>
      </c>
      <c r="L13" s="32">
        <v>0</v>
      </c>
    </row>
    <row r="14" spans="1:12" s="30" customFormat="1">
      <c r="A14" s="31" t="s">
        <v>1370</v>
      </c>
      <c r="B14" s="31">
        <v>29</v>
      </c>
      <c r="C14" s="32">
        <v>20.5</v>
      </c>
      <c r="D14" s="33">
        <v>71</v>
      </c>
      <c r="E14" s="32">
        <v>14.3</v>
      </c>
      <c r="F14" s="34">
        <v>1022.2</v>
      </c>
      <c r="G14" s="32">
        <v>1.3055555555555556</v>
      </c>
      <c r="H14" s="32">
        <v>1.9444444444444444</v>
      </c>
      <c r="I14" s="35">
        <v>299</v>
      </c>
      <c r="J14" s="32">
        <v>0</v>
      </c>
      <c r="K14" s="32">
        <v>381</v>
      </c>
      <c r="L14" s="32">
        <v>0</v>
      </c>
    </row>
    <row r="15" spans="1:12" s="30" customFormat="1">
      <c r="A15" s="31" t="s">
        <v>1370</v>
      </c>
      <c r="B15" s="31">
        <v>30</v>
      </c>
      <c r="C15" s="32">
        <v>21.6</v>
      </c>
      <c r="D15" s="33">
        <v>68</v>
      </c>
      <c r="E15" s="32">
        <v>14.5</v>
      </c>
      <c r="F15" s="34">
        <v>1020.7</v>
      </c>
      <c r="G15" s="32">
        <v>1.3888888888888888</v>
      </c>
      <c r="H15" s="32">
        <v>2.0277777777777777</v>
      </c>
      <c r="I15" s="35">
        <v>327</v>
      </c>
      <c r="J15" s="32">
        <v>0</v>
      </c>
      <c r="K15" s="32">
        <v>381</v>
      </c>
      <c r="L15" s="32">
        <v>0</v>
      </c>
    </row>
    <row r="16" spans="1:12" s="30" customFormat="1">
      <c r="A16" s="31" t="s">
        <v>1370</v>
      </c>
      <c r="B16" s="31">
        <v>31</v>
      </c>
      <c r="C16" s="32">
        <v>21.3</v>
      </c>
      <c r="D16" s="33">
        <v>74</v>
      </c>
      <c r="E16" s="32">
        <v>15.9</v>
      </c>
      <c r="F16" s="34">
        <v>1015.1</v>
      </c>
      <c r="G16" s="32">
        <v>1.3055555555555556</v>
      </c>
      <c r="H16" s="32">
        <v>2.0555555555555558</v>
      </c>
      <c r="I16" s="35">
        <v>319</v>
      </c>
      <c r="J16" s="32">
        <v>0</v>
      </c>
      <c r="K16" s="32">
        <v>381</v>
      </c>
      <c r="L16" s="32">
        <v>0</v>
      </c>
    </row>
    <row r="17" spans="1:12" s="30" customFormat="1">
      <c r="A17" s="31" t="s">
        <v>1369</v>
      </c>
      <c r="B17" s="31">
        <v>1</v>
      </c>
      <c r="C17" s="32">
        <v>21.8</v>
      </c>
      <c r="D17" s="33">
        <v>68</v>
      </c>
      <c r="E17" s="32">
        <v>15</v>
      </c>
      <c r="F17" s="34">
        <v>1012.1</v>
      </c>
      <c r="G17" s="32">
        <v>1.1944444444444444</v>
      </c>
      <c r="H17" s="32">
        <v>1.9166666666666667</v>
      </c>
      <c r="I17" s="35">
        <v>286</v>
      </c>
      <c r="J17" s="32">
        <v>0</v>
      </c>
      <c r="K17" s="32">
        <v>385.3</v>
      </c>
      <c r="L17" s="32">
        <v>0</v>
      </c>
    </row>
    <row r="18" spans="1:12" s="30" customFormat="1">
      <c r="A18" s="31" t="s">
        <v>1369</v>
      </c>
      <c r="B18" s="31">
        <v>2</v>
      </c>
      <c r="C18" s="32">
        <v>21.1</v>
      </c>
      <c r="D18" s="33">
        <v>69</v>
      </c>
      <c r="E18" s="32">
        <v>14.5</v>
      </c>
      <c r="F18" s="34">
        <v>1016.4</v>
      </c>
      <c r="G18" s="32">
        <v>1.7777777777777779</v>
      </c>
      <c r="H18" s="32">
        <v>2.6388888888888888</v>
      </c>
      <c r="I18" s="35">
        <v>269</v>
      </c>
      <c r="J18" s="32">
        <v>0</v>
      </c>
      <c r="K18" s="32">
        <v>385.3</v>
      </c>
      <c r="L18" s="32">
        <v>0</v>
      </c>
    </row>
    <row r="19" spans="1:12" s="30" customFormat="1">
      <c r="A19" s="31" t="s">
        <v>1369</v>
      </c>
      <c r="B19" s="31">
        <v>3</v>
      </c>
      <c r="C19" s="32">
        <v>19.899999999999999</v>
      </c>
      <c r="D19" s="33">
        <v>68</v>
      </c>
      <c r="E19" s="32">
        <v>13.2</v>
      </c>
      <c r="F19" s="34">
        <v>1019.9</v>
      </c>
      <c r="G19" s="32">
        <v>2.0555555555555558</v>
      </c>
      <c r="H19" s="32">
        <v>2.8611111111111112</v>
      </c>
      <c r="I19" s="35">
        <v>327</v>
      </c>
      <c r="J19" s="32">
        <v>0</v>
      </c>
      <c r="K19" s="32">
        <v>385.3</v>
      </c>
      <c r="L19" s="32">
        <v>0</v>
      </c>
    </row>
    <row r="20" spans="1:12" s="30" customFormat="1">
      <c r="A20" s="31" t="s">
        <v>1369</v>
      </c>
      <c r="B20" s="31">
        <v>4</v>
      </c>
      <c r="C20" s="32">
        <v>20.3</v>
      </c>
      <c r="D20" s="33">
        <v>70</v>
      </c>
      <c r="E20" s="32">
        <v>13.8</v>
      </c>
      <c r="F20" s="34">
        <v>1019.2</v>
      </c>
      <c r="G20" s="32">
        <v>1.9722222222222221</v>
      </c>
      <c r="H20" s="32">
        <v>2.8055555555555554</v>
      </c>
      <c r="I20" s="35">
        <v>321</v>
      </c>
      <c r="J20" s="32">
        <v>0</v>
      </c>
      <c r="K20" s="32">
        <v>385.3</v>
      </c>
      <c r="L20" s="32">
        <v>0</v>
      </c>
    </row>
    <row r="21" spans="1:12" s="30" customFormat="1">
      <c r="A21" s="31" t="s">
        <v>1369</v>
      </c>
      <c r="B21" s="31">
        <v>5</v>
      </c>
      <c r="C21" s="32">
        <v>20.9</v>
      </c>
      <c r="D21" s="33">
        <v>74</v>
      </c>
      <c r="E21" s="32">
        <v>15.7</v>
      </c>
      <c r="F21" s="34">
        <v>1017</v>
      </c>
      <c r="G21" s="32">
        <v>1.8055555555555556</v>
      </c>
      <c r="H21" s="32">
        <v>2.8055555555555554</v>
      </c>
      <c r="I21" s="35">
        <v>326</v>
      </c>
      <c r="J21" s="32">
        <v>0</v>
      </c>
      <c r="K21" s="32">
        <v>385.3</v>
      </c>
      <c r="L21" s="32">
        <v>0</v>
      </c>
    </row>
    <row r="22" spans="1:12" s="30" customFormat="1">
      <c r="A22" s="31" t="s">
        <v>1369</v>
      </c>
      <c r="B22" s="31">
        <v>6</v>
      </c>
      <c r="C22" s="32">
        <v>20.6</v>
      </c>
      <c r="D22" s="33">
        <v>74</v>
      </c>
      <c r="E22" s="32">
        <v>15.3</v>
      </c>
      <c r="F22" s="34">
        <v>1016.2</v>
      </c>
      <c r="G22" s="32">
        <v>2.3055555555555558</v>
      </c>
      <c r="H22" s="32">
        <v>3.2222222222222219</v>
      </c>
      <c r="I22" s="35">
        <v>327</v>
      </c>
      <c r="J22" s="32">
        <v>0</v>
      </c>
      <c r="K22" s="32">
        <v>385.3</v>
      </c>
      <c r="L22" s="32">
        <v>0</v>
      </c>
    </row>
    <row r="23" spans="1:12" s="30" customFormat="1">
      <c r="A23" s="31" t="s">
        <v>1369</v>
      </c>
      <c r="B23" s="31">
        <v>7</v>
      </c>
      <c r="C23" s="32">
        <v>19.600000000000001</v>
      </c>
      <c r="D23" s="33">
        <v>72</v>
      </c>
      <c r="E23" s="32">
        <v>14.2</v>
      </c>
      <c r="F23" s="34">
        <v>1015.6</v>
      </c>
      <c r="G23" s="32">
        <v>2.1388888888888888</v>
      </c>
      <c r="H23" s="32">
        <v>3.1111111111111107</v>
      </c>
      <c r="I23" s="35">
        <v>319</v>
      </c>
      <c r="J23" s="32">
        <v>0</v>
      </c>
      <c r="K23" s="32">
        <v>385.3</v>
      </c>
      <c r="L23" s="32">
        <v>0</v>
      </c>
    </row>
    <row r="24" spans="1:12" s="30" customFormat="1">
      <c r="A24" s="31" t="s">
        <v>1369</v>
      </c>
      <c r="B24" s="31">
        <v>8</v>
      </c>
      <c r="C24" s="32">
        <v>20.6</v>
      </c>
      <c r="D24" s="33">
        <v>67</v>
      </c>
      <c r="E24" s="32">
        <v>13.4</v>
      </c>
      <c r="F24" s="34">
        <v>1018.5</v>
      </c>
      <c r="G24" s="32">
        <v>2.2222222222222223</v>
      </c>
      <c r="H24" s="32">
        <v>3.1666666666666665</v>
      </c>
      <c r="I24" s="35">
        <v>327</v>
      </c>
      <c r="J24" s="32">
        <v>0</v>
      </c>
      <c r="K24" s="32">
        <v>385.3</v>
      </c>
      <c r="L24" s="32">
        <v>0</v>
      </c>
    </row>
    <row r="25" spans="1:12" s="30" customFormat="1">
      <c r="A25" s="31" t="s">
        <v>1369</v>
      </c>
      <c r="B25" s="31">
        <v>9</v>
      </c>
      <c r="C25" s="32">
        <v>23.2</v>
      </c>
      <c r="D25" s="33">
        <v>59</v>
      </c>
      <c r="E25" s="32">
        <v>12.9</v>
      </c>
      <c r="F25" s="34">
        <v>1019.3</v>
      </c>
      <c r="G25" s="32">
        <v>1.5277777777777777</v>
      </c>
      <c r="H25" s="32">
        <v>2.1388888888888888</v>
      </c>
      <c r="I25" s="35">
        <v>334</v>
      </c>
      <c r="J25" s="32">
        <v>0</v>
      </c>
      <c r="K25" s="32">
        <v>385.3</v>
      </c>
      <c r="L25" s="32">
        <v>0</v>
      </c>
    </row>
    <row r="26" spans="1:12" s="30" customFormat="1">
      <c r="A26" s="31" t="s">
        <v>1369</v>
      </c>
      <c r="B26" s="31">
        <v>10</v>
      </c>
      <c r="C26" s="32">
        <v>24.5</v>
      </c>
      <c r="D26" s="33">
        <v>57.999999999999993</v>
      </c>
      <c r="E26" s="32">
        <v>14</v>
      </c>
      <c r="F26" s="34">
        <v>1016.5</v>
      </c>
      <c r="G26" s="32">
        <v>1.2222222222222223</v>
      </c>
      <c r="H26" s="32">
        <v>1.7777777777777779</v>
      </c>
      <c r="I26" s="35">
        <v>311</v>
      </c>
      <c r="J26" s="32">
        <v>0</v>
      </c>
      <c r="K26" s="32">
        <v>385.3</v>
      </c>
      <c r="L26" s="32">
        <v>0</v>
      </c>
    </row>
    <row r="27" spans="1:12" s="30" customFormat="1">
      <c r="A27" s="31" t="s">
        <v>1369</v>
      </c>
      <c r="B27" s="31">
        <v>11</v>
      </c>
      <c r="C27" s="32">
        <v>23.7</v>
      </c>
      <c r="D27" s="33">
        <v>70</v>
      </c>
      <c r="E27" s="32">
        <v>16.7</v>
      </c>
      <c r="F27" s="34">
        <v>1014.5</v>
      </c>
      <c r="G27" s="32">
        <v>0.86111111111111116</v>
      </c>
      <c r="H27" s="32">
        <v>1.3611111111111112</v>
      </c>
      <c r="I27" s="35">
        <v>290</v>
      </c>
      <c r="J27" s="32">
        <v>0</v>
      </c>
      <c r="K27" s="32">
        <v>385.3</v>
      </c>
      <c r="L27" s="32">
        <v>0</v>
      </c>
    </row>
    <row r="28" spans="1:12" s="30" customFormat="1">
      <c r="A28" s="31" t="s">
        <v>1369</v>
      </c>
      <c r="B28" s="31">
        <v>12</v>
      </c>
      <c r="C28" s="32">
        <v>22</v>
      </c>
      <c r="D28" s="33">
        <v>71</v>
      </c>
      <c r="E28" s="32">
        <v>16</v>
      </c>
      <c r="F28" s="34">
        <v>1013.8</v>
      </c>
      <c r="G28" s="32">
        <v>1.5277777777777777</v>
      </c>
      <c r="H28" s="32">
        <v>2.3611111111111112</v>
      </c>
      <c r="I28" s="35">
        <v>251</v>
      </c>
      <c r="J28" s="32">
        <v>0</v>
      </c>
      <c r="K28" s="32">
        <v>385.3</v>
      </c>
      <c r="L28" s="32">
        <v>0</v>
      </c>
    </row>
    <row r="29" spans="1:12" s="30" customFormat="1">
      <c r="A29" s="31" t="s">
        <v>1369</v>
      </c>
      <c r="B29" s="31">
        <v>13</v>
      </c>
      <c r="C29" s="32">
        <v>23.2</v>
      </c>
      <c r="D29" s="33">
        <v>70</v>
      </c>
      <c r="E29" s="32">
        <v>16.8</v>
      </c>
      <c r="F29" s="34">
        <v>1013.9</v>
      </c>
      <c r="G29" s="32">
        <v>1.3611111111111112</v>
      </c>
      <c r="H29" s="32">
        <v>2</v>
      </c>
      <c r="I29" s="35">
        <v>303</v>
      </c>
      <c r="J29" s="32">
        <v>0</v>
      </c>
      <c r="K29" s="32">
        <v>385.3</v>
      </c>
      <c r="L29" s="32">
        <v>0</v>
      </c>
    </row>
    <row r="30" spans="1:12" s="30" customFormat="1">
      <c r="A30" s="31" t="s">
        <v>1369</v>
      </c>
      <c r="B30" s="31">
        <v>14</v>
      </c>
      <c r="C30" s="32">
        <v>23.7</v>
      </c>
      <c r="D30" s="33">
        <v>70</v>
      </c>
      <c r="E30" s="32">
        <v>16.899999999999999</v>
      </c>
      <c r="F30" s="34">
        <v>1014.5</v>
      </c>
      <c r="G30" s="32">
        <v>1.0555555555555556</v>
      </c>
      <c r="H30" s="32">
        <v>1.5833333333333333</v>
      </c>
      <c r="I30" s="35">
        <v>296</v>
      </c>
      <c r="J30" s="32">
        <v>0</v>
      </c>
      <c r="K30" s="32">
        <v>385.3</v>
      </c>
      <c r="L30" s="32">
        <v>0</v>
      </c>
    </row>
    <row r="31" spans="1:12" s="30" customFormat="1">
      <c r="A31" s="31" t="s">
        <v>1369</v>
      </c>
      <c r="B31" s="31">
        <v>15</v>
      </c>
      <c r="C31" s="32">
        <v>22.2</v>
      </c>
      <c r="D31" s="33">
        <v>77</v>
      </c>
      <c r="E31" s="32">
        <v>17.5</v>
      </c>
      <c r="F31" s="34">
        <v>1016.3</v>
      </c>
      <c r="G31" s="32">
        <v>1.0833333333333333</v>
      </c>
      <c r="H31" s="32">
        <v>1.8055555555555556</v>
      </c>
      <c r="I31" s="35">
        <v>303</v>
      </c>
      <c r="J31" s="32">
        <v>0</v>
      </c>
      <c r="K31" s="32">
        <v>385.3</v>
      </c>
      <c r="L31" s="32">
        <v>0</v>
      </c>
    </row>
    <row r="32" spans="1:12" s="30" customFormat="1">
      <c r="A32" s="31" t="s">
        <v>1369</v>
      </c>
      <c r="B32" s="31">
        <v>16</v>
      </c>
      <c r="C32" s="32">
        <v>19.600000000000001</v>
      </c>
      <c r="D32" s="33">
        <v>84</v>
      </c>
      <c r="E32" s="32">
        <v>16.600000000000001</v>
      </c>
      <c r="F32" s="34">
        <v>1018.7</v>
      </c>
      <c r="G32" s="32">
        <v>2.5</v>
      </c>
      <c r="H32" s="32">
        <v>3.5833333333333335</v>
      </c>
      <c r="I32" s="35">
        <v>321</v>
      </c>
      <c r="J32" s="32">
        <v>0</v>
      </c>
      <c r="K32" s="32">
        <v>385.3</v>
      </c>
      <c r="L32" s="32">
        <v>0</v>
      </c>
    </row>
    <row r="33" spans="1:12" s="30" customFormat="1">
      <c r="A33" s="31" t="s">
        <v>1369</v>
      </c>
      <c r="B33" s="31">
        <v>17</v>
      </c>
      <c r="C33" s="32">
        <v>21.2</v>
      </c>
      <c r="D33" s="33">
        <v>77</v>
      </c>
      <c r="E33" s="32">
        <v>16.600000000000001</v>
      </c>
      <c r="F33" s="34">
        <v>1017.5</v>
      </c>
      <c r="G33" s="32">
        <v>2.5</v>
      </c>
      <c r="H33" s="32">
        <v>3.5833333333333335</v>
      </c>
      <c r="I33" s="35">
        <v>317</v>
      </c>
      <c r="J33" s="32">
        <v>0</v>
      </c>
      <c r="K33" s="32">
        <v>385.3</v>
      </c>
      <c r="L33" s="32">
        <v>0</v>
      </c>
    </row>
    <row r="34" spans="1:12" s="30" customFormat="1">
      <c r="A34" s="31" t="s">
        <v>1369</v>
      </c>
      <c r="B34" s="31">
        <v>18</v>
      </c>
      <c r="C34" s="32">
        <v>20.6</v>
      </c>
      <c r="D34" s="33">
        <v>81</v>
      </c>
      <c r="E34" s="32">
        <v>16.600000000000001</v>
      </c>
      <c r="F34" s="34">
        <v>1016.4</v>
      </c>
      <c r="G34" s="32">
        <v>1.8888888888888888</v>
      </c>
      <c r="H34" s="32">
        <v>2.8888888888888888</v>
      </c>
      <c r="I34" s="35">
        <v>312</v>
      </c>
      <c r="J34" s="32">
        <v>0</v>
      </c>
      <c r="K34" s="32">
        <v>385.3</v>
      </c>
      <c r="L34" s="32">
        <v>0</v>
      </c>
    </row>
    <row r="35" spans="1:12" s="30" customFormat="1">
      <c r="A35" s="31" t="s">
        <v>1369</v>
      </c>
      <c r="B35" s="31">
        <v>19</v>
      </c>
      <c r="C35" s="32">
        <v>22.2</v>
      </c>
      <c r="D35" s="33">
        <v>72</v>
      </c>
      <c r="E35" s="32">
        <v>16.100000000000001</v>
      </c>
      <c r="F35" s="34">
        <v>1017.1</v>
      </c>
      <c r="G35" s="32">
        <v>1.4444444444444444</v>
      </c>
      <c r="H35" s="32">
        <v>2.3055555555555558</v>
      </c>
      <c r="I35" s="35">
        <v>300</v>
      </c>
      <c r="J35" s="32">
        <v>0</v>
      </c>
      <c r="K35" s="32">
        <v>385.3</v>
      </c>
      <c r="L35" s="32">
        <v>0</v>
      </c>
    </row>
    <row r="36" spans="1:12" s="30" customFormat="1">
      <c r="A36" s="31" t="s">
        <v>1369</v>
      </c>
      <c r="B36" s="31">
        <v>20</v>
      </c>
      <c r="C36" s="32">
        <v>23.4</v>
      </c>
      <c r="D36" s="33">
        <v>62</v>
      </c>
      <c r="E36" s="32">
        <v>14</v>
      </c>
      <c r="F36" s="34">
        <v>1015.8</v>
      </c>
      <c r="G36" s="32">
        <v>1.0277777777777779</v>
      </c>
      <c r="H36" s="32">
        <v>1.4722222222222221</v>
      </c>
      <c r="I36" s="35">
        <v>296</v>
      </c>
      <c r="J36" s="32">
        <v>0</v>
      </c>
      <c r="K36" s="32">
        <v>385.3</v>
      </c>
      <c r="L36" s="32">
        <v>0</v>
      </c>
    </row>
    <row r="37" spans="1:12" s="30" customFormat="1">
      <c r="A37" s="31" t="s">
        <v>1369</v>
      </c>
      <c r="B37" s="31">
        <v>21</v>
      </c>
      <c r="C37" s="32">
        <v>21.4</v>
      </c>
      <c r="D37" s="33">
        <v>71</v>
      </c>
      <c r="E37" s="32">
        <v>15.2</v>
      </c>
      <c r="F37" s="34">
        <v>1016.9</v>
      </c>
      <c r="G37" s="32">
        <v>1.25</v>
      </c>
      <c r="H37" s="32">
        <v>2.0277777777777777</v>
      </c>
      <c r="I37" s="35">
        <v>267</v>
      </c>
      <c r="J37" s="32">
        <v>0</v>
      </c>
      <c r="K37" s="32">
        <v>385.3</v>
      </c>
      <c r="L37" s="32">
        <v>0</v>
      </c>
    </row>
    <row r="38" spans="1:12" s="30" customFormat="1">
      <c r="A38" s="31" t="s">
        <v>1369</v>
      </c>
      <c r="B38" s="31">
        <v>22</v>
      </c>
      <c r="C38" s="32">
        <v>21.3</v>
      </c>
      <c r="D38" s="33">
        <v>69</v>
      </c>
      <c r="E38" s="32">
        <v>15</v>
      </c>
      <c r="F38" s="34">
        <v>1016.1</v>
      </c>
      <c r="G38" s="32">
        <v>2.0555555555555558</v>
      </c>
      <c r="H38" s="32">
        <v>3.0555555555555554</v>
      </c>
      <c r="I38" s="35">
        <v>328</v>
      </c>
      <c r="J38" s="32">
        <v>0</v>
      </c>
      <c r="K38" s="32">
        <v>385.3</v>
      </c>
      <c r="L38" s="32">
        <v>0</v>
      </c>
    </row>
    <row r="39" spans="1:12" s="30" customFormat="1">
      <c r="A39" s="31" t="s">
        <v>1369</v>
      </c>
      <c r="B39" s="31">
        <v>23</v>
      </c>
      <c r="C39" s="32">
        <v>20.399999999999999</v>
      </c>
      <c r="D39" s="33">
        <v>75</v>
      </c>
      <c r="E39" s="32">
        <v>15.3</v>
      </c>
      <c r="F39" s="34">
        <v>1016.1</v>
      </c>
      <c r="G39" s="32">
        <v>3.2499999999999996</v>
      </c>
      <c r="H39" s="32">
        <v>4.5277777777777777</v>
      </c>
      <c r="I39" s="35">
        <v>325</v>
      </c>
      <c r="J39" s="32">
        <v>0</v>
      </c>
      <c r="K39" s="32">
        <v>385.3</v>
      </c>
      <c r="L39" s="32">
        <v>0</v>
      </c>
    </row>
    <row r="40" spans="1:12" s="30" customFormat="1">
      <c r="A40" s="31" t="s">
        <v>1369</v>
      </c>
      <c r="B40" s="31">
        <v>24</v>
      </c>
      <c r="C40" s="32">
        <v>20.3</v>
      </c>
      <c r="D40" s="33">
        <v>73</v>
      </c>
      <c r="E40" s="32">
        <v>14.7</v>
      </c>
      <c r="F40" s="34">
        <v>1014.7</v>
      </c>
      <c r="G40" s="32">
        <v>2.6944444444444442</v>
      </c>
      <c r="H40" s="32">
        <v>3.8888888888888888</v>
      </c>
      <c r="I40" s="35">
        <v>312</v>
      </c>
      <c r="J40" s="32">
        <v>0</v>
      </c>
      <c r="K40" s="32">
        <v>385.3</v>
      </c>
      <c r="L40" s="32">
        <v>0</v>
      </c>
    </row>
    <row r="41" spans="1:12" s="30" customFormat="1">
      <c r="A41" s="31" t="s">
        <v>1369</v>
      </c>
      <c r="B41" s="31">
        <v>25</v>
      </c>
      <c r="C41" s="32">
        <v>20</v>
      </c>
      <c r="D41" s="33">
        <v>66</v>
      </c>
      <c r="E41" s="32">
        <v>12.4</v>
      </c>
      <c r="F41" s="34">
        <v>1011</v>
      </c>
      <c r="G41" s="32">
        <v>1.5833333333333333</v>
      </c>
      <c r="H41" s="32">
        <v>2.4444444444444446</v>
      </c>
      <c r="I41" s="35">
        <v>309</v>
      </c>
      <c r="J41" s="32">
        <v>0</v>
      </c>
      <c r="K41" s="32">
        <v>385.3</v>
      </c>
      <c r="L41" s="32">
        <v>0</v>
      </c>
    </row>
    <row r="42" spans="1:12" s="30" customFormat="1">
      <c r="A42" s="31" t="s">
        <v>1369</v>
      </c>
      <c r="B42" s="31">
        <v>26</v>
      </c>
      <c r="C42" s="32">
        <v>19.7</v>
      </c>
      <c r="D42" s="33">
        <v>67</v>
      </c>
      <c r="E42" s="32">
        <v>12.4</v>
      </c>
      <c r="F42" s="34">
        <v>1007.8</v>
      </c>
      <c r="G42" s="32">
        <v>0.94444444444444442</v>
      </c>
      <c r="H42" s="32">
        <v>1.6111111111111109</v>
      </c>
      <c r="I42" s="35">
        <v>278</v>
      </c>
      <c r="J42" s="32">
        <v>0</v>
      </c>
      <c r="K42" s="32">
        <v>385.3</v>
      </c>
      <c r="L42" s="32">
        <v>0</v>
      </c>
    </row>
    <row r="43" spans="1:12" s="30" customFormat="1">
      <c r="A43" s="31" t="s">
        <v>1369</v>
      </c>
      <c r="B43" s="31">
        <v>27</v>
      </c>
      <c r="C43" s="32">
        <v>21.5</v>
      </c>
      <c r="D43" s="33">
        <v>57.999999999999993</v>
      </c>
      <c r="E43" s="32">
        <v>11.6</v>
      </c>
      <c r="F43" s="34">
        <v>1010.3</v>
      </c>
      <c r="G43" s="32">
        <v>1.2222222222222223</v>
      </c>
      <c r="H43" s="32">
        <v>1.8333333333333333</v>
      </c>
      <c r="I43" s="35">
        <v>319</v>
      </c>
      <c r="J43" s="32">
        <v>0</v>
      </c>
      <c r="K43" s="32">
        <v>385.3</v>
      </c>
      <c r="L43" s="32">
        <v>0</v>
      </c>
    </row>
    <row r="44" spans="1:12" s="30" customFormat="1">
      <c r="A44" s="31" t="s">
        <v>1369</v>
      </c>
      <c r="B44" s="31">
        <v>28</v>
      </c>
      <c r="C44" s="32">
        <v>21.4</v>
      </c>
      <c r="D44" s="33">
        <v>60</v>
      </c>
      <c r="E44" s="32">
        <v>12.3</v>
      </c>
      <c r="F44" s="34">
        <v>1012.1</v>
      </c>
      <c r="G44" s="32">
        <v>1</v>
      </c>
      <c r="H44" s="32">
        <v>1.4444444444444444</v>
      </c>
      <c r="I44" s="35">
        <v>291</v>
      </c>
      <c r="J44" s="32">
        <v>0</v>
      </c>
      <c r="K44" s="32">
        <v>385.3</v>
      </c>
      <c r="L44" s="32">
        <v>0</v>
      </c>
    </row>
    <row r="45" spans="1:12" s="30" customFormat="1">
      <c r="A45" s="31" t="s">
        <v>1369</v>
      </c>
      <c r="B45" s="31">
        <v>29</v>
      </c>
      <c r="C45" s="32">
        <v>21.2</v>
      </c>
      <c r="D45" s="33">
        <v>56.000000000000007</v>
      </c>
      <c r="E45" s="32">
        <v>11</v>
      </c>
      <c r="F45" s="34">
        <v>1014.3</v>
      </c>
      <c r="G45" s="32">
        <v>1.25</v>
      </c>
      <c r="H45" s="32">
        <v>1.8055555555555556</v>
      </c>
      <c r="I45" s="35">
        <v>16</v>
      </c>
      <c r="J45" s="32">
        <v>0</v>
      </c>
      <c r="K45" s="32">
        <v>385.3</v>
      </c>
      <c r="L45" s="32">
        <v>0</v>
      </c>
    </row>
    <row r="46" spans="1:12" s="30" customFormat="1">
      <c r="A46" s="31" t="s">
        <v>1369</v>
      </c>
      <c r="B46" s="31">
        <v>30</v>
      </c>
      <c r="C46" s="32">
        <v>21.8</v>
      </c>
      <c r="D46" s="33">
        <v>50</v>
      </c>
      <c r="E46" s="32">
        <v>9.6999999999999993</v>
      </c>
      <c r="F46" s="34">
        <v>1017.1</v>
      </c>
      <c r="G46" s="32">
        <v>1.0277777777777779</v>
      </c>
      <c r="H46" s="32">
        <v>1.5</v>
      </c>
      <c r="I46" s="35">
        <v>321</v>
      </c>
      <c r="J46" s="32">
        <v>0</v>
      </c>
      <c r="K46" s="32">
        <v>385.3</v>
      </c>
      <c r="L46" s="32">
        <v>0</v>
      </c>
    </row>
    <row r="47" spans="1:12" s="30" customFormat="1">
      <c r="A47" s="31" t="s">
        <v>1369</v>
      </c>
      <c r="B47" s="31">
        <v>31</v>
      </c>
      <c r="C47" s="32">
        <v>17.3</v>
      </c>
      <c r="D47" s="33">
        <v>56.999999999999993</v>
      </c>
      <c r="E47" s="32">
        <v>8.6</v>
      </c>
      <c r="F47" s="34">
        <v>1019</v>
      </c>
      <c r="G47" s="32">
        <v>0</v>
      </c>
      <c r="H47" s="32">
        <v>0</v>
      </c>
      <c r="I47" s="35">
        <v>207</v>
      </c>
      <c r="J47" s="32">
        <v>0</v>
      </c>
      <c r="K47" s="32">
        <v>385.3</v>
      </c>
      <c r="L47" s="32">
        <v>0</v>
      </c>
    </row>
    <row r="48" spans="1:12" s="30" customFormat="1">
      <c r="A48" s="31" t="s">
        <v>1368</v>
      </c>
      <c r="B48" s="31">
        <v>1</v>
      </c>
      <c r="C48" s="32">
        <v>22.5</v>
      </c>
      <c r="D48" s="33">
        <v>49</v>
      </c>
      <c r="E48" s="32">
        <v>9.1999999999999993</v>
      </c>
      <c r="F48" s="34">
        <v>1017.7</v>
      </c>
      <c r="G48" s="32">
        <v>0.86111111111111116</v>
      </c>
      <c r="H48" s="32">
        <v>1.3333333333333333</v>
      </c>
      <c r="I48" s="35">
        <v>321</v>
      </c>
      <c r="J48" s="32">
        <v>0</v>
      </c>
      <c r="K48" s="32">
        <v>385.3</v>
      </c>
      <c r="L48" s="32">
        <v>0</v>
      </c>
    </row>
    <row r="49" spans="1:12" s="30" customFormat="1">
      <c r="A49" s="31" t="s">
        <v>1368</v>
      </c>
      <c r="B49" s="31">
        <v>2</v>
      </c>
      <c r="C49" s="32">
        <v>22.9</v>
      </c>
      <c r="D49" s="33">
        <v>48</v>
      </c>
      <c r="E49" s="32">
        <v>9.9</v>
      </c>
      <c r="F49" s="34">
        <v>1018.9</v>
      </c>
      <c r="G49" s="32">
        <v>0.77777777777777768</v>
      </c>
      <c r="H49" s="32">
        <v>1.2222222222222223</v>
      </c>
      <c r="I49" s="35">
        <v>314</v>
      </c>
      <c r="J49" s="32">
        <v>0</v>
      </c>
      <c r="K49" s="32">
        <v>385.3</v>
      </c>
      <c r="L49" s="32">
        <v>0</v>
      </c>
    </row>
    <row r="50" spans="1:12" s="30" customFormat="1">
      <c r="A50" s="31" t="s">
        <v>1368</v>
      </c>
      <c r="B50" s="31">
        <v>3</v>
      </c>
      <c r="C50" s="32">
        <v>22.9</v>
      </c>
      <c r="D50" s="33">
        <v>53</v>
      </c>
      <c r="E50" s="32">
        <v>11.3</v>
      </c>
      <c r="F50" s="34">
        <v>1018.8</v>
      </c>
      <c r="G50" s="32">
        <v>1</v>
      </c>
      <c r="H50" s="32">
        <v>1.5</v>
      </c>
      <c r="I50" s="35">
        <v>320</v>
      </c>
      <c r="J50" s="32">
        <v>0</v>
      </c>
      <c r="K50" s="32">
        <v>385.3</v>
      </c>
      <c r="L50" s="32">
        <v>0</v>
      </c>
    </row>
    <row r="51" spans="1:12" s="30" customFormat="1">
      <c r="A51" s="31" t="s">
        <v>1368</v>
      </c>
      <c r="B51" s="31">
        <v>4</v>
      </c>
      <c r="C51" s="32">
        <v>21.3</v>
      </c>
      <c r="D51" s="33">
        <v>61</v>
      </c>
      <c r="E51" s="32">
        <v>12.6</v>
      </c>
      <c r="F51" s="34">
        <v>1015.4</v>
      </c>
      <c r="G51" s="32">
        <v>0.75</v>
      </c>
      <c r="H51" s="32">
        <v>1.3888888888888888</v>
      </c>
      <c r="I51" s="35">
        <v>295</v>
      </c>
      <c r="J51" s="32">
        <v>0</v>
      </c>
      <c r="K51" s="32">
        <v>385.3</v>
      </c>
      <c r="L51" s="32">
        <v>0</v>
      </c>
    </row>
    <row r="52" spans="1:12" s="30" customFormat="1">
      <c r="A52" s="31" t="s">
        <v>1368</v>
      </c>
      <c r="B52" s="31">
        <v>5</v>
      </c>
      <c r="C52" s="32">
        <v>20.3</v>
      </c>
      <c r="D52" s="33">
        <v>76</v>
      </c>
      <c r="E52" s="32">
        <v>15.5</v>
      </c>
      <c r="F52" s="34">
        <v>1013</v>
      </c>
      <c r="G52" s="32">
        <v>1.3611111111111112</v>
      </c>
      <c r="H52" s="32">
        <v>2.1388888888888888</v>
      </c>
      <c r="I52" s="35">
        <v>282</v>
      </c>
      <c r="J52" s="32">
        <v>2</v>
      </c>
      <c r="K52" s="32">
        <v>387.3</v>
      </c>
      <c r="L52" s="32">
        <v>2</v>
      </c>
    </row>
    <row r="53" spans="1:12" s="30" customFormat="1">
      <c r="A53" s="31" t="s">
        <v>1368</v>
      </c>
      <c r="B53" s="31">
        <v>6</v>
      </c>
      <c r="C53" s="32">
        <v>19.600000000000001</v>
      </c>
      <c r="D53" s="33">
        <v>75</v>
      </c>
      <c r="E53" s="32">
        <v>14.6</v>
      </c>
      <c r="F53" s="34">
        <v>1012.7</v>
      </c>
      <c r="G53" s="32">
        <v>1.25</v>
      </c>
      <c r="H53" s="32">
        <v>1.8888888888888888</v>
      </c>
      <c r="I53" s="35">
        <v>306</v>
      </c>
      <c r="J53" s="32">
        <v>2</v>
      </c>
      <c r="K53" s="32">
        <v>387.3</v>
      </c>
      <c r="L53" s="32">
        <v>0</v>
      </c>
    </row>
    <row r="54" spans="1:12" s="30" customFormat="1">
      <c r="A54" s="31" t="s">
        <v>1368</v>
      </c>
      <c r="B54" s="31">
        <v>7</v>
      </c>
      <c r="C54" s="32">
        <v>17.5</v>
      </c>
      <c r="D54" s="33">
        <v>75</v>
      </c>
      <c r="E54" s="32">
        <v>12.6</v>
      </c>
      <c r="F54" s="34">
        <v>1013.8</v>
      </c>
      <c r="G54" s="32">
        <v>1.4444444444444444</v>
      </c>
      <c r="H54" s="32">
        <v>2.2222222222222223</v>
      </c>
      <c r="I54" s="35">
        <v>286</v>
      </c>
      <c r="J54" s="32">
        <v>2</v>
      </c>
      <c r="K54" s="32">
        <v>387.3</v>
      </c>
      <c r="L54" s="32">
        <v>0</v>
      </c>
    </row>
    <row r="55" spans="1:12" s="30" customFormat="1">
      <c r="A55" s="31" t="s">
        <v>1368</v>
      </c>
      <c r="B55" s="31">
        <v>8</v>
      </c>
      <c r="C55" s="32">
        <v>18.399999999999999</v>
      </c>
      <c r="D55" s="33">
        <v>64</v>
      </c>
      <c r="E55" s="32">
        <v>10.4</v>
      </c>
      <c r="F55" s="34">
        <v>1019.1</v>
      </c>
      <c r="G55" s="32">
        <v>1.9722222222222221</v>
      </c>
      <c r="H55" s="32">
        <v>2.5277777777777777</v>
      </c>
      <c r="I55" s="35">
        <v>290</v>
      </c>
      <c r="J55" s="32">
        <v>2</v>
      </c>
      <c r="K55" s="32">
        <v>387.3</v>
      </c>
      <c r="L55" s="32">
        <v>0</v>
      </c>
    </row>
    <row r="56" spans="1:12" s="30" customFormat="1">
      <c r="A56" s="31" t="s">
        <v>1368</v>
      </c>
      <c r="B56" s="31">
        <v>9</v>
      </c>
      <c r="C56" s="32">
        <v>23</v>
      </c>
      <c r="D56" s="33">
        <v>43</v>
      </c>
      <c r="E56" s="32">
        <v>9.6999999999999993</v>
      </c>
      <c r="F56" s="34">
        <v>1020</v>
      </c>
      <c r="G56" s="32">
        <v>3.083333333333333</v>
      </c>
      <c r="H56" s="32">
        <v>3.6111111111111112</v>
      </c>
      <c r="I56" s="35">
        <v>292</v>
      </c>
      <c r="J56" s="32">
        <v>2</v>
      </c>
      <c r="K56" s="32">
        <v>387.3</v>
      </c>
      <c r="L56" s="32">
        <v>0</v>
      </c>
    </row>
    <row r="57" spans="1:12" s="30" customFormat="1">
      <c r="A57" s="31" t="s">
        <v>1368</v>
      </c>
      <c r="B57" s="31">
        <v>10</v>
      </c>
      <c r="C57" s="32">
        <v>23</v>
      </c>
      <c r="D57" s="33">
        <v>43</v>
      </c>
      <c r="E57" s="32">
        <v>9.6999999999999993</v>
      </c>
      <c r="F57" s="34">
        <v>1020</v>
      </c>
      <c r="G57" s="32">
        <v>3.083333333333333</v>
      </c>
      <c r="H57" s="32">
        <v>3.6111111111111112</v>
      </c>
      <c r="I57" s="35">
        <v>292</v>
      </c>
      <c r="J57" s="32">
        <v>2</v>
      </c>
      <c r="K57" s="32">
        <v>387.3</v>
      </c>
      <c r="L57" s="32">
        <v>0</v>
      </c>
    </row>
    <row r="58" spans="1:12" s="30" customFormat="1">
      <c r="A58" s="31" t="s">
        <v>1368</v>
      </c>
      <c r="B58" s="31">
        <v>11</v>
      </c>
      <c r="C58" s="32">
        <v>22.7</v>
      </c>
      <c r="D58" s="33">
        <v>44</v>
      </c>
      <c r="E58" s="32">
        <v>9.6999999999999993</v>
      </c>
      <c r="F58" s="34">
        <v>1019.1</v>
      </c>
      <c r="G58" s="32">
        <v>2.6388888888888888</v>
      </c>
      <c r="H58" s="32">
        <v>3.1111111111111107</v>
      </c>
      <c r="I58" s="35">
        <v>292</v>
      </c>
      <c r="J58" s="32">
        <v>2</v>
      </c>
      <c r="K58" s="32">
        <v>387.3</v>
      </c>
      <c r="L58" s="32">
        <v>0</v>
      </c>
    </row>
    <row r="59" spans="1:12" s="30" customFormat="1">
      <c r="A59" s="31" t="s">
        <v>1368</v>
      </c>
      <c r="B59" s="31">
        <v>12</v>
      </c>
      <c r="C59" s="32">
        <v>23.5</v>
      </c>
      <c r="D59" s="33">
        <v>42</v>
      </c>
      <c r="E59" s="32">
        <v>8.3000000000000007</v>
      </c>
      <c r="F59" s="34">
        <v>1016.1</v>
      </c>
      <c r="G59" s="32">
        <v>1.1944444444444444</v>
      </c>
      <c r="H59" s="32">
        <v>1.8333333333333333</v>
      </c>
      <c r="I59" s="35">
        <v>349</v>
      </c>
      <c r="J59" s="32">
        <v>2</v>
      </c>
      <c r="K59" s="32">
        <v>387.3</v>
      </c>
      <c r="L59" s="32">
        <v>0</v>
      </c>
    </row>
    <row r="60" spans="1:12" s="30" customFormat="1">
      <c r="A60" s="31" t="s">
        <v>1368</v>
      </c>
      <c r="B60" s="31">
        <v>13</v>
      </c>
      <c r="C60" s="32">
        <v>22.2</v>
      </c>
      <c r="D60" s="33">
        <v>41</v>
      </c>
      <c r="E60" s="32">
        <v>6.8</v>
      </c>
      <c r="F60" s="34">
        <v>1018.1</v>
      </c>
      <c r="G60" s="32">
        <v>0.86111111111111116</v>
      </c>
      <c r="H60" s="32">
        <v>1.3888888888888888</v>
      </c>
      <c r="I60" s="35">
        <v>291</v>
      </c>
      <c r="J60" s="32">
        <v>2</v>
      </c>
      <c r="K60" s="32">
        <v>387.3</v>
      </c>
      <c r="L60" s="32">
        <v>0</v>
      </c>
    </row>
    <row r="61" spans="1:12" s="30" customFormat="1">
      <c r="A61" s="31" t="s">
        <v>1368</v>
      </c>
      <c r="B61" s="31">
        <v>14</v>
      </c>
      <c r="C61" s="32">
        <v>18.600000000000001</v>
      </c>
      <c r="D61" s="33">
        <v>67</v>
      </c>
      <c r="E61" s="32">
        <v>11.9</v>
      </c>
      <c r="F61" s="34">
        <v>1017.9</v>
      </c>
      <c r="G61" s="32">
        <v>1.4722222222222221</v>
      </c>
      <c r="H61" s="32">
        <v>2.2222222222222223</v>
      </c>
      <c r="I61" s="35">
        <v>312</v>
      </c>
      <c r="J61" s="32">
        <v>2</v>
      </c>
      <c r="K61" s="32">
        <v>387.3</v>
      </c>
      <c r="L61" s="32">
        <v>0</v>
      </c>
    </row>
    <row r="62" spans="1:12" s="30" customFormat="1">
      <c r="A62" s="31" t="s">
        <v>1368</v>
      </c>
      <c r="B62" s="31">
        <v>15</v>
      </c>
      <c r="C62" s="32">
        <v>19.7</v>
      </c>
      <c r="D62" s="33">
        <v>75</v>
      </c>
      <c r="E62" s="32">
        <v>14.6</v>
      </c>
      <c r="F62" s="34">
        <v>1015.5</v>
      </c>
      <c r="G62" s="32">
        <v>1.3888888888888888</v>
      </c>
      <c r="H62" s="32">
        <v>2.1666666666666665</v>
      </c>
      <c r="I62" s="35">
        <v>295</v>
      </c>
      <c r="J62" s="32">
        <v>2</v>
      </c>
      <c r="K62" s="32">
        <v>387.3</v>
      </c>
      <c r="L62" s="32">
        <v>0</v>
      </c>
    </row>
    <row r="63" spans="1:12" s="30" customFormat="1">
      <c r="A63" s="31" t="s">
        <v>1368</v>
      </c>
      <c r="B63" s="31">
        <v>16</v>
      </c>
      <c r="C63" s="32">
        <v>18</v>
      </c>
      <c r="D63" s="33">
        <v>78</v>
      </c>
      <c r="E63" s="32">
        <v>13.7</v>
      </c>
      <c r="F63" s="34">
        <v>1014.2</v>
      </c>
      <c r="G63" s="32">
        <v>1.5833333333333333</v>
      </c>
      <c r="H63" s="32">
        <v>2.3611111111111112</v>
      </c>
      <c r="I63" s="35">
        <v>295</v>
      </c>
      <c r="J63" s="32">
        <v>2</v>
      </c>
      <c r="K63" s="32">
        <v>387.3</v>
      </c>
      <c r="L63" s="32">
        <v>0</v>
      </c>
    </row>
    <row r="64" spans="1:12" s="30" customFormat="1">
      <c r="A64" s="31" t="s">
        <v>1368</v>
      </c>
      <c r="B64" s="31">
        <v>17</v>
      </c>
      <c r="C64" s="32">
        <v>18.7</v>
      </c>
      <c r="D64" s="33">
        <v>72</v>
      </c>
      <c r="E64" s="32">
        <v>12.9</v>
      </c>
      <c r="F64" s="34">
        <v>1013.9</v>
      </c>
      <c r="G64" s="32">
        <v>1.7222222222222223</v>
      </c>
      <c r="H64" s="32">
        <v>2.6111111111111112</v>
      </c>
      <c r="I64" s="35">
        <v>290</v>
      </c>
      <c r="J64" s="32">
        <v>2</v>
      </c>
      <c r="K64" s="32">
        <v>387.3</v>
      </c>
      <c r="L64" s="32">
        <v>0</v>
      </c>
    </row>
    <row r="65" spans="1:12" s="30" customFormat="1">
      <c r="A65" s="31" t="s">
        <v>1368</v>
      </c>
      <c r="B65" s="31">
        <v>18</v>
      </c>
      <c r="C65" s="32">
        <v>17.600000000000001</v>
      </c>
      <c r="D65" s="33">
        <v>79</v>
      </c>
      <c r="E65" s="32">
        <v>13.4</v>
      </c>
      <c r="F65" s="34">
        <v>1015.2</v>
      </c>
      <c r="G65" s="32">
        <v>1.8611111111111112</v>
      </c>
      <c r="H65" s="32">
        <v>3</v>
      </c>
      <c r="I65" s="35">
        <v>307</v>
      </c>
      <c r="J65" s="32">
        <v>2</v>
      </c>
      <c r="K65" s="32">
        <v>387.3</v>
      </c>
      <c r="L65" s="32">
        <v>0</v>
      </c>
    </row>
    <row r="66" spans="1:12" s="30" customFormat="1">
      <c r="A66" s="31" t="s">
        <v>1368</v>
      </c>
      <c r="B66" s="31">
        <v>19</v>
      </c>
      <c r="C66" s="32">
        <v>20.100000000000001</v>
      </c>
      <c r="D66" s="33">
        <v>72</v>
      </c>
      <c r="E66" s="32">
        <v>14.1</v>
      </c>
      <c r="F66" s="34">
        <v>1015.1</v>
      </c>
      <c r="G66" s="32">
        <v>1.3055555555555556</v>
      </c>
      <c r="H66" s="32">
        <v>2.1388888888888888</v>
      </c>
      <c r="I66" s="35">
        <v>313</v>
      </c>
      <c r="J66" s="32">
        <v>2</v>
      </c>
      <c r="K66" s="32">
        <v>387.3</v>
      </c>
      <c r="L66" s="32">
        <v>0</v>
      </c>
    </row>
    <row r="67" spans="1:12" s="30" customFormat="1">
      <c r="A67" s="31" t="s">
        <v>1368</v>
      </c>
      <c r="B67" s="31">
        <v>20</v>
      </c>
      <c r="C67" s="32">
        <v>21.2</v>
      </c>
      <c r="D67" s="33">
        <v>61</v>
      </c>
      <c r="E67" s="32">
        <v>11.5</v>
      </c>
      <c r="F67" s="34">
        <v>1015.4</v>
      </c>
      <c r="G67" s="32">
        <v>1.1111111111111112</v>
      </c>
      <c r="H67" s="32">
        <v>1.6111111111111109</v>
      </c>
      <c r="I67" s="35">
        <v>332</v>
      </c>
      <c r="J67" s="32">
        <v>2</v>
      </c>
      <c r="K67" s="32">
        <v>387.3</v>
      </c>
      <c r="L67" s="32">
        <v>0</v>
      </c>
    </row>
    <row r="68" spans="1:12" s="30" customFormat="1">
      <c r="A68" s="31" t="s">
        <v>1368</v>
      </c>
      <c r="B68" s="31">
        <v>21</v>
      </c>
      <c r="C68" s="32">
        <v>23.2</v>
      </c>
      <c r="D68" s="33">
        <v>49</v>
      </c>
      <c r="E68" s="32">
        <v>9.9</v>
      </c>
      <c r="F68" s="34">
        <v>1017.1</v>
      </c>
      <c r="G68" s="32">
        <v>1</v>
      </c>
      <c r="H68" s="32">
        <v>1.4722222222222221</v>
      </c>
      <c r="I68" s="35">
        <v>184</v>
      </c>
      <c r="J68" s="32">
        <v>2</v>
      </c>
      <c r="K68" s="32">
        <v>387.3</v>
      </c>
      <c r="L68" s="32">
        <v>0</v>
      </c>
    </row>
    <row r="69" spans="1:12" s="30" customFormat="1">
      <c r="A69" s="31" t="s">
        <v>1368</v>
      </c>
      <c r="B69" s="31">
        <v>22</v>
      </c>
      <c r="C69" s="32">
        <v>22.7</v>
      </c>
      <c r="D69" s="33">
        <v>48</v>
      </c>
      <c r="E69" s="32">
        <v>9.6</v>
      </c>
      <c r="F69" s="34">
        <v>1017.6</v>
      </c>
      <c r="G69" s="32">
        <v>1.1388888888888888</v>
      </c>
      <c r="H69" s="32">
        <v>1.6666666666666665</v>
      </c>
      <c r="I69" s="35">
        <v>118</v>
      </c>
      <c r="J69" s="32">
        <v>2</v>
      </c>
      <c r="K69" s="32">
        <v>387.3</v>
      </c>
      <c r="L69" s="32">
        <v>0</v>
      </c>
    </row>
    <row r="70" spans="1:12" s="30" customFormat="1">
      <c r="A70" s="31" t="s">
        <v>1368</v>
      </c>
      <c r="B70" s="31">
        <v>23</v>
      </c>
      <c r="C70" s="32">
        <v>21.7</v>
      </c>
      <c r="D70" s="33">
        <v>57.999999999999993</v>
      </c>
      <c r="E70" s="32">
        <v>12.5</v>
      </c>
      <c r="F70" s="34">
        <v>1015.4</v>
      </c>
      <c r="G70" s="32">
        <v>1.2777777777777777</v>
      </c>
      <c r="H70" s="32">
        <v>1.9444444444444444</v>
      </c>
      <c r="I70" s="35">
        <v>208</v>
      </c>
      <c r="J70" s="32">
        <v>2</v>
      </c>
      <c r="K70" s="32">
        <v>387.3</v>
      </c>
      <c r="L70" s="32">
        <v>0</v>
      </c>
    </row>
    <row r="71" spans="1:12" s="30" customFormat="1">
      <c r="A71" s="31" t="s">
        <v>1368</v>
      </c>
      <c r="B71" s="31">
        <v>24</v>
      </c>
      <c r="C71" s="32">
        <v>21.5</v>
      </c>
      <c r="D71" s="33">
        <v>70</v>
      </c>
      <c r="E71" s="32">
        <v>15</v>
      </c>
      <c r="F71" s="34">
        <v>1013.3</v>
      </c>
      <c r="G71" s="32">
        <v>1.3055555555555556</v>
      </c>
      <c r="H71" s="32">
        <v>1.8888888888888888</v>
      </c>
      <c r="I71" s="35">
        <v>203</v>
      </c>
      <c r="J71" s="32">
        <v>2</v>
      </c>
      <c r="K71" s="32">
        <v>387.3</v>
      </c>
      <c r="L71" s="32">
        <v>0</v>
      </c>
    </row>
    <row r="72" spans="1:12" s="30" customFormat="1">
      <c r="A72" s="31" t="s">
        <v>1368</v>
      </c>
      <c r="B72" s="31">
        <v>25</v>
      </c>
      <c r="C72" s="32">
        <v>18.899999999999999</v>
      </c>
      <c r="D72" s="33">
        <v>87</v>
      </c>
      <c r="E72" s="32">
        <v>16.600000000000001</v>
      </c>
      <c r="F72" s="34">
        <v>1011</v>
      </c>
      <c r="G72" s="32">
        <v>1.1944444444444444</v>
      </c>
      <c r="H72" s="32">
        <v>1.7222222222222223</v>
      </c>
      <c r="I72" s="35">
        <v>172</v>
      </c>
      <c r="J72" s="32">
        <v>6</v>
      </c>
      <c r="K72" s="32">
        <v>391.3</v>
      </c>
      <c r="L72" s="32">
        <v>4</v>
      </c>
    </row>
    <row r="73" spans="1:12" s="30" customFormat="1">
      <c r="A73" s="31" t="s">
        <v>1368</v>
      </c>
      <c r="B73" s="31">
        <v>26</v>
      </c>
      <c r="C73" s="32">
        <v>19.899999999999999</v>
      </c>
      <c r="D73" s="33">
        <v>75</v>
      </c>
      <c r="E73" s="32">
        <v>14.7</v>
      </c>
      <c r="F73" s="34">
        <v>1009.1</v>
      </c>
      <c r="G73" s="32">
        <v>3.3055555555555554</v>
      </c>
      <c r="H73" s="32">
        <v>4.6111111111111116</v>
      </c>
      <c r="I73" s="35">
        <v>166</v>
      </c>
      <c r="J73" s="32">
        <v>6</v>
      </c>
      <c r="K73" s="32">
        <v>391.3</v>
      </c>
      <c r="L73" s="32">
        <v>0</v>
      </c>
    </row>
    <row r="74" spans="1:12" s="30" customFormat="1">
      <c r="A74" s="31" t="s">
        <v>1368</v>
      </c>
      <c r="B74" s="31">
        <v>27</v>
      </c>
      <c r="C74" s="32">
        <v>20.399999999999999</v>
      </c>
      <c r="D74" s="33">
        <v>80</v>
      </c>
      <c r="E74" s="32">
        <v>16.7</v>
      </c>
      <c r="F74" s="34">
        <v>1004.7</v>
      </c>
      <c r="G74" s="32">
        <v>4.1944444444444446</v>
      </c>
      <c r="H74" s="32">
        <v>5.6944444444444446</v>
      </c>
      <c r="I74" s="35">
        <v>172</v>
      </c>
      <c r="J74" s="32">
        <v>9</v>
      </c>
      <c r="K74" s="32">
        <v>394.3</v>
      </c>
      <c r="L74" s="32">
        <v>3</v>
      </c>
    </row>
    <row r="75" spans="1:12" s="30" customFormat="1">
      <c r="A75" s="31" t="s">
        <v>1368</v>
      </c>
      <c r="B75" s="31">
        <v>28</v>
      </c>
      <c r="C75" s="32">
        <v>19.399999999999999</v>
      </c>
      <c r="D75" s="33">
        <v>85</v>
      </c>
      <c r="E75" s="32">
        <v>16.7</v>
      </c>
      <c r="F75" s="34">
        <v>1004.2</v>
      </c>
      <c r="G75" s="32">
        <v>3.8333333333333335</v>
      </c>
      <c r="H75" s="32">
        <v>5.1944444444444438</v>
      </c>
      <c r="I75" s="35">
        <v>211</v>
      </c>
      <c r="J75" s="32">
        <v>24.4</v>
      </c>
      <c r="K75" s="32">
        <v>409.7</v>
      </c>
      <c r="L75" s="32">
        <v>15.4</v>
      </c>
    </row>
    <row r="76" spans="1:12" s="30" customFormat="1">
      <c r="A76" s="31" t="s">
        <v>1368</v>
      </c>
      <c r="B76" s="31">
        <v>29</v>
      </c>
      <c r="C76" s="32">
        <v>19</v>
      </c>
      <c r="D76" s="33">
        <v>92</v>
      </c>
      <c r="E76" s="32">
        <v>17.600000000000001</v>
      </c>
      <c r="F76" s="34">
        <v>1008.3</v>
      </c>
      <c r="G76" s="32">
        <v>2.3333333333333335</v>
      </c>
      <c r="H76" s="32">
        <v>3.2777777777777777</v>
      </c>
      <c r="I76" s="35">
        <v>195</v>
      </c>
      <c r="J76" s="32">
        <v>28.4</v>
      </c>
      <c r="K76" s="32">
        <v>413.7</v>
      </c>
      <c r="L76" s="32">
        <v>4</v>
      </c>
    </row>
    <row r="77" spans="1:12" s="30" customFormat="1">
      <c r="A77" s="31" t="s">
        <v>1368</v>
      </c>
      <c r="B77" s="31">
        <v>30</v>
      </c>
      <c r="C77" s="32">
        <v>19.600000000000001</v>
      </c>
      <c r="D77" s="33">
        <v>97</v>
      </c>
      <c r="E77" s="32">
        <v>19.100000000000001</v>
      </c>
      <c r="F77" s="34">
        <v>1008</v>
      </c>
      <c r="G77" s="32">
        <v>2.5833333333333335</v>
      </c>
      <c r="H77" s="32">
        <v>3.4722222222222223</v>
      </c>
      <c r="I77" s="35">
        <v>225</v>
      </c>
      <c r="J77" s="32">
        <v>28.4</v>
      </c>
      <c r="K77" s="32">
        <v>413.7</v>
      </c>
      <c r="L77" s="32">
        <v>0</v>
      </c>
    </row>
    <row r="78" spans="1:12" s="30" customFormat="1">
      <c r="A78" s="31" t="s">
        <v>1367</v>
      </c>
      <c r="B78" s="31">
        <v>1</v>
      </c>
      <c r="C78" s="32">
        <v>20</v>
      </c>
      <c r="D78" s="33">
        <v>94</v>
      </c>
      <c r="E78" s="32">
        <v>19.100000000000001</v>
      </c>
      <c r="F78" s="34">
        <v>1007.8</v>
      </c>
      <c r="G78" s="32">
        <v>2.4444444444444446</v>
      </c>
      <c r="H78" s="32">
        <v>3.5</v>
      </c>
      <c r="I78" s="35">
        <v>194</v>
      </c>
      <c r="J78" s="32">
        <v>12.3</v>
      </c>
      <c r="K78" s="32">
        <v>469.2</v>
      </c>
      <c r="L78" s="32">
        <v>12.3</v>
      </c>
    </row>
    <row r="79" spans="1:12" s="30" customFormat="1">
      <c r="A79" s="31" t="s">
        <v>1367</v>
      </c>
      <c r="B79" s="31">
        <v>2</v>
      </c>
      <c r="C79" s="32">
        <v>19.2</v>
      </c>
      <c r="D79" s="33">
        <v>91</v>
      </c>
      <c r="E79" s="32">
        <v>17.600000000000001</v>
      </c>
      <c r="F79" s="34">
        <v>1006.2</v>
      </c>
      <c r="G79" s="32">
        <v>1.8055555555555556</v>
      </c>
      <c r="H79" s="32">
        <v>2.5555555555555554</v>
      </c>
      <c r="I79" s="35">
        <v>169</v>
      </c>
      <c r="J79" s="32">
        <v>13.3</v>
      </c>
      <c r="K79" s="32">
        <v>470.2</v>
      </c>
      <c r="L79" s="32">
        <v>1</v>
      </c>
    </row>
    <row r="80" spans="1:12" s="30" customFormat="1">
      <c r="A80" s="31" t="s">
        <v>1367</v>
      </c>
      <c r="B80" s="31">
        <v>3</v>
      </c>
      <c r="C80" s="32">
        <v>19.899999999999999</v>
      </c>
      <c r="D80" s="33">
        <v>78</v>
      </c>
      <c r="E80" s="32">
        <v>15.7</v>
      </c>
      <c r="F80" s="34">
        <v>1008</v>
      </c>
      <c r="G80" s="32">
        <v>2.5555555555555554</v>
      </c>
      <c r="H80" s="32">
        <v>3.4722222222222223</v>
      </c>
      <c r="I80" s="35">
        <v>202</v>
      </c>
      <c r="J80" s="32">
        <v>14.3</v>
      </c>
      <c r="K80" s="32">
        <v>471.2</v>
      </c>
      <c r="L80" s="32">
        <v>1</v>
      </c>
    </row>
    <row r="81" spans="1:12" s="30" customFormat="1">
      <c r="A81" s="31" t="s">
        <v>1367</v>
      </c>
      <c r="B81" s="31">
        <v>4</v>
      </c>
      <c r="C81" s="32">
        <v>18.100000000000001</v>
      </c>
      <c r="D81" s="33">
        <v>83</v>
      </c>
      <c r="E81" s="32">
        <v>14.8</v>
      </c>
      <c r="F81" s="34">
        <v>1015.9</v>
      </c>
      <c r="G81" s="32">
        <v>0.88888888888888895</v>
      </c>
      <c r="H81" s="32">
        <v>1.3333333333333333</v>
      </c>
      <c r="I81" s="35">
        <v>235</v>
      </c>
      <c r="J81" s="32">
        <v>14.3</v>
      </c>
      <c r="K81" s="32">
        <v>471.2</v>
      </c>
      <c r="L81" s="32">
        <v>0</v>
      </c>
    </row>
    <row r="82" spans="1:12" s="30" customFormat="1">
      <c r="A82" s="31" t="s">
        <v>1367</v>
      </c>
      <c r="B82" s="31">
        <v>5</v>
      </c>
      <c r="C82" s="32">
        <v>17.5</v>
      </c>
      <c r="D82" s="33">
        <v>86</v>
      </c>
      <c r="E82" s="32">
        <v>14.8</v>
      </c>
      <c r="F82" s="34">
        <v>1021.3</v>
      </c>
      <c r="G82" s="32">
        <v>1.1388888888888888</v>
      </c>
      <c r="H82" s="32">
        <v>1.8333333333333333</v>
      </c>
      <c r="I82" s="35">
        <v>333</v>
      </c>
      <c r="J82" s="32">
        <v>14.3</v>
      </c>
      <c r="K82" s="32">
        <v>471.2</v>
      </c>
      <c r="L82" s="32">
        <v>0</v>
      </c>
    </row>
    <row r="83" spans="1:12" s="30" customFormat="1">
      <c r="A83" s="31" t="s">
        <v>1367</v>
      </c>
      <c r="B83" s="31">
        <v>6</v>
      </c>
      <c r="C83" s="32">
        <v>18.8</v>
      </c>
      <c r="D83" s="33">
        <v>78</v>
      </c>
      <c r="E83" s="32">
        <v>14.4</v>
      </c>
      <c r="F83" s="34">
        <v>1019.8</v>
      </c>
      <c r="G83" s="32">
        <v>1.0277777777777779</v>
      </c>
      <c r="H83" s="32">
        <v>1.6111111111111109</v>
      </c>
      <c r="I83" s="35">
        <v>325</v>
      </c>
      <c r="J83" s="32">
        <v>14.3</v>
      </c>
      <c r="K83" s="32">
        <v>471.2</v>
      </c>
      <c r="L83" s="32">
        <v>0</v>
      </c>
    </row>
    <row r="84" spans="1:12" s="30" customFormat="1">
      <c r="A84" s="31" t="s">
        <v>1367</v>
      </c>
      <c r="B84" s="31">
        <v>7</v>
      </c>
      <c r="C84" s="32">
        <v>17.899999999999999</v>
      </c>
      <c r="D84" s="33">
        <v>73</v>
      </c>
      <c r="E84" s="32">
        <v>12</v>
      </c>
      <c r="F84" s="34">
        <v>1018.2</v>
      </c>
      <c r="G84" s="32">
        <v>0.83333333333333326</v>
      </c>
      <c r="H84" s="32">
        <v>1.2777777777777777</v>
      </c>
      <c r="I84" s="35">
        <v>337</v>
      </c>
      <c r="J84" s="32">
        <v>14.3</v>
      </c>
      <c r="K84" s="32">
        <v>471.2</v>
      </c>
      <c r="L84" s="32">
        <v>0</v>
      </c>
    </row>
    <row r="85" spans="1:12" s="30" customFormat="1">
      <c r="A85" s="31" t="s">
        <v>1367</v>
      </c>
      <c r="B85" s="31">
        <v>8</v>
      </c>
      <c r="C85" s="32">
        <v>17.5</v>
      </c>
      <c r="D85" s="33">
        <v>72</v>
      </c>
      <c r="E85" s="32">
        <v>11.4</v>
      </c>
      <c r="F85" s="34">
        <v>1018</v>
      </c>
      <c r="G85" s="32">
        <v>0.66666666666666663</v>
      </c>
      <c r="H85" s="32">
        <v>1.0277777777777779</v>
      </c>
      <c r="I85" s="35">
        <v>342</v>
      </c>
      <c r="J85" s="32">
        <v>14.3</v>
      </c>
      <c r="K85" s="32">
        <v>471.2</v>
      </c>
      <c r="L85" s="32">
        <v>0</v>
      </c>
    </row>
    <row r="86" spans="1:12" s="30" customFormat="1">
      <c r="A86" s="31" t="s">
        <v>1367</v>
      </c>
      <c r="B86" s="31">
        <v>9</v>
      </c>
      <c r="C86" s="32">
        <v>18.7</v>
      </c>
      <c r="D86" s="33">
        <v>67</v>
      </c>
      <c r="E86" s="32">
        <v>11.1</v>
      </c>
      <c r="F86" s="34">
        <v>1016.1</v>
      </c>
      <c r="G86" s="32">
        <v>0.88888888888888895</v>
      </c>
      <c r="H86" s="32">
        <v>1.3333333333333333</v>
      </c>
      <c r="I86" s="35">
        <v>20</v>
      </c>
      <c r="J86" s="32">
        <v>14.3</v>
      </c>
      <c r="K86" s="32">
        <v>471.2</v>
      </c>
      <c r="L86" s="32">
        <v>0</v>
      </c>
    </row>
    <row r="87" spans="1:12" s="30" customFormat="1">
      <c r="A87" s="31" t="s">
        <v>1367</v>
      </c>
      <c r="B87" s="31">
        <v>10</v>
      </c>
      <c r="C87" s="32">
        <v>18.3</v>
      </c>
      <c r="D87" s="33">
        <v>67</v>
      </c>
      <c r="E87" s="32">
        <v>11</v>
      </c>
      <c r="F87" s="34">
        <v>1013.7</v>
      </c>
      <c r="G87" s="32">
        <v>0.52777777777777779</v>
      </c>
      <c r="H87" s="32">
        <v>0.83333333333333326</v>
      </c>
      <c r="I87" s="35">
        <v>260</v>
      </c>
      <c r="J87" s="32">
        <v>14.3</v>
      </c>
      <c r="K87" s="32">
        <v>471.2</v>
      </c>
      <c r="L87" s="32">
        <v>0</v>
      </c>
    </row>
    <row r="88" spans="1:12" s="30" customFormat="1">
      <c r="A88" s="31" t="s">
        <v>1367</v>
      </c>
      <c r="B88" s="31">
        <v>11</v>
      </c>
      <c r="C88" s="32">
        <v>16.600000000000001</v>
      </c>
      <c r="D88" s="33">
        <v>78</v>
      </c>
      <c r="E88" s="32">
        <v>12.4</v>
      </c>
      <c r="F88" s="34">
        <v>1012.4</v>
      </c>
      <c r="G88" s="32">
        <v>0.88888888888888895</v>
      </c>
      <c r="H88" s="32">
        <v>1.3888888888888888</v>
      </c>
      <c r="I88" s="35">
        <v>258</v>
      </c>
      <c r="J88" s="32">
        <v>14.3</v>
      </c>
      <c r="K88" s="32">
        <v>471.2</v>
      </c>
      <c r="L88" s="32">
        <v>0</v>
      </c>
    </row>
    <row r="89" spans="1:12" s="30" customFormat="1">
      <c r="A89" s="31" t="s">
        <v>1367</v>
      </c>
      <c r="B89" s="31">
        <v>12</v>
      </c>
      <c r="C89" s="32">
        <v>16.899999999999999</v>
      </c>
      <c r="D89" s="33">
        <v>71</v>
      </c>
      <c r="E89" s="32">
        <v>11.6</v>
      </c>
      <c r="F89" s="34">
        <v>1015.1</v>
      </c>
      <c r="G89" s="32">
        <v>0.80555555555555547</v>
      </c>
      <c r="H89" s="32">
        <v>1.2777777777777777</v>
      </c>
      <c r="I89" s="35">
        <v>244</v>
      </c>
      <c r="J89" s="32">
        <v>14.3</v>
      </c>
      <c r="K89" s="32">
        <v>471.2</v>
      </c>
      <c r="L89" s="32">
        <v>0</v>
      </c>
    </row>
    <row r="90" spans="1:12" s="30" customFormat="1">
      <c r="A90" s="31" t="s">
        <v>1367</v>
      </c>
      <c r="B90" s="31">
        <v>13</v>
      </c>
      <c r="C90" s="32">
        <v>16.3</v>
      </c>
      <c r="D90" s="33">
        <v>79</v>
      </c>
      <c r="E90" s="32">
        <v>12.4</v>
      </c>
      <c r="F90" s="34">
        <v>1018.9</v>
      </c>
      <c r="G90" s="32">
        <v>1.0833333333333333</v>
      </c>
      <c r="H90" s="32">
        <v>1.6388888888888888</v>
      </c>
      <c r="I90" s="35">
        <v>202</v>
      </c>
      <c r="J90" s="32">
        <v>14.3</v>
      </c>
      <c r="K90" s="32">
        <v>471.2</v>
      </c>
      <c r="L90" s="32">
        <v>0</v>
      </c>
    </row>
    <row r="91" spans="1:12" s="30" customFormat="1">
      <c r="A91" s="31" t="s">
        <v>1367</v>
      </c>
      <c r="B91" s="31">
        <v>14</v>
      </c>
      <c r="C91" s="32">
        <v>17.600000000000001</v>
      </c>
      <c r="D91" s="33">
        <v>84</v>
      </c>
      <c r="E91" s="32">
        <v>14.7</v>
      </c>
      <c r="F91" s="34">
        <v>1017.9</v>
      </c>
      <c r="G91" s="32">
        <v>1.1944444444444444</v>
      </c>
      <c r="H91" s="32">
        <v>1.8055555555555556</v>
      </c>
      <c r="I91" s="35">
        <v>191</v>
      </c>
      <c r="J91" s="32">
        <v>14.3</v>
      </c>
      <c r="K91" s="32">
        <v>471.2</v>
      </c>
      <c r="L91" s="32">
        <v>0</v>
      </c>
    </row>
    <row r="92" spans="1:12" s="30" customFormat="1">
      <c r="A92" s="31" t="s">
        <v>1367</v>
      </c>
      <c r="B92" s="31">
        <v>15</v>
      </c>
      <c r="C92" s="32">
        <v>19</v>
      </c>
      <c r="D92" s="33">
        <v>86</v>
      </c>
      <c r="E92" s="32">
        <v>16.5</v>
      </c>
      <c r="F92" s="34">
        <v>1018.7</v>
      </c>
      <c r="G92" s="32">
        <v>1.25</v>
      </c>
      <c r="H92" s="32">
        <v>1.8888888888888888</v>
      </c>
      <c r="I92" s="35">
        <v>208</v>
      </c>
      <c r="J92" s="32">
        <v>14.3</v>
      </c>
      <c r="K92" s="32">
        <v>471.2</v>
      </c>
      <c r="L92" s="32">
        <v>0</v>
      </c>
    </row>
    <row r="93" spans="1:12" s="30" customFormat="1">
      <c r="A93" s="31" t="s">
        <v>1367</v>
      </c>
      <c r="B93" s="31">
        <v>16</v>
      </c>
      <c r="C93" s="32">
        <v>19.100000000000001</v>
      </c>
      <c r="D93" s="33">
        <v>85</v>
      </c>
      <c r="E93" s="32">
        <v>16.3</v>
      </c>
      <c r="F93" s="34">
        <v>1019.8</v>
      </c>
      <c r="G93" s="32">
        <v>0.75</v>
      </c>
      <c r="H93" s="32">
        <v>1.3055555555555556</v>
      </c>
      <c r="I93" s="35">
        <v>205</v>
      </c>
      <c r="J93" s="32">
        <v>14.3</v>
      </c>
      <c r="K93" s="32">
        <v>471.2</v>
      </c>
      <c r="L93" s="32">
        <v>0</v>
      </c>
    </row>
    <row r="94" spans="1:12" s="30" customFormat="1">
      <c r="A94" s="31" t="s">
        <v>1367</v>
      </c>
      <c r="B94" s="31">
        <v>17</v>
      </c>
      <c r="C94" s="32">
        <v>18.8</v>
      </c>
      <c r="D94" s="33">
        <v>86</v>
      </c>
      <c r="E94" s="32">
        <v>16.2</v>
      </c>
      <c r="F94" s="34">
        <v>1014.8</v>
      </c>
      <c r="G94" s="32">
        <v>0.44444444444444448</v>
      </c>
      <c r="H94" s="32">
        <v>0.77777777777777768</v>
      </c>
      <c r="I94" s="35">
        <v>265</v>
      </c>
      <c r="J94" s="32">
        <v>14.3</v>
      </c>
      <c r="K94" s="32">
        <v>471.2</v>
      </c>
      <c r="L94" s="32">
        <v>0</v>
      </c>
    </row>
    <row r="95" spans="1:12" s="30" customFormat="1">
      <c r="A95" s="31" t="s">
        <v>1367</v>
      </c>
      <c r="B95" s="31">
        <v>18</v>
      </c>
      <c r="C95" s="32">
        <v>18.100000000000001</v>
      </c>
      <c r="D95" s="33">
        <v>90</v>
      </c>
      <c r="E95" s="32">
        <v>16.399999999999999</v>
      </c>
      <c r="F95" s="34">
        <v>1010</v>
      </c>
      <c r="G95" s="32">
        <v>2.2222222222222223</v>
      </c>
      <c r="H95" s="32">
        <v>3.0555555555555554</v>
      </c>
      <c r="I95" s="35">
        <v>171</v>
      </c>
      <c r="J95" s="32">
        <v>34</v>
      </c>
      <c r="K95" s="32">
        <v>490.9</v>
      </c>
      <c r="L95" s="32">
        <v>19.7</v>
      </c>
    </row>
    <row r="96" spans="1:12" s="30" customFormat="1">
      <c r="A96" s="31" t="s">
        <v>1367</v>
      </c>
      <c r="B96" s="31">
        <v>19</v>
      </c>
      <c r="C96" s="32">
        <v>17.899999999999999</v>
      </c>
      <c r="D96" s="33">
        <v>86</v>
      </c>
      <c r="E96" s="32">
        <v>15.3</v>
      </c>
      <c r="F96" s="34">
        <v>1012</v>
      </c>
      <c r="G96" s="32">
        <v>2.0277777777777777</v>
      </c>
      <c r="H96" s="32">
        <v>2.8611111111111112</v>
      </c>
      <c r="I96" s="35">
        <v>193</v>
      </c>
      <c r="J96" s="32">
        <v>35</v>
      </c>
      <c r="K96" s="32">
        <v>491.9</v>
      </c>
      <c r="L96" s="32">
        <v>1</v>
      </c>
    </row>
    <row r="97" spans="1:12" s="30" customFormat="1">
      <c r="A97" s="31" t="s">
        <v>1367</v>
      </c>
      <c r="B97" s="31">
        <v>20</v>
      </c>
      <c r="C97" s="32">
        <v>17.5</v>
      </c>
      <c r="D97" s="33">
        <v>87</v>
      </c>
      <c r="E97" s="32">
        <v>15</v>
      </c>
      <c r="F97" s="34">
        <v>1015</v>
      </c>
      <c r="G97" s="32">
        <v>1.2777777777777777</v>
      </c>
      <c r="H97" s="32">
        <v>1.8333333333333333</v>
      </c>
      <c r="I97" s="35">
        <v>173</v>
      </c>
      <c r="J97" s="32">
        <v>38</v>
      </c>
      <c r="K97" s="32">
        <v>494.9</v>
      </c>
      <c r="L97" s="32">
        <v>3</v>
      </c>
    </row>
    <row r="98" spans="1:12" s="30" customFormat="1">
      <c r="A98" s="31" t="s">
        <v>1367</v>
      </c>
      <c r="B98" s="31">
        <v>21</v>
      </c>
      <c r="C98" s="32">
        <v>19.399999999999999</v>
      </c>
      <c r="D98" s="33">
        <v>80</v>
      </c>
      <c r="E98" s="32">
        <v>15.8</v>
      </c>
      <c r="F98" s="34">
        <v>1009.8</v>
      </c>
      <c r="G98" s="32">
        <v>4.3055555555555554</v>
      </c>
      <c r="H98" s="32">
        <v>5.75</v>
      </c>
      <c r="I98" s="35">
        <v>168</v>
      </c>
      <c r="J98" s="32">
        <v>39</v>
      </c>
      <c r="K98" s="32">
        <v>495.9</v>
      </c>
      <c r="L98" s="32">
        <v>1</v>
      </c>
    </row>
    <row r="99" spans="1:12" s="30" customFormat="1">
      <c r="A99" s="31" t="s">
        <v>1367</v>
      </c>
      <c r="B99" s="31">
        <v>22</v>
      </c>
      <c r="C99" s="32">
        <v>18.600000000000001</v>
      </c>
      <c r="D99" s="33">
        <v>85</v>
      </c>
      <c r="E99" s="32">
        <v>15.8</v>
      </c>
      <c r="F99" s="34">
        <v>1004.3</v>
      </c>
      <c r="G99" s="32">
        <v>3.4444444444444446</v>
      </c>
      <c r="H99" s="32">
        <v>4.7222222222222223</v>
      </c>
      <c r="I99" s="35">
        <v>201</v>
      </c>
      <c r="J99" s="32">
        <v>51.4</v>
      </c>
      <c r="K99" s="32">
        <v>508.3</v>
      </c>
      <c r="L99" s="32">
        <v>12.4</v>
      </c>
    </row>
    <row r="100" spans="1:12" s="30" customFormat="1">
      <c r="A100" s="31" t="s">
        <v>1367</v>
      </c>
      <c r="B100" s="31">
        <v>23</v>
      </c>
      <c r="C100" s="32">
        <v>18</v>
      </c>
      <c r="D100" s="33">
        <v>87</v>
      </c>
      <c r="E100" s="32">
        <v>15.8</v>
      </c>
      <c r="F100" s="34">
        <v>1010.2</v>
      </c>
      <c r="G100" s="32">
        <v>2.5555555555555554</v>
      </c>
      <c r="H100" s="32">
        <v>3.5277777777777777</v>
      </c>
      <c r="I100" s="35">
        <v>164</v>
      </c>
      <c r="J100" s="32">
        <v>51.4</v>
      </c>
      <c r="K100" s="32">
        <v>508.3</v>
      </c>
      <c r="L100" s="32">
        <v>0</v>
      </c>
    </row>
    <row r="101" spans="1:12" s="30" customFormat="1">
      <c r="A101" s="31" t="s">
        <v>1367</v>
      </c>
      <c r="B101" s="31">
        <v>24</v>
      </c>
      <c r="C101" s="32">
        <v>18.7</v>
      </c>
      <c r="D101" s="33">
        <v>91</v>
      </c>
      <c r="E101" s="32">
        <v>17.2</v>
      </c>
      <c r="F101" s="34">
        <v>1005.7</v>
      </c>
      <c r="G101" s="32">
        <v>2.7777777777777777</v>
      </c>
      <c r="H101" s="32">
        <v>3.8611111111111112</v>
      </c>
      <c r="I101" s="35">
        <v>186</v>
      </c>
      <c r="J101" s="32">
        <v>87.3</v>
      </c>
      <c r="K101" s="32">
        <v>544.20000000000005</v>
      </c>
      <c r="L101" s="32">
        <v>35.9</v>
      </c>
    </row>
    <row r="102" spans="1:12" s="30" customFormat="1">
      <c r="A102" s="31" t="s">
        <v>1367</v>
      </c>
      <c r="B102" s="31">
        <v>25</v>
      </c>
      <c r="C102" s="32">
        <v>16.5</v>
      </c>
      <c r="D102" s="33">
        <v>94</v>
      </c>
      <c r="E102" s="32">
        <v>15.5</v>
      </c>
      <c r="F102" s="34">
        <v>1007.3</v>
      </c>
      <c r="G102" s="32">
        <v>1.4166666666666665</v>
      </c>
      <c r="H102" s="32">
        <v>2</v>
      </c>
      <c r="I102" s="35">
        <v>155</v>
      </c>
      <c r="J102" s="32">
        <v>123.3</v>
      </c>
      <c r="K102" s="32">
        <v>580.20000000000005</v>
      </c>
      <c r="L102" s="32">
        <v>36</v>
      </c>
    </row>
    <row r="103" spans="1:12" s="30" customFormat="1">
      <c r="A103" s="31" t="s">
        <v>1367</v>
      </c>
      <c r="B103" s="31">
        <v>26</v>
      </c>
      <c r="C103" s="32">
        <v>15.6</v>
      </c>
      <c r="D103" s="33">
        <v>87</v>
      </c>
      <c r="E103" s="32">
        <v>13.3</v>
      </c>
      <c r="F103" s="34">
        <v>1015.9</v>
      </c>
      <c r="G103" s="32">
        <v>0.75</v>
      </c>
      <c r="H103" s="32">
        <v>1.25</v>
      </c>
      <c r="I103" s="35">
        <v>126</v>
      </c>
      <c r="J103" s="32">
        <v>123.3</v>
      </c>
      <c r="K103" s="32">
        <v>580.20000000000005</v>
      </c>
      <c r="L103" s="32">
        <v>0</v>
      </c>
    </row>
    <row r="104" spans="1:12" s="30" customFormat="1">
      <c r="A104" s="31" t="s">
        <v>1367</v>
      </c>
      <c r="B104" s="31">
        <v>27</v>
      </c>
      <c r="C104" s="32">
        <v>15.6</v>
      </c>
      <c r="D104" s="33">
        <v>81</v>
      </c>
      <c r="E104" s="32">
        <v>11.5</v>
      </c>
      <c r="F104" s="34">
        <v>1020</v>
      </c>
      <c r="G104" s="32">
        <v>0.69444444444444442</v>
      </c>
      <c r="H104" s="32">
        <v>1.0833333333333333</v>
      </c>
      <c r="I104" s="35">
        <v>171</v>
      </c>
      <c r="J104" s="32">
        <v>123.3</v>
      </c>
      <c r="K104" s="32">
        <v>580.20000000000005</v>
      </c>
      <c r="L104" s="32">
        <v>0</v>
      </c>
    </row>
    <row r="105" spans="1:12" s="30" customFormat="1">
      <c r="A105" s="31" t="s">
        <v>1367</v>
      </c>
      <c r="B105" s="31">
        <v>28</v>
      </c>
      <c r="C105" s="32">
        <v>13.5</v>
      </c>
      <c r="D105" s="33">
        <v>92</v>
      </c>
      <c r="E105" s="32">
        <v>12.1</v>
      </c>
      <c r="F105" s="34">
        <v>1017.9</v>
      </c>
      <c r="G105" s="32">
        <v>0.91666666666666663</v>
      </c>
      <c r="H105" s="32">
        <v>1.5</v>
      </c>
      <c r="I105" s="35">
        <v>340</v>
      </c>
      <c r="J105" s="32">
        <v>131.6</v>
      </c>
      <c r="K105" s="32">
        <v>588.5</v>
      </c>
      <c r="L105" s="32">
        <v>8.3000000000000007</v>
      </c>
    </row>
    <row r="106" spans="1:12" s="30" customFormat="1">
      <c r="A106" s="31" t="s">
        <v>1367</v>
      </c>
      <c r="B106" s="31">
        <v>29</v>
      </c>
      <c r="C106" s="32">
        <v>12.2</v>
      </c>
      <c r="D106" s="33">
        <v>76</v>
      </c>
      <c r="E106" s="32">
        <v>7.5</v>
      </c>
      <c r="F106" s="34">
        <v>1021</v>
      </c>
      <c r="G106" s="32">
        <v>1.4444444444444444</v>
      </c>
      <c r="H106" s="32">
        <v>2</v>
      </c>
      <c r="I106" s="35">
        <v>351</v>
      </c>
      <c r="J106" s="32">
        <v>131.6</v>
      </c>
      <c r="K106" s="32">
        <v>588.5</v>
      </c>
      <c r="L106" s="32">
        <v>0</v>
      </c>
    </row>
    <row r="107" spans="1:12" s="30" customFormat="1">
      <c r="A107" s="31" t="s">
        <v>1367</v>
      </c>
      <c r="B107" s="31">
        <v>30</v>
      </c>
      <c r="C107" s="32">
        <v>11</v>
      </c>
      <c r="D107" s="33">
        <v>76</v>
      </c>
      <c r="E107" s="32">
        <v>6.3</v>
      </c>
      <c r="F107" s="34">
        <v>1021</v>
      </c>
      <c r="G107" s="32">
        <v>0.80555555555555547</v>
      </c>
      <c r="H107" s="32">
        <v>1.1388888888888888</v>
      </c>
      <c r="I107" s="35">
        <v>342</v>
      </c>
      <c r="J107" s="32">
        <v>131.6</v>
      </c>
      <c r="K107" s="32">
        <v>588.5</v>
      </c>
      <c r="L107" s="32">
        <v>0</v>
      </c>
    </row>
    <row r="108" spans="1:12" s="30" customFormat="1">
      <c r="A108" s="31" t="s">
        <v>1367</v>
      </c>
      <c r="B108" s="31">
        <v>31</v>
      </c>
      <c r="C108" s="32">
        <v>11.1</v>
      </c>
      <c r="D108" s="33">
        <v>76</v>
      </c>
      <c r="E108" s="32">
        <v>6.4</v>
      </c>
      <c r="F108" s="34">
        <v>1021.1</v>
      </c>
      <c r="G108" s="32">
        <v>0.58333333333333337</v>
      </c>
      <c r="H108" s="32">
        <v>0.86111111111111116</v>
      </c>
      <c r="I108" s="35">
        <v>337</v>
      </c>
      <c r="J108" s="32">
        <v>131.6</v>
      </c>
      <c r="K108" s="32">
        <v>588.5</v>
      </c>
      <c r="L108" s="32">
        <v>0</v>
      </c>
    </row>
    <row r="109" spans="1:12" s="31" customFormat="1">
      <c r="A109" s="31" t="s">
        <v>1324</v>
      </c>
      <c r="B109" s="31">
        <v>1</v>
      </c>
      <c r="C109" s="32">
        <v>14.3</v>
      </c>
      <c r="D109" s="33">
        <v>89</v>
      </c>
      <c r="E109" s="32">
        <v>12.4</v>
      </c>
      <c r="F109" s="34">
        <v>1019.8</v>
      </c>
      <c r="G109" s="32">
        <v>0.86111111111111116</v>
      </c>
      <c r="H109" s="32">
        <v>1.3333333333333333</v>
      </c>
      <c r="I109" s="35">
        <v>182</v>
      </c>
      <c r="J109" s="32">
        <v>0</v>
      </c>
      <c r="K109" s="32">
        <v>588.5</v>
      </c>
      <c r="L109" s="32">
        <v>0</v>
      </c>
    </row>
    <row r="110" spans="1:12" s="31" customFormat="1">
      <c r="A110" s="31" t="s">
        <v>1324</v>
      </c>
      <c r="B110" s="31">
        <v>2</v>
      </c>
      <c r="C110" s="32">
        <v>16.8</v>
      </c>
      <c r="D110" s="33">
        <v>86</v>
      </c>
      <c r="E110" s="32">
        <v>14.3</v>
      </c>
      <c r="F110" s="34">
        <v>1017</v>
      </c>
      <c r="G110" s="32">
        <v>1.3333333333333333</v>
      </c>
      <c r="H110" s="32">
        <v>1.9166666666666667</v>
      </c>
      <c r="I110" s="35">
        <v>215</v>
      </c>
      <c r="J110" s="32">
        <v>1</v>
      </c>
      <c r="K110" s="32">
        <v>589.5</v>
      </c>
      <c r="L110" s="32">
        <v>1</v>
      </c>
    </row>
    <row r="111" spans="1:12" s="31" customFormat="1">
      <c r="A111" s="31" t="s">
        <v>1324</v>
      </c>
      <c r="B111" s="31">
        <v>3</v>
      </c>
      <c r="C111" s="32">
        <v>15.4</v>
      </c>
      <c r="D111" s="33">
        <v>81</v>
      </c>
      <c r="E111" s="32">
        <v>11.9</v>
      </c>
      <c r="F111" s="34">
        <v>1019.2</v>
      </c>
      <c r="G111" s="32">
        <v>0.91666666666666663</v>
      </c>
      <c r="H111" s="32">
        <v>1.3333333333333333</v>
      </c>
      <c r="I111" s="35">
        <v>322</v>
      </c>
      <c r="J111" s="32">
        <v>1</v>
      </c>
      <c r="K111" s="32">
        <v>589.5</v>
      </c>
      <c r="L111" s="32">
        <v>0</v>
      </c>
    </row>
    <row r="112" spans="1:12" s="31" customFormat="1">
      <c r="A112" s="31" t="s">
        <v>1324</v>
      </c>
      <c r="B112" s="31">
        <v>4</v>
      </c>
      <c r="C112" s="32">
        <v>16.2</v>
      </c>
      <c r="D112" s="33">
        <v>85</v>
      </c>
      <c r="E112" s="32">
        <v>13.7</v>
      </c>
      <c r="F112" s="34">
        <v>1017.9</v>
      </c>
      <c r="G112" s="32">
        <v>2.3611111111111112</v>
      </c>
      <c r="H112" s="32">
        <v>3.3888888888888884</v>
      </c>
      <c r="I112" s="35">
        <v>256</v>
      </c>
      <c r="J112" s="32">
        <v>1</v>
      </c>
      <c r="K112" s="32">
        <v>589.5</v>
      </c>
      <c r="L112" s="32">
        <v>0</v>
      </c>
    </row>
    <row r="113" spans="1:12" s="31" customFormat="1">
      <c r="A113" s="31" t="s">
        <v>1324</v>
      </c>
      <c r="B113" s="31">
        <v>5</v>
      </c>
      <c r="C113" s="32">
        <v>16.600000000000001</v>
      </c>
      <c r="D113" s="33">
        <v>94</v>
      </c>
      <c r="E113" s="32">
        <v>15.5</v>
      </c>
      <c r="F113" s="34">
        <v>1020.2</v>
      </c>
      <c r="G113" s="32">
        <v>1</v>
      </c>
      <c r="H113" s="32">
        <v>1.6111111111111109</v>
      </c>
      <c r="I113" s="35">
        <v>296</v>
      </c>
      <c r="J113" s="32">
        <v>1</v>
      </c>
      <c r="K113" s="32">
        <v>589.5</v>
      </c>
      <c r="L113" s="32">
        <v>0</v>
      </c>
    </row>
    <row r="114" spans="1:12" s="31" customFormat="1">
      <c r="A114" s="31" t="s">
        <v>1324</v>
      </c>
      <c r="B114" s="31">
        <v>6</v>
      </c>
      <c r="C114" s="32">
        <v>16.399999999999999</v>
      </c>
      <c r="D114" s="33">
        <v>87</v>
      </c>
      <c r="E114" s="32">
        <v>14.1</v>
      </c>
      <c r="F114" s="34">
        <v>1019</v>
      </c>
      <c r="G114" s="32">
        <v>0.66666666666666663</v>
      </c>
      <c r="H114" s="32">
        <v>0.94444444444444442</v>
      </c>
      <c r="I114" s="35">
        <v>210</v>
      </c>
      <c r="J114" s="32">
        <v>1</v>
      </c>
      <c r="K114" s="32">
        <v>589.5</v>
      </c>
      <c r="L114" s="32">
        <v>0</v>
      </c>
    </row>
    <row r="115" spans="1:12" s="31" customFormat="1">
      <c r="A115" s="31" t="s">
        <v>1324</v>
      </c>
      <c r="B115" s="31">
        <v>7</v>
      </c>
      <c r="C115" s="32">
        <v>16.8</v>
      </c>
      <c r="D115" s="33">
        <v>81</v>
      </c>
      <c r="E115" s="32">
        <v>13.4</v>
      </c>
      <c r="F115" s="34">
        <v>1017.4</v>
      </c>
      <c r="G115" s="32">
        <v>1.5555555555555554</v>
      </c>
      <c r="H115" s="32">
        <v>2.1111111111111112</v>
      </c>
      <c r="I115" s="35">
        <v>192</v>
      </c>
      <c r="J115" s="32">
        <v>1</v>
      </c>
      <c r="K115" s="32">
        <v>589.5</v>
      </c>
      <c r="L115" s="32">
        <v>0</v>
      </c>
    </row>
    <row r="116" spans="1:12" s="31" customFormat="1">
      <c r="A116" s="31" t="s">
        <v>1324</v>
      </c>
      <c r="B116" s="31">
        <v>8</v>
      </c>
      <c r="C116" s="32">
        <v>15.4</v>
      </c>
      <c r="D116" s="33">
        <v>85</v>
      </c>
      <c r="E116" s="32">
        <v>12.6</v>
      </c>
      <c r="F116" s="34">
        <v>1019.2</v>
      </c>
      <c r="G116" s="32">
        <v>1.6388888888888888</v>
      </c>
      <c r="H116" s="32">
        <v>2.5</v>
      </c>
      <c r="I116" s="35">
        <v>281</v>
      </c>
      <c r="J116" s="32">
        <v>6</v>
      </c>
      <c r="K116" s="32">
        <v>594.5</v>
      </c>
      <c r="L116" s="32">
        <v>5</v>
      </c>
    </row>
    <row r="117" spans="1:12" s="31" customFormat="1">
      <c r="A117" s="31" t="s">
        <v>1324</v>
      </c>
      <c r="B117" s="31">
        <v>9</v>
      </c>
      <c r="C117" s="32">
        <v>12.8</v>
      </c>
      <c r="D117" s="33">
        <v>88</v>
      </c>
      <c r="E117" s="32">
        <v>10.6</v>
      </c>
      <c r="F117" s="34">
        <v>1025.0999999999999</v>
      </c>
      <c r="G117" s="32">
        <v>0.58333333333333337</v>
      </c>
      <c r="H117" s="32">
        <v>1</v>
      </c>
      <c r="I117" s="35">
        <v>252</v>
      </c>
      <c r="J117" s="32">
        <v>6</v>
      </c>
      <c r="K117" s="32">
        <v>594.5</v>
      </c>
      <c r="L117" s="32">
        <v>0</v>
      </c>
    </row>
    <row r="118" spans="1:12" s="31" customFormat="1">
      <c r="A118" s="31" t="s">
        <v>1324</v>
      </c>
      <c r="B118" s="31">
        <v>10</v>
      </c>
      <c r="C118" s="32">
        <v>15.2</v>
      </c>
      <c r="D118" s="33">
        <v>87</v>
      </c>
      <c r="E118" s="32">
        <v>12.9</v>
      </c>
      <c r="F118" s="34">
        <v>1027.2</v>
      </c>
      <c r="G118" s="32">
        <v>1.8333333333333333</v>
      </c>
      <c r="H118" s="32">
        <v>2.4444444444444446</v>
      </c>
      <c r="I118" s="35">
        <v>341</v>
      </c>
      <c r="J118" s="32">
        <v>7</v>
      </c>
      <c r="K118" s="32">
        <v>595.5</v>
      </c>
      <c r="L118" s="32">
        <v>1</v>
      </c>
    </row>
    <row r="119" spans="1:12" s="31" customFormat="1">
      <c r="A119" s="31" t="s">
        <v>1324</v>
      </c>
      <c r="B119" s="31">
        <v>11</v>
      </c>
      <c r="C119" s="32">
        <v>13.2</v>
      </c>
      <c r="D119" s="33">
        <v>84</v>
      </c>
      <c r="E119" s="32">
        <v>10.3</v>
      </c>
      <c r="F119" s="34">
        <v>1023.9</v>
      </c>
      <c r="G119" s="32">
        <v>1.6111111111111109</v>
      </c>
      <c r="H119" s="32">
        <v>2.2222222222222223</v>
      </c>
      <c r="I119" s="35">
        <v>336</v>
      </c>
      <c r="J119" s="32">
        <v>7</v>
      </c>
      <c r="K119" s="32">
        <v>595.5</v>
      </c>
      <c r="L119" s="32">
        <v>0</v>
      </c>
    </row>
    <row r="120" spans="1:12" s="31" customFormat="1">
      <c r="A120" s="31" t="s">
        <v>1324</v>
      </c>
      <c r="B120" s="31">
        <v>12</v>
      </c>
      <c r="C120" s="32">
        <v>12</v>
      </c>
      <c r="D120" s="33">
        <v>86</v>
      </c>
      <c r="E120" s="32">
        <v>9.6</v>
      </c>
      <c r="F120" s="34">
        <v>1020.2</v>
      </c>
      <c r="G120" s="32">
        <v>0.77777777777777768</v>
      </c>
      <c r="H120" s="32">
        <v>1.1666666666666667</v>
      </c>
      <c r="I120" s="35">
        <v>311</v>
      </c>
      <c r="J120" s="32">
        <v>7</v>
      </c>
      <c r="K120" s="32">
        <v>595.5</v>
      </c>
      <c r="L120" s="32">
        <v>0</v>
      </c>
    </row>
    <row r="121" spans="1:12" s="31" customFormat="1">
      <c r="A121" s="31" t="s">
        <v>1324</v>
      </c>
      <c r="B121" s="31">
        <v>13</v>
      </c>
      <c r="C121" s="32">
        <v>13.1</v>
      </c>
      <c r="D121" s="33">
        <v>82</v>
      </c>
      <c r="E121" s="32">
        <v>9.6</v>
      </c>
      <c r="F121" s="34">
        <v>1019.2</v>
      </c>
      <c r="G121" s="32">
        <v>0.91666666666666663</v>
      </c>
      <c r="H121" s="32">
        <v>1.2222222222222223</v>
      </c>
      <c r="I121" s="35">
        <v>3</v>
      </c>
      <c r="J121" s="32">
        <v>7</v>
      </c>
      <c r="K121" s="32">
        <v>595.5</v>
      </c>
      <c r="L121" s="32">
        <v>0</v>
      </c>
    </row>
    <row r="122" spans="1:12" s="31" customFormat="1">
      <c r="A122" s="31" t="s">
        <v>1324</v>
      </c>
      <c r="B122" s="31">
        <v>14</v>
      </c>
      <c r="C122" s="32">
        <v>12.2</v>
      </c>
      <c r="D122" s="33">
        <v>73</v>
      </c>
      <c r="E122" s="32">
        <v>6.9</v>
      </c>
      <c r="F122" s="34">
        <v>1023.8</v>
      </c>
      <c r="G122" s="32">
        <v>1.1111111111111112</v>
      </c>
      <c r="H122" s="32">
        <v>1.5833333333333333</v>
      </c>
      <c r="I122" s="35">
        <v>8</v>
      </c>
      <c r="J122" s="32">
        <v>7</v>
      </c>
      <c r="K122" s="32">
        <v>595.5</v>
      </c>
      <c r="L122" s="32">
        <v>0</v>
      </c>
    </row>
    <row r="123" spans="1:12" s="31" customFormat="1">
      <c r="A123" s="31" t="s">
        <v>1324</v>
      </c>
      <c r="B123" s="31">
        <v>15</v>
      </c>
      <c r="C123" s="32">
        <v>9.6</v>
      </c>
      <c r="D123" s="33">
        <v>71</v>
      </c>
      <c r="E123" s="32">
        <v>4.2</v>
      </c>
      <c r="F123" s="34">
        <v>1020.8</v>
      </c>
      <c r="G123" s="32">
        <v>1.6944444444444442</v>
      </c>
      <c r="H123" s="32">
        <v>2.3055555555555558</v>
      </c>
      <c r="I123" s="35">
        <v>2</v>
      </c>
      <c r="J123" s="32">
        <v>7</v>
      </c>
      <c r="K123" s="32">
        <v>595.5</v>
      </c>
      <c r="L123" s="32">
        <v>0</v>
      </c>
    </row>
    <row r="124" spans="1:12" s="31" customFormat="1">
      <c r="A124" s="31" t="s">
        <v>1324</v>
      </c>
      <c r="B124" s="31">
        <v>16</v>
      </c>
      <c r="C124" s="32">
        <v>9.1</v>
      </c>
      <c r="D124" s="33">
        <v>65</v>
      </c>
      <c r="E124" s="32">
        <v>2.2999999999999998</v>
      </c>
      <c r="F124" s="34">
        <v>1016</v>
      </c>
      <c r="G124" s="32">
        <v>1.4722222222222221</v>
      </c>
      <c r="H124" s="32">
        <v>2.1388888888888888</v>
      </c>
      <c r="I124" s="35">
        <v>25</v>
      </c>
      <c r="J124" s="32">
        <v>7</v>
      </c>
      <c r="K124" s="32">
        <v>595.5</v>
      </c>
      <c r="L124" s="32">
        <v>0</v>
      </c>
    </row>
    <row r="125" spans="1:12" s="31" customFormat="1">
      <c r="A125" s="31" t="s">
        <v>1324</v>
      </c>
      <c r="B125" s="31">
        <v>17</v>
      </c>
      <c r="C125" s="32">
        <v>9</v>
      </c>
      <c r="D125" s="33">
        <v>71</v>
      </c>
      <c r="E125" s="32">
        <v>3.8</v>
      </c>
      <c r="F125" s="34">
        <v>1013.8</v>
      </c>
      <c r="G125" s="32">
        <v>0.72222222222222221</v>
      </c>
      <c r="H125" s="32">
        <v>1.1666666666666667</v>
      </c>
      <c r="I125" s="35">
        <v>271</v>
      </c>
      <c r="J125" s="32">
        <v>7</v>
      </c>
      <c r="K125" s="32">
        <v>595.5</v>
      </c>
      <c r="L125" s="32">
        <v>0</v>
      </c>
    </row>
    <row r="126" spans="1:12" s="31" customFormat="1">
      <c r="A126" s="31" t="s">
        <v>1324</v>
      </c>
      <c r="B126" s="31">
        <v>18</v>
      </c>
      <c r="C126" s="32">
        <v>9.1</v>
      </c>
      <c r="D126" s="33">
        <v>82</v>
      </c>
      <c r="E126" s="32">
        <v>5.9</v>
      </c>
      <c r="F126" s="34">
        <v>1010.7</v>
      </c>
      <c r="G126" s="32">
        <v>1.0833333333333333</v>
      </c>
      <c r="H126" s="32">
        <v>1.6111111111111109</v>
      </c>
      <c r="I126" s="35">
        <v>325</v>
      </c>
      <c r="J126" s="32">
        <v>7</v>
      </c>
      <c r="K126" s="32">
        <v>595.5</v>
      </c>
      <c r="L126" s="32">
        <v>0</v>
      </c>
    </row>
    <row r="127" spans="1:12" s="31" customFormat="1">
      <c r="A127" s="31" t="s">
        <v>1324</v>
      </c>
      <c r="B127" s="31">
        <v>19</v>
      </c>
      <c r="C127" s="32">
        <v>9.6999999999999993</v>
      </c>
      <c r="D127" s="33">
        <v>83</v>
      </c>
      <c r="E127" s="32">
        <v>6.6</v>
      </c>
      <c r="F127" s="34">
        <v>1013.3</v>
      </c>
      <c r="G127" s="32">
        <v>1.4166666666666665</v>
      </c>
      <c r="H127" s="32">
        <v>1.9444444444444444</v>
      </c>
      <c r="I127" s="35">
        <v>337</v>
      </c>
      <c r="J127" s="32">
        <v>7</v>
      </c>
      <c r="K127" s="32">
        <v>595.5</v>
      </c>
      <c r="L127" s="32">
        <v>0</v>
      </c>
    </row>
    <row r="128" spans="1:12" s="31" customFormat="1">
      <c r="A128" s="31" t="s">
        <v>1324</v>
      </c>
      <c r="B128" s="31">
        <v>20</v>
      </c>
      <c r="C128" s="32">
        <v>6.6</v>
      </c>
      <c r="D128" s="33">
        <v>77</v>
      </c>
      <c r="E128" s="32">
        <v>2.2999999999999998</v>
      </c>
      <c r="F128" s="34">
        <v>1017.3</v>
      </c>
      <c r="G128" s="32">
        <v>0.52777777777777779</v>
      </c>
      <c r="H128" s="32">
        <v>0.80555555555555547</v>
      </c>
      <c r="I128" s="35">
        <v>336</v>
      </c>
      <c r="J128" s="32">
        <v>7</v>
      </c>
      <c r="K128" s="32">
        <v>595.5</v>
      </c>
      <c r="L128" s="32">
        <v>0</v>
      </c>
    </row>
    <row r="129" spans="1:12" s="31" customFormat="1">
      <c r="A129" s="31" t="s">
        <v>1324</v>
      </c>
      <c r="B129" s="31">
        <v>21</v>
      </c>
      <c r="C129" s="32">
        <v>7.8</v>
      </c>
      <c r="D129" s="33">
        <v>81</v>
      </c>
      <c r="E129" s="32">
        <v>4.5</v>
      </c>
      <c r="F129" s="34">
        <v>1013.3</v>
      </c>
      <c r="G129" s="32">
        <v>0.3611111111111111</v>
      </c>
      <c r="H129" s="32">
        <v>0.75</v>
      </c>
      <c r="I129" s="35">
        <v>129</v>
      </c>
      <c r="J129" s="32">
        <v>7</v>
      </c>
      <c r="K129" s="32">
        <v>595.5</v>
      </c>
      <c r="L129" s="32">
        <v>0</v>
      </c>
    </row>
    <row r="130" spans="1:12" s="31" customFormat="1">
      <c r="A130" s="31" t="s">
        <v>1324</v>
      </c>
      <c r="B130" s="31">
        <v>22</v>
      </c>
      <c r="C130" s="32">
        <v>10.1</v>
      </c>
      <c r="D130" s="33">
        <v>91</v>
      </c>
      <c r="E130" s="32">
        <v>8.6</v>
      </c>
      <c r="F130" s="34">
        <v>1008.1</v>
      </c>
      <c r="G130" s="32">
        <v>1.6111111111111109</v>
      </c>
      <c r="H130" s="32">
        <v>2.3055555555555558</v>
      </c>
      <c r="I130" s="35">
        <v>84</v>
      </c>
      <c r="J130" s="32">
        <v>16</v>
      </c>
      <c r="K130" s="32">
        <v>604.5</v>
      </c>
      <c r="L130" s="32">
        <v>9</v>
      </c>
    </row>
    <row r="131" spans="1:12" s="31" customFormat="1">
      <c r="A131" s="31" t="s">
        <v>1324</v>
      </c>
      <c r="B131" s="31">
        <v>23</v>
      </c>
      <c r="C131" s="32">
        <v>8.4</v>
      </c>
      <c r="D131" s="33">
        <v>69</v>
      </c>
      <c r="E131" s="32">
        <v>2.6</v>
      </c>
      <c r="F131" s="34">
        <v>1010.8</v>
      </c>
      <c r="G131" s="32">
        <v>1.6666666666666665</v>
      </c>
      <c r="H131" s="32">
        <v>2.3333333333333335</v>
      </c>
      <c r="I131" s="35">
        <v>80</v>
      </c>
      <c r="J131" s="32">
        <v>16</v>
      </c>
      <c r="K131" s="32">
        <v>604.5</v>
      </c>
      <c r="L131" s="32">
        <v>0</v>
      </c>
    </row>
    <row r="132" spans="1:12" s="31" customFormat="1">
      <c r="A132" s="31" t="s">
        <v>1324</v>
      </c>
      <c r="B132" s="31">
        <v>24</v>
      </c>
      <c r="C132" s="32">
        <v>6.1</v>
      </c>
      <c r="D132" s="33">
        <v>75</v>
      </c>
      <c r="E132" s="32">
        <v>1.3</v>
      </c>
      <c r="F132" s="34">
        <v>1015.4</v>
      </c>
      <c r="G132" s="32">
        <v>1</v>
      </c>
      <c r="H132" s="32">
        <v>1.3611111111111112</v>
      </c>
      <c r="I132" s="35">
        <v>5</v>
      </c>
      <c r="J132" s="32">
        <v>16</v>
      </c>
      <c r="K132" s="32">
        <v>604.5</v>
      </c>
      <c r="L132" s="32">
        <v>0</v>
      </c>
    </row>
    <row r="133" spans="1:12" s="31" customFormat="1">
      <c r="A133" s="31" t="s">
        <v>1324</v>
      </c>
      <c r="B133" s="31">
        <v>25</v>
      </c>
      <c r="C133" s="32">
        <v>6.7</v>
      </c>
      <c r="D133" s="33">
        <v>71</v>
      </c>
      <c r="E133" s="32">
        <v>1.1000000000000001</v>
      </c>
      <c r="F133" s="34">
        <v>1019.7</v>
      </c>
      <c r="G133" s="32">
        <v>0.97222222222222221</v>
      </c>
      <c r="H133" s="32">
        <v>1.5</v>
      </c>
      <c r="I133" s="35">
        <v>358</v>
      </c>
      <c r="J133" s="32">
        <v>16</v>
      </c>
      <c r="K133" s="32">
        <v>604.5</v>
      </c>
      <c r="L133" s="32">
        <v>0</v>
      </c>
    </row>
    <row r="134" spans="1:12" s="31" customFormat="1">
      <c r="A134" s="31" t="s">
        <v>1324</v>
      </c>
      <c r="B134" s="31">
        <v>26</v>
      </c>
      <c r="C134" s="32">
        <v>6.4</v>
      </c>
      <c r="D134" s="33">
        <v>69</v>
      </c>
      <c r="E134" s="32">
        <v>0.3</v>
      </c>
      <c r="F134" s="34">
        <v>1019.2</v>
      </c>
      <c r="G134" s="32">
        <v>0.77777777777777768</v>
      </c>
      <c r="H134" s="32">
        <v>1.1388888888888888</v>
      </c>
      <c r="I134" s="35">
        <v>62</v>
      </c>
      <c r="J134" s="32">
        <v>16</v>
      </c>
      <c r="K134" s="32">
        <v>604.5</v>
      </c>
      <c r="L134" s="32">
        <v>0</v>
      </c>
    </row>
    <row r="135" spans="1:12" s="31" customFormat="1">
      <c r="A135" s="31" t="s">
        <v>1324</v>
      </c>
      <c r="B135" s="31">
        <v>27</v>
      </c>
      <c r="C135" s="32">
        <v>6.4</v>
      </c>
      <c r="D135" s="33">
        <v>61</v>
      </c>
      <c r="E135" s="32">
        <v>-1.1000000000000001</v>
      </c>
      <c r="F135" s="34">
        <v>1018</v>
      </c>
      <c r="G135" s="32">
        <v>1.6111111111111109</v>
      </c>
      <c r="H135" s="32">
        <v>2.1666666666666665</v>
      </c>
      <c r="I135" s="35">
        <v>76</v>
      </c>
      <c r="J135" s="32">
        <v>16</v>
      </c>
      <c r="K135" s="32">
        <v>604.5</v>
      </c>
      <c r="L135" s="32">
        <v>0</v>
      </c>
    </row>
    <row r="136" spans="1:12" s="31" customFormat="1">
      <c r="A136" s="31" t="s">
        <v>1324</v>
      </c>
      <c r="B136" s="31">
        <v>28</v>
      </c>
      <c r="C136" s="32">
        <v>6.9</v>
      </c>
      <c r="D136" s="33">
        <v>60</v>
      </c>
      <c r="E136" s="32">
        <v>-1</v>
      </c>
      <c r="F136" s="34">
        <v>1019.9</v>
      </c>
      <c r="G136" s="32">
        <v>2.1944444444444446</v>
      </c>
      <c r="H136" s="32">
        <v>2.9444444444444442</v>
      </c>
      <c r="I136" s="35">
        <v>77</v>
      </c>
      <c r="J136" s="32">
        <v>16</v>
      </c>
      <c r="K136" s="32">
        <v>604.5</v>
      </c>
      <c r="L136" s="32">
        <v>0</v>
      </c>
    </row>
    <row r="137" spans="1:12" s="31" customFormat="1">
      <c r="A137" s="31" t="s">
        <v>1324</v>
      </c>
      <c r="B137" s="31">
        <v>29</v>
      </c>
      <c r="C137" s="32">
        <v>7.7</v>
      </c>
      <c r="D137" s="33">
        <v>63</v>
      </c>
      <c r="E137" s="32">
        <v>0.4</v>
      </c>
      <c r="F137" s="34">
        <v>1022.8</v>
      </c>
      <c r="G137" s="32">
        <v>0.88888888888888895</v>
      </c>
      <c r="H137" s="32">
        <v>1.2777777777777777</v>
      </c>
      <c r="I137" s="35">
        <v>43</v>
      </c>
      <c r="J137" s="32">
        <v>16</v>
      </c>
      <c r="K137" s="32">
        <v>604.5</v>
      </c>
      <c r="L137" s="32">
        <v>0</v>
      </c>
    </row>
    <row r="138" spans="1:12" s="31" customFormat="1">
      <c r="A138" s="31" t="s">
        <v>1324</v>
      </c>
      <c r="B138" s="31">
        <v>30</v>
      </c>
      <c r="C138" s="32">
        <v>5.8</v>
      </c>
      <c r="D138" s="33">
        <v>75</v>
      </c>
      <c r="E138" s="32">
        <v>1.3</v>
      </c>
      <c r="F138" s="34">
        <v>1018.3</v>
      </c>
      <c r="G138" s="32">
        <v>0.77777777777777768</v>
      </c>
      <c r="H138" s="32">
        <v>1.1388888888888888</v>
      </c>
      <c r="I138" s="35">
        <v>338</v>
      </c>
      <c r="J138" s="32">
        <v>16</v>
      </c>
      <c r="K138" s="32">
        <v>604.5</v>
      </c>
      <c r="L138" s="32">
        <v>0</v>
      </c>
    </row>
    <row r="139" spans="1:12" s="31" customFormat="1">
      <c r="A139" s="31" t="s">
        <v>1228</v>
      </c>
      <c r="B139" s="31">
        <v>1</v>
      </c>
      <c r="C139" s="32">
        <v>6</v>
      </c>
      <c r="D139" s="33">
        <v>69</v>
      </c>
      <c r="E139" s="32">
        <v>-0.3</v>
      </c>
      <c r="F139" s="34">
        <v>1016.2</v>
      </c>
      <c r="G139" s="32">
        <v>0.66666666666666663</v>
      </c>
      <c r="H139" s="32">
        <v>1</v>
      </c>
      <c r="I139" s="35">
        <v>96</v>
      </c>
      <c r="J139" s="32">
        <v>0</v>
      </c>
      <c r="K139" s="32">
        <v>604.5</v>
      </c>
      <c r="L139" s="32">
        <v>0</v>
      </c>
    </row>
    <row r="140" spans="1:12" s="31" customFormat="1">
      <c r="A140" s="31" t="s">
        <v>1228</v>
      </c>
      <c r="B140" s="31">
        <v>2</v>
      </c>
      <c r="C140" s="32">
        <v>5.9</v>
      </c>
      <c r="D140" s="33">
        <v>65</v>
      </c>
      <c r="E140" s="32">
        <v>-0.8</v>
      </c>
      <c r="F140" s="34">
        <v>1016.9</v>
      </c>
      <c r="G140" s="32">
        <v>0.69444444444444442</v>
      </c>
      <c r="H140" s="32">
        <v>1</v>
      </c>
      <c r="I140" s="35">
        <v>59</v>
      </c>
      <c r="J140" s="32">
        <v>0</v>
      </c>
      <c r="K140" s="32">
        <v>604.5</v>
      </c>
      <c r="L140" s="32">
        <v>0</v>
      </c>
    </row>
    <row r="141" spans="1:12" s="31" customFormat="1">
      <c r="A141" s="31" t="s">
        <v>1228</v>
      </c>
      <c r="B141" s="31">
        <v>3</v>
      </c>
      <c r="C141" s="32">
        <v>6.9</v>
      </c>
      <c r="D141" s="33">
        <v>61</v>
      </c>
      <c r="E141" s="32">
        <v>-0.9</v>
      </c>
      <c r="F141" s="34">
        <v>1020.1</v>
      </c>
      <c r="G141" s="32">
        <v>1.0277777777777779</v>
      </c>
      <c r="H141" s="32">
        <v>1.5</v>
      </c>
      <c r="I141" s="35">
        <v>93</v>
      </c>
      <c r="J141" s="32">
        <v>0</v>
      </c>
      <c r="K141" s="32">
        <v>604.5</v>
      </c>
      <c r="L141" s="32">
        <v>0</v>
      </c>
    </row>
    <row r="142" spans="1:12" s="31" customFormat="1">
      <c r="A142" s="31" t="s">
        <v>1228</v>
      </c>
      <c r="B142" s="31">
        <v>4</v>
      </c>
      <c r="C142" s="32">
        <v>9.6</v>
      </c>
      <c r="D142" s="33">
        <v>63</v>
      </c>
      <c r="E142" s="32">
        <v>2.6</v>
      </c>
      <c r="F142" s="34">
        <v>1022.5</v>
      </c>
      <c r="G142" s="32">
        <v>0.72222222222222221</v>
      </c>
      <c r="H142" s="32">
        <v>1.1111111111111112</v>
      </c>
      <c r="I142" s="35">
        <v>74</v>
      </c>
      <c r="J142" s="32">
        <v>0</v>
      </c>
      <c r="K142" s="32">
        <v>604.5</v>
      </c>
      <c r="L142" s="32">
        <v>0</v>
      </c>
    </row>
    <row r="143" spans="1:12" s="31" customFormat="1">
      <c r="A143" s="31" t="s">
        <v>1228</v>
      </c>
      <c r="B143" s="31">
        <v>5</v>
      </c>
      <c r="C143" s="32">
        <v>9.3000000000000007</v>
      </c>
      <c r="D143" s="33">
        <v>72</v>
      </c>
      <c r="E143" s="32">
        <v>3.8</v>
      </c>
      <c r="F143" s="34">
        <v>1023.7</v>
      </c>
      <c r="G143" s="32">
        <v>0.47222222222222221</v>
      </c>
      <c r="H143" s="32">
        <v>0.69444444444444442</v>
      </c>
      <c r="I143" s="35">
        <v>98</v>
      </c>
      <c r="J143" s="32">
        <v>0</v>
      </c>
      <c r="K143" s="32">
        <v>604.5</v>
      </c>
      <c r="L143" s="32">
        <v>0</v>
      </c>
    </row>
    <row r="144" spans="1:12" s="31" customFormat="1">
      <c r="A144" s="31" t="s">
        <v>1228</v>
      </c>
      <c r="B144" s="31">
        <v>6</v>
      </c>
      <c r="C144" s="32">
        <v>8.6</v>
      </c>
      <c r="D144" s="33">
        <v>67</v>
      </c>
      <c r="E144" s="32">
        <v>2</v>
      </c>
      <c r="F144" s="34">
        <v>1021.3</v>
      </c>
      <c r="G144" s="32">
        <v>1</v>
      </c>
      <c r="H144" s="32">
        <v>1.4166666666666665</v>
      </c>
      <c r="I144" s="35">
        <v>77</v>
      </c>
      <c r="J144" s="32">
        <v>0</v>
      </c>
      <c r="K144" s="32">
        <v>604.5</v>
      </c>
      <c r="L144" s="32">
        <v>0</v>
      </c>
    </row>
    <row r="145" spans="1:12" s="31" customFormat="1">
      <c r="A145" s="31" t="s">
        <v>1228</v>
      </c>
      <c r="B145" s="31">
        <v>7</v>
      </c>
      <c r="C145" s="32">
        <v>7.8</v>
      </c>
      <c r="D145" s="33">
        <v>66</v>
      </c>
      <c r="E145" s="32">
        <v>1.3</v>
      </c>
      <c r="F145" s="34">
        <v>1021</v>
      </c>
      <c r="G145" s="32">
        <v>0.75</v>
      </c>
      <c r="H145" s="32">
        <v>1.1388888888888888</v>
      </c>
      <c r="I145" s="35">
        <v>111</v>
      </c>
      <c r="J145" s="32">
        <v>0</v>
      </c>
      <c r="K145" s="32">
        <v>604.5</v>
      </c>
      <c r="L145" s="32">
        <v>0</v>
      </c>
    </row>
    <row r="146" spans="1:12" s="31" customFormat="1">
      <c r="A146" s="31" t="s">
        <v>1228</v>
      </c>
      <c r="B146" s="31">
        <v>8</v>
      </c>
      <c r="C146" s="32">
        <v>6.2</v>
      </c>
      <c r="D146" s="33">
        <v>76</v>
      </c>
      <c r="E146" s="32">
        <v>1.7</v>
      </c>
      <c r="F146" s="34">
        <v>1022.3</v>
      </c>
      <c r="G146" s="32">
        <v>0.52777777777777779</v>
      </c>
      <c r="H146" s="32">
        <v>1</v>
      </c>
      <c r="I146" s="35">
        <v>129</v>
      </c>
      <c r="J146" s="32">
        <v>0</v>
      </c>
      <c r="K146" s="32">
        <v>604.5</v>
      </c>
      <c r="L146" s="32">
        <v>0</v>
      </c>
    </row>
    <row r="147" spans="1:12" s="31" customFormat="1">
      <c r="A147" s="31" t="s">
        <v>1228</v>
      </c>
      <c r="B147" s="31">
        <v>9</v>
      </c>
      <c r="C147" s="32">
        <v>7.7</v>
      </c>
      <c r="D147" s="33">
        <v>68</v>
      </c>
      <c r="E147" s="32">
        <v>1.4</v>
      </c>
      <c r="F147" s="34">
        <v>1023.9</v>
      </c>
      <c r="G147" s="32">
        <v>1.2222222222222223</v>
      </c>
      <c r="H147" s="32">
        <v>1.8333333333333333</v>
      </c>
      <c r="I147" s="35">
        <v>105</v>
      </c>
      <c r="J147" s="32">
        <v>0</v>
      </c>
      <c r="K147" s="32">
        <v>604.5</v>
      </c>
      <c r="L147" s="32">
        <v>0</v>
      </c>
    </row>
    <row r="148" spans="1:12" s="31" customFormat="1">
      <c r="A148" s="31" t="s">
        <v>1228</v>
      </c>
      <c r="B148" s="31">
        <v>10</v>
      </c>
      <c r="C148" s="32">
        <v>10.9</v>
      </c>
      <c r="D148" s="33">
        <v>55.000000000000007</v>
      </c>
      <c r="E148" s="32">
        <v>1.9</v>
      </c>
      <c r="F148" s="34">
        <v>1021.7</v>
      </c>
      <c r="G148" s="32">
        <v>3.0555555555555554</v>
      </c>
      <c r="H148" s="32">
        <v>4.2777777777777777</v>
      </c>
      <c r="I148" s="35">
        <v>104</v>
      </c>
      <c r="J148" s="32">
        <v>0</v>
      </c>
      <c r="K148" s="32">
        <v>604.5</v>
      </c>
      <c r="L148" s="32">
        <v>0</v>
      </c>
    </row>
    <row r="149" spans="1:12" s="31" customFormat="1">
      <c r="A149" s="31" t="s">
        <v>1228</v>
      </c>
      <c r="B149" s="31">
        <v>11</v>
      </c>
      <c r="C149" s="32">
        <v>12.7</v>
      </c>
      <c r="D149" s="33">
        <v>51</v>
      </c>
      <c r="E149" s="32">
        <v>2.7</v>
      </c>
      <c r="F149" s="34">
        <v>1020.3</v>
      </c>
      <c r="G149" s="32">
        <v>4.1944444444444446</v>
      </c>
      <c r="H149" s="32">
        <v>5.9722222222222223</v>
      </c>
      <c r="I149" s="35">
        <v>113</v>
      </c>
      <c r="J149" s="32">
        <v>0</v>
      </c>
      <c r="K149" s="32">
        <v>604.5</v>
      </c>
      <c r="L149" s="32">
        <v>0</v>
      </c>
    </row>
    <row r="150" spans="1:12" s="31" customFormat="1">
      <c r="A150" s="31" t="s">
        <v>1228</v>
      </c>
      <c r="B150" s="31">
        <v>12</v>
      </c>
      <c r="C150" s="32">
        <v>14</v>
      </c>
      <c r="D150" s="33">
        <v>52</v>
      </c>
      <c r="E150" s="32">
        <v>4.2</v>
      </c>
      <c r="F150" s="34">
        <v>1023</v>
      </c>
      <c r="G150" s="32">
        <v>2.6388888888888888</v>
      </c>
      <c r="H150" s="32">
        <v>3.6944444444444446</v>
      </c>
      <c r="I150" s="35">
        <v>103</v>
      </c>
      <c r="J150" s="32">
        <v>0</v>
      </c>
      <c r="K150" s="32">
        <v>604.5</v>
      </c>
      <c r="L150" s="32">
        <v>0</v>
      </c>
    </row>
    <row r="151" spans="1:12" s="31" customFormat="1">
      <c r="A151" s="31" t="s">
        <v>1228</v>
      </c>
      <c r="B151" s="31">
        <v>13</v>
      </c>
      <c r="C151" s="32">
        <v>13.4</v>
      </c>
      <c r="D151" s="33">
        <v>84</v>
      </c>
      <c r="E151" s="32">
        <v>10.6</v>
      </c>
      <c r="F151" s="34">
        <v>1024.3</v>
      </c>
      <c r="G151" s="32">
        <v>1.0277777777777779</v>
      </c>
      <c r="H151" s="32">
        <v>1.5277777777777777</v>
      </c>
      <c r="I151" s="35">
        <v>83</v>
      </c>
      <c r="J151" s="32">
        <v>1</v>
      </c>
      <c r="K151" s="32">
        <v>605.5</v>
      </c>
      <c r="L151" s="32">
        <v>1</v>
      </c>
    </row>
    <row r="152" spans="1:12" s="31" customFormat="1">
      <c r="A152" s="31" t="s">
        <v>1228</v>
      </c>
      <c r="B152" s="31">
        <v>14</v>
      </c>
      <c r="C152" s="32">
        <v>12.1</v>
      </c>
      <c r="D152" s="33">
        <v>78</v>
      </c>
      <c r="E152" s="32">
        <v>7.9</v>
      </c>
      <c r="F152" s="34">
        <v>1027.0999999999999</v>
      </c>
      <c r="G152" s="32">
        <v>1.0277777777777779</v>
      </c>
      <c r="H152" s="32">
        <v>1.5</v>
      </c>
      <c r="I152" s="35">
        <v>81</v>
      </c>
      <c r="J152" s="32">
        <v>1</v>
      </c>
      <c r="K152" s="32">
        <v>605.5</v>
      </c>
      <c r="L152" s="32">
        <v>0</v>
      </c>
    </row>
    <row r="153" spans="1:12" s="31" customFormat="1">
      <c r="A153" s="31" t="s">
        <v>1228</v>
      </c>
      <c r="B153" s="31">
        <v>15</v>
      </c>
      <c r="C153" s="32">
        <v>12.7</v>
      </c>
      <c r="D153" s="33">
        <v>65</v>
      </c>
      <c r="E153" s="32">
        <v>6</v>
      </c>
      <c r="F153" s="34">
        <v>1027.2</v>
      </c>
      <c r="G153" s="32">
        <v>1.8055555555555556</v>
      </c>
      <c r="H153" s="32">
        <v>2.4722222222222223</v>
      </c>
      <c r="I153" s="35">
        <v>98</v>
      </c>
      <c r="J153" s="32">
        <v>1</v>
      </c>
      <c r="K153" s="32">
        <v>605.5</v>
      </c>
      <c r="L153" s="32">
        <v>0</v>
      </c>
    </row>
    <row r="154" spans="1:12" s="31" customFormat="1">
      <c r="A154" s="31" t="s">
        <v>1228</v>
      </c>
      <c r="B154" s="31">
        <v>16</v>
      </c>
      <c r="C154" s="32">
        <v>10.8</v>
      </c>
      <c r="D154" s="33">
        <v>73</v>
      </c>
      <c r="E154" s="32">
        <v>5.9</v>
      </c>
      <c r="F154" s="34">
        <v>1023.1</v>
      </c>
      <c r="G154" s="32">
        <v>1.0277777777777779</v>
      </c>
      <c r="H154" s="32">
        <v>1.4722222222222221</v>
      </c>
      <c r="I154" s="35">
        <v>142</v>
      </c>
      <c r="J154" s="32">
        <v>1</v>
      </c>
      <c r="K154" s="32">
        <v>605.5</v>
      </c>
      <c r="L154" s="32">
        <v>0</v>
      </c>
    </row>
    <row r="155" spans="1:12" s="31" customFormat="1">
      <c r="A155" s="31" t="s">
        <v>1228</v>
      </c>
      <c r="B155" s="31">
        <v>17</v>
      </c>
      <c r="C155" s="32">
        <v>11.2</v>
      </c>
      <c r="D155" s="33">
        <v>89</v>
      </c>
      <c r="E155" s="32">
        <v>9.4</v>
      </c>
      <c r="F155" s="34">
        <v>1022.9</v>
      </c>
      <c r="G155" s="32">
        <v>0.80555555555555547</v>
      </c>
      <c r="H155" s="32">
        <v>1.1666666666666667</v>
      </c>
      <c r="I155" s="35">
        <v>182</v>
      </c>
      <c r="J155" s="32">
        <v>3</v>
      </c>
      <c r="K155" s="32">
        <v>607.5</v>
      </c>
      <c r="L155" s="32">
        <v>2</v>
      </c>
    </row>
    <row r="156" spans="1:12" s="31" customFormat="1">
      <c r="A156" s="31" t="s">
        <v>1228</v>
      </c>
      <c r="B156" s="31">
        <v>18</v>
      </c>
      <c r="C156" s="32">
        <v>10.1</v>
      </c>
      <c r="D156" s="33">
        <v>94</v>
      </c>
      <c r="E156" s="32">
        <v>9.1999999999999993</v>
      </c>
      <c r="F156" s="34">
        <v>1022.5</v>
      </c>
      <c r="G156" s="32">
        <v>1.7777777777777779</v>
      </c>
      <c r="H156" s="32">
        <v>2.5277777777777777</v>
      </c>
      <c r="I156" s="35">
        <v>186</v>
      </c>
      <c r="J156" s="32">
        <v>5</v>
      </c>
      <c r="K156" s="32">
        <v>609.5</v>
      </c>
      <c r="L156" s="32">
        <v>2</v>
      </c>
    </row>
    <row r="157" spans="1:12" s="31" customFormat="1">
      <c r="A157" s="31" t="s">
        <v>1228</v>
      </c>
      <c r="B157" s="31">
        <v>19</v>
      </c>
      <c r="C157" s="32">
        <v>11.6</v>
      </c>
      <c r="D157" s="33">
        <v>90</v>
      </c>
      <c r="E157" s="32">
        <v>9.9</v>
      </c>
      <c r="F157" s="34">
        <v>1018.3</v>
      </c>
      <c r="G157" s="32">
        <v>2.8611111111111112</v>
      </c>
      <c r="H157" s="32">
        <v>4.2222222222222223</v>
      </c>
      <c r="I157" s="35">
        <v>266</v>
      </c>
      <c r="J157" s="32">
        <v>40.9</v>
      </c>
      <c r="K157" s="32">
        <v>645.4</v>
      </c>
      <c r="L157" s="32">
        <v>35.9</v>
      </c>
    </row>
    <row r="158" spans="1:12" s="31" customFormat="1">
      <c r="A158" s="31" t="s">
        <v>1228</v>
      </c>
      <c r="B158" s="31">
        <v>20</v>
      </c>
      <c r="C158" s="32">
        <v>6.9</v>
      </c>
      <c r="D158" s="33">
        <v>80</v>
      </c>
      <c r="E158" s="32">
        <v>3.1</v>
      </c>
      <c r="F158" s="34">
        <v>1028.3</v>
      </c>
      <c r="G158" s="32">
        <v>0.75</v>
      </c>
      <c r="H158" s="32">
        <v>1.1111111111111112</v>
      </c>
      <c r="I158" s="35">
        <v>342</v>
      </c>
      <c r="J158" s="32">
        <v>40.9</v>
      </c>
      <c r="K158" s="32">
        <v>645.4</v>
      </c>
      <c r="L158" s="32">
        <v>0</v>
      </c>
    </row>
    <row r="159" spans="1:12" s="31" customFormat="1">
      <c r="A159" s="31" t="s">
        <v>1228</v>
      </c>
      <c r="B159" s="31">
        <v>21</v>
      </c>
      <c r="C159" s="32">
        <v>5.4</v>
      </c>
      <c r="D159" s="33">
        <v>81</v>
      </c>
      <c r="E159" s="32">
        <v>2</v>
      </c>
      <c r="F159" s="34">
        <v>1029.4000000000001</v>
      </c>
      <c r="G159" s="32">
        <v>0.47222222222222221</v>
      </c>
      <c r="H159" s="32">
        <v>0.72222222222222221</v>
      </c>
      <c r="I159" s="35">
        <v>131</v>
      </c>
      <c r="J159" s="32">
        <v>40.9</v>
      </c>
      <c r="K159" s="32">
        <v>645.4</v>
      </c>
      <c r="L159" s="32">
        <v>0</v>
      </c>
    </row>
    <row r="160" spans="1:12" s="31" customFormat="1">
      <c r="A160" s="31" t="s">
        <v>1228</v>
      </c>
      <c r="B160" s="31">
        <v>22</v>
      </c>
      <c r="C160" s="32">
        <v>7.4</v>
      </c>
      <c r="D160" s="33">
        <v>80</v>
      </c>
      <c r="E160" s="32">
        <v>4.0999999999999996</v>
      </c>
      <c r="F160" s="34">
        <v>1028</v>
      </c>
      <c r="G160" s="32">
        <v>0.69444444444444442</v>
      </c>
      <c r="H160" s="32">
        <v>1</v>
      </c>
      <c r="I160" s="35">
        <v>97</v>
      </c>
      <c r="J160" s="32">
        <v>41.9</v>
      </c>
      <c r="K160" s="32">
        <v>646.4</v>
      </c>
      <c r="L160" s="32">
        <v>1</v>
      </c>
    </row>
    <row r="161" spans="1:12" s="31" customFormat="1">
      <c r="A161" s="31" t="s">
        <v>1228</v>
      </c>
      <c r="B161" s="31">
        <v>23</v>
      </c>
      <c r="C161" s="32">
        <v>11.2</v>
      </c>
      <c r="D161" s="33">
        <v>95</v>
      </c>
      <c r="E161" s="32">
        <v>10.3</v>
      </c>
      <c r="F161" s="34">
        <v>1020.8</v>
      </c>
      <c r="G161" s="32">
        <v>2.7222222222222223</v>
      </c>
      <c r="H161" s="32">
        <v>3.6944444444444446</v>
      </c>
      <c r="I161" s="35">
        <v>156</v>
      </c>
      <c r="J161" s="32">
        <v>48.9</v>
      </c>
      <c r="K161" s="32">
        <v>653.4</v>
      </c>
      <c r="L161" s="32">
        <v>7</v>
      </c>
    </row>
    <row r="162" spans="1:12" s="31" customFormat="1">
      <c r="A162" s="31" t="s">
        <v>1228</v>
      </c>
      <c r="B162" s="31">
        <v>24</v>
      </c>
      <c r="C162" s="32">
        <v>14.2</v>
      </c>
      <c r="D162" s="33">
        <v>96</v>
      </c>
      <c r="E162" s="32">
        <v>13.6</v>
      </c>
      <c r="F162" s="34">
        <v>1005.1</v>
      </c>
      <c r="G162" s="32">
        <v>8.1388888888888893</v>
      </c>
      <c r="H162" s="32">
        <v>9.3333333333333339</v>
      </c>
      <c r="I162" s="35">
        <v>205</v>
      </c>
      <c r="J162" s="32">
        <v>97.1</v>
      </c>
      <c r="K162" s="32">
        <v>701.6</v>
      </c>
      <c r="L162" s="32">
        <v>48.2</v>
      </c>
    </row>
    <row r="163" spans="1:12" s="31" customFormat="1">
      <c r="A163" s="31" t="s">
        <v>1228</v>
      </c>
      <c r="B163" s="31">
        <v>25</v>
      </c>
      <c r="C163" s="32">
        <v>10.6</v>
      </c>
      <c r="D163" s="33">
        <v>88</v>
      </c>
      <c r="E163" s="32">
        <v>8.5</v>
      </c>
      <c r="F163" s="34">
        <v>1002.8</v>
      </c>
      <c r="G163" s="32">
        <v>0.80555555555555547</v>
      </c>
      <c r="H163" s="32">
        <v>0.77777777777777768</v>
      </c>
      <c r="I163" s="35">
        <v>229</v>
      </c>
      <c r="J163" s="32">
        <v>122</v>
      </c>
      <c r="K163" s="32">
        <v>726.5</v>
      </c>
      <c r="L163" s="32">
        <v>24.9</v>
      </c>
    </row>
    <row r="164" spans="1:12" s="31" customFormat="1">
      <c r="A164" s="31" t="s">
        <v>1228</v>
      </c>
      <c r="B164" s="31">
        <v>26</v>
      </c>
      <c r="C164" s="32">
        <v>12.4</v>
      </c>
      <c r="D164" s="33">
        <v>86</v>
      </c>
      <c r="E164" s="32">
        <v>10</v>
      </c>
      <c r="F164" s="34">
        <v>1014.9</v>
      </c>
      <c r="G164" s="32">
        <v>0</v>
      </c>
      <c r="H164" s="32">
        <v>0</v>
      </c>
      <c r="I164" s="35">
        <v>0</v>
      </c>
      <c r="J164" s="32">
        <v>123</v>
      </c>
      <c r="K164" s="32">
        <v>727.5</v>
      </c>
      <c r="L164" s="32">
        <v>1</v>
      </c>
    </row>
    <row r="165" spans="1:12" s="31" customFormat="1">
      <c r="A165" s="31" t="s">
        <v>1228</v>
      </c>
      <c r="B165" s="31">
        <v>27</v>
      </c>
      <c r="C165" s="32">
        <v>14.4</v>
      </c>
      <c r="D165" s="33">
        <v>93</v>
      </c>
      <c r="E165" s="32">
        <v>13.3</v>
      </c>
      <c r="F165" s="34">
        <v>1011.3</v>
      </c>
      <c r="G165" s="32">
        <v>0</v>
      </c>
      <c r="H165" s="32">
        <v>0</v>
      </c>
      <c r="I165" s="35">
        <v>0</v>
      </c>
      <c r="J165" s="32">
        <v>136.30000000000001</v>
      </c>
      <c r="K165" s="32">
        <v>740.8</v>
      </c>
      <c r="L165" s="32">
        <v>13.3</v>
      </c>
    </row>
    <row r="166" spans="1:12" s="31" customFormat="1">
      <c r="A166" s="31" t="s">
        <v>1228</v>
      </c>
      <c r="B166" s="31">
        <v>28</v>
      </c>
      <c r="C166" s="32">
        <v>10.1</v>
      </c>
      <c r="D166" s="33">
        <v>69</v>
      </c>
      <c r="E166" s="32">
        <v>4.5</v>
      </c>
      <c r="F166" s="34">
        <v>1018</v>
      </c>
      <c r="G166" s="32">
        <v>0</v>
      </c>
      <c r="H166" s="32">
        <v>0</v>
      </c>
      <c r="I166" s="35">
        <v>0</v>
      </c>
      <c r="J166" s="32">
        <v>136.30000000000001</v>
      </c>
      <c r="K166" s="32">
        <v>740.8</v>
      </c>
      <c r="L166" s="32">
        <v>0</v>
      </c>
    </row>
    <row r="167" spans="1:12" s="31" customFormat="1">
      <c r="A167" s="31" t="s">
        <v>1228</v>
      </c>
      <c r="B167" s="31">
        <v>29</v>
      </c>
      <c r="C167" s="32">
        <v>7.6</v>
      </c>
      <c r="D167" s="33">
        <v>84</v>
      </c>
      <c r="E167" s="32">
        <v>4.8</v>
      </c>
      <c r="F167" s="34">
        <v>1026.2</v>
      </c>
      <c r="G167" s="32">
        <v>0</v>
      </c>
      <c r="H167" s="32">
        <v>0</v>
      </c>
      <c r="I167" s="35">
        <v>0</v>
      </c>
      <c r="J167" s="32">
        <v>137.30000000000001</v>
      </c>
      <c r="K167" s="32">
        <v>741.8</v>
      </c>
      <c r="L167" s="32">
        <v>1</v>
      </c>
    </row>
    <row r="168" spans="1:12" s="31" customFormat="1">
      <c r="A168" s="31" t="s">
        <v>1228</v>
      </c>
      <c r="B168" s="31">
        <v>30</v>
      </c>
      <c r="C168" s="32">
        <v>8.6</v>
      </c>
      <c r="D168" s="33">
        <v>83</v>
      </c>
      <c r="E168" s="32">
        <v>5.7</v>
      </c>
      <c r="F168" s="34">
        <v>1023.5</v>
      </c>
      <c r="G168" s="32">
        <v>0</v>
      </c>
      <c r="H168" s="32">
        <v>0</v>
      </c>
      <c r="I168" s="35">
        <v>0</v>
      </c>
      <c r="J168" s="32">
        <v>139.30000000000001</v>
      </c>
      <c r="K168" s="32">
        <v>743.8</v>
      </c>
      <c r="L168" s="32">
        <v>2</v>
      </c>
    </row>
    <row r="169" spans="1:12" s="31" customFormat="1">
      <c r="A169" s="31" t="s">
        <v>1228</v>
      </c>
      <c r="B169" s="31">
        <v>31</v>
      </c>
      <c r="C169" s="32">
        <v>12.6</v>
      </c>
      <c r="D169" s="33">
        <v>89</v>
      </c>
      <c r="E169" s="32">
        <v>10.6</v>
      </c>
      <c r="F169" s="34">
        <v>1017.2</v>
      </c>
      <c r="G169" s="32">
        <v>0</v>
      </c>
      <c r="H169" s="32">
        <v>0</v>
      </c>
      <c r="I169" s="35">
        <v>0</v>
      </c>
      <c r="J169" s="32">
        <v>155.69999999999999</v>
      </c>
      <c r="K169" s="32">
        <v>760.2</v>
      </c>
      <c r="L169" s="32">
        <v>16.399999999999999</v>
      </c>
    </row>
    <row r="170" spans="1:12" s="31" customFormat="1">
      <c r="A170" s="31" t="s">
        <v>1173</v>
      </c>
      <c r="B170">
        <v>1</v>
      </c>
      <c r="C170" s="29">
        <v>13.8</v>
      </c>
      <c r="D170" s="27">
        <v>96</v>
      </c>
      <c r="E170" s="29">
        <v>13.1</v>
      </c>
      <c r="F170" s="28">
        <v>1013.5</v>
      </c>
      <c r="G170" s="29">
        <v>0</v>
      </c>
      <c r="H170" s="29">
        <v>0</v>
      </c>
      <c r="I170" s="26">
        <v>0</v>
      </c>
      <c r="J170" s="29">
        <v>33.200000000000003</v>
      </c>
      <c r="K170" s="29">
        <v>33.200000000000003</v>
      </c>
      <c r="L170" s="29">
        <v>33.200000000000003</v>
      </c>
    </row>
    <row r="171" spans="1:12" s="31" customFormat="1">
      <c r="A171" s="31" t="s">
        <v>1173</v>
      </c>
      <c r="B171">
        <v>2</v>
      </c>
      <c r="C171" s="29">
        <v>15.1</v>
      </c>
      <c r="D171" s="27">
        <v>97</v>
      </c>
      <c r="E171" s="29">
        <v>14.6</v>
      </c>
      <c r="F171" s="28">
        <v>1010.8</v>
      </c>
      <c r="G171" s="29">
        <v>0</v>
      </c>
      <c r="H171" s="29">
        <v>0</v>
      </c>
      <c r="I171" s="26">
        <v>0</v>
      </c>
      <c r="J171" s="29">
        <v>63.1</v>
      </c>
      <c r="K171" s="29">
        <v>63.1</v>
      </c>
      <c r="L171" s="29">
        <v>29.9</v>
      </c>
    </row>
    <row r="172" spans="1:12" s="31" customFormat="1">
      <c r="A172" s="31" t="s">
        <v>1173</v>
      </c>
      <c r="B172">
        <v>3</v>
      </c>
      <c r="C172" s="29">
        <v>13.5</v>
      </c>
      <c r="D172" s="27">
        <v>98</v>
      </c>
      <c r="E172" s="29">
        <v>13.1</v>
      </c>
      <c r="F172" s="28">
        <v>1015.4</v>
      </c>
      <c r="G172" s="29">
        <v>0</v>
      </c>
      <c r="H172" s="29">
        <v>0</v>
      </c>
      <c r="I172" s="26">
        <v>0</v>
      </c>
      <c r="J172" s="29">
        <v>80.7</v>
      </c>
      <c r="K172" s="29">
        <v>80.7</v>
      </c>
      <c r="L172" s="29">
        <v>17.600000000000001</v>
      </c>
    </row>
    <row r="173" spans="1:12" s="31" customFormat="1">
      <c r="A173" s="31" t="s">
        <v>1173</v>
      </c>
      <c r="B173">
        <v>4</v>
      </c>
      <c r="C173" s="29">
        <v>10.9</v>
      </c>
      <c r="D173" s="27">
        <v>83</v>
      </c>
      <c r="E173" s="29">
        <v>8.1</v>
      </c>
      <c r="F173" s="28">
        <v>1014.9</v>
      </c>
      <c r="G173" s="29">
        <v>0</v>
      </c>
      <c r="H173" s="29">
        <v>0</v>
      </c>
      <c r="I173" s="26">
        <v>0</v>
      </c>
      <c r="J173" s="29">
        <v>98.6</v>
      </c>
      <c r="K173" s="29">
        <v>98.6</v>
      </c>
      <c r="L173" s="29">
        <v>17.899999999999999</v>
      </c>
    </row>
    <row r="174" spans="1:12" s="31" customFormat="1">
      <c r="A174" s="31" t="s">
        <v>1173</v>
      </c>
      <c r="B174">
        <v>5</v>
      </c>
      <c r="C174" s="29">
        <v>13.9</v>
      </c>
      <c r="D174" s="27">
        <v>80</v>
      </c>
      <c r="E174" s="29">
        <v>10.5</v>
      </c>
      <c r="F174" s="28">
        <v>1018.9</v>
      </c>
      <c r="G174" s="29">
        <v>0</v>
      </c>
      <c r="H174" s="29">
        <v>0</v>
      </c>
      <c r="I174" s="26">
        <v>0</v>
      </c>
      <c r="J174" s="29">
        <v>98.6</v>
      </c>
      <c r="K174" s="29">
        <v>98.6</v>
      </c>
      <c r="L174" s="29">
        <v>0</v>
      </c>
    </row>
    <row r="175" spans="1:12" s="31" customFormat="1">
      <c r="A175" s="31" t="s">
        <v>1173</v>
      </c>
      <c r="B175">
        <v>6</v>
      </c>
      <c r="C175" s="29">
        <v>13.9</v>
      </c>
      <c r="D175" s="27">
        <v>92</v>
      </c>
      <c r="E175" s="29">
        <v>12.6</v>
      </c>
      <c r="F175" s="28">
        <v>1013.3</v>
      </c>
      <c r="G175" s="29">
        <v>0</v>
      </c>
      <c r="H175" s="29">
        <v>0</v>
      </c>
      <c r="I175" s="26">
        <v>0</v>
      </c>
      <c r="J175" s="29">
        <v>130.6</v>
      </c>
      <c r="K175" s="29">
        <v>130.6</v>
      </c>
      <c r="L175" s="29">
        <v>32</v>
      </c>
    </row>
    <row r="176" spans="1:12" s="31" customFormat="1">
      <c r="A176" s="31" t="s">
        <v>1173</v>
      </c>
      <c r="B176">
        <v>7</v>
      </c>
      <c r="C176" s="29">
        <v>13.7</v>
      </c>
      <c r="D176" s="27">
        <v>94</v>
      </c>
      <c r="E176" s="29">
        <v>12.7</v>
      </c>
      <c r="F176" s="28">
        <v>1013.8</v>
      </c>
      <c r="G176" s="29">
        <v>0</v>
      </c>
      <c r="H176" s="29">
        <v>0</v>
      </c>
      <c r="I176" s="26">
        <v>0</v>
      </c>
      <c r="J176" s="29">
        <v>137.9</v>
      </c>
      <c r="K176" s="29">
        <v>137.9</v>
      </c>
      <c r="L176" s="29">
        <v>7.3</v>
      </c>
    </row>
    <row r="177" spans="1:12" s="31" customFormat="1">
      <c r="A177" s="31" t="s">
        <v>1173</v>
      </c>
      <c r="B177">
        <v>8</v>
      </c>
      <c r="C177" s="29">
        <v>13.7</v>
      </c>
      <c r="D177" s="27">
        <v>78</v>
      </c>
      <c r="E177" s="29">
        <v>9.8000000000000007</v>
      </c>
      <c r="F177" s="28">
        <v>1013.4</v>
      </c>
      <c r="G177" s="29">
        <v>0</v>
      </c>
      <c r="H177" s="29">
        <v>0</v>
      </c>
      <c r="I177" s="26">
        <v>0</v>
      </c>
      <c r="J177" s="29">
        <v>137.9</v>
      </c>
      <c r="K177" s="29">
        <v>137.9</v>
      </c>
      <c r="L177" s="29">
        <v>0</v>
      </c>
    </row>
    <row r="178" spans="1:12" s="31" customFormat="1">
      <c r="A178" s="31" t="s">
        <v>1173</v>
      </c>
      <c r="B178">
        <v>9</v>
      </c>
      <c r="C178" s="29">
        <v>14.5</v>
      </c>
      <c r="D178" s="27">
        <v>57.999999999999993</v>
      </c>
      <c r="E178" s="29">
        <v>6</v>
      </c>
      <c r="F178" s="28">
        <v>1013.5</v>
      </c>
      <c r="G178" s="29">
        <v>0</v>
      </c>
      <c r="H178" s="29">
        <v>0</v>
      </c>
      <c r="I178" s="26">
        <v>0</v>
      </c>
      <c r="J178" s="29">
        <v>137.9</v>
      </c>
      <c r="K178" s="29">
        <v>137.9</v>
      </c>
      <c r="L178" s="29">
        <v>0</v>
      </c>
    </row>
    <row r="179" spans="1:12" s="31" customFormat="1">
      <c r="A179" s="31" t="s">
        <v>1173</v>
      </c>
      <c r="B179">
        <v>10</v>
      </c>
      <c r="C179" s="29">
        <v>11.6</v>
      </c>
      <c r="D179" s="27">
        <v>81</v>
      </c>
      <c r="E179" s="29">
        <v>8.4</v>
      </c>
      <c r="F179" s="28">
        <v>1012.3</v>
      </c>
      <c r="G179" s="29">
        <v>0</v>
      </c>
      <c r="H179" s="29">
        <v>0</v>
      </c>
      <c r="I179" s="26">
        <v>0</v>
      </c>
      <c r="J179" s="29">
        <v>137.9</v>
      </c>
      <c r="K179" s="29">
        <v>137.9</v>
      </c>
      <c r="L179" s="29">
        <v>0</v>
      </c>
    </row>
    <row r="180" spans="1:12" s="31" customFormat="1">
      <c r="A180" s="31" t="s">
        <v>1173</v>
      </c>
      <c r="B180">
        <v>11</v>
      </c>
      <c r="C180" s="29">
        <v>10.4</v>
      </c>
      <c r="D180" s="27">
        <v>88</v>
      </c>
      <c r="E180" s="29">
        <v>8.1999999999999993</v>
      </c>
      <c r="F180" s="28">
        <v>1014.6</v>
      </c>
      <c r="G180" s="29">
        <v>0</v>
      </c>
      <c r="H180" s="29">
        <v>0</v>
      </c>
      <c r="I180" s="26">
        <v>0</v>
      </c>
      <c r="J180" s="29">
        <v>137.9</v>
      </c>
      <c r="K180" s="29">
        <v>137.9</v>
      </c>
      <c r="L180" s="29">
        <v>0</v>
      </c>
    </row>
    <row r="181" spans="1:12" s="31" customFormat="1">
      <c r="A181" s="31" t="s">
        <v>1173</v>
      </c>
      <c r="B181">
        <v>12</v>
      </c>
      <c r="C181" s="29">
        <v>11.1</v>
      </c>
      <c r="D181" s="27">
        <v>92</v>
      </c>
      <c r="E181" s="29">
        <v>9.9</v>
      </c>
      <c r="F181" s="28">
        <v>1019.2</v>
      </c>
      <c r="G181" s="29">
        <v>0</v>
      </c>
      <c r="H181" s="29">
        <v>0</v>
      </c>
      <c r="I181" s="26">
        <v>0</v>
      </c>
      <c r="J181" s="29">
        <v>141.9</v>
      </c>
      <c r="K181" s="29">
        <v>141.9</v>
      </c>
      <c r="L181" s="29">
        <v>4</v>
      </c>
    </row>
    <row r="182" spans="1:12" s="31" customFormat="1">
      <c r="A182" s="31" t="s">
        <v>1173</v>
      </c>
      <c r="B182">
        <v>13</v>
      </c>
      <c r="C182" s="29">
        <v>9.6999999999999993</v>
      </c>
      <c r="D182" s="27">
        <v>87</v>
      </c>
      <c r="E182" s="29">
        <v>7.4</v>
      </c>
      <c r="F182" s="28">
        <v>1020.7</v>
      </c>
      <c r="G182" s="29">
        <v>0</v>
      </c>
      <c r="H182" s="29">
        <v>0</v>
      </c>
      <c r="I182" s="26">
        <v>0</v>
      </c>
      <c r="J182" s="29">
        <v>142.9</v>
      </c>
      <c r="K182" s="29">
        <v>142.9</v>
      </c>
      <c r="L182" s="29">
        <v>1</v>
      </c>
    </row>
    <row r="183" spans="1:12" s="31" customFormat="1">
      <c r="A183" s="31" t="s">
        <v>1173</v>
      </c>
      <c r="B183">
        <v>14</v>
      </c>
      <c r="C183" s="29">
        <v>13.1</v>
      </c>
      <c r="D183" s="27">
        <v>94</v>
      </c>
      <c r="E183" s="29">
        <v>12.2</v>
      </c>
      <c r="F183" s="28">
        <v>1018.5</v>
      </c>
      <c r="G183" s="29">
        <v>0</v>
      </c>
      <c r="H183" s="29">
        <v>0</v>
      </c>
      <c r="I183" s="26">
        <v>0</v>
      </c>
      <c r="J183" s="29">
        <v>146.9</v>
      </c>
      <c r="K183" s="29">
        <v>146.9</v>
      </c>
      <c r="L183" s="29">
        <v>4</v>
      </c>
    </row>
    <row r="184" spans="1:12" s="31" customFormat="1">
      <c r="A184" s="31" t="s">
        <v>1173</v>
      </c>
      <c r="B184">
        <v>15</v>
      </c>
      <c r="C184" s="29">
        <v>12.1</v>
      </c>
      <c r="D184" s="27">
        <v>97</v>
      </c>
      <c r="E184" s="29">
        <v>11.6</v>
      </c>
      <c r="F184" s="28">
        <v>1013.4</v>
      </c>
      <c r="G184" s="29">
        <v>0</v>
      </c>
      <c r="H184" s="29">
        <v>0</v>
      </c>
      <c r="I184" s="26">
        <v>358</v>
      </c>
      <c r="J184" s="29">
        <v>156.19999999999999</v>
      </c>
      <c r="K184" s="29">
        <v>156.19999999999999</v>
      </c>
      <c r="L184" s="29">
        <v>9.3000000000000007</v>
      </c>
    </row>
    <row r="185" spans="1:12" s="31" customFormat="1">
      <c r="A185" s="31" t="s">
        <v>1173</v>
      </c>
      <c r="B185">
        <v>16</v>
      </c>
      <c r="C185" s="29">
        <v>9.9</v>
      </c>
      <c r="D185" s="27">
        <v>85</v>
      </c>
      <c r="E185" s="29">
        <v>7.4</v>
      </c>
      <c r="F185" s="28">
        <v>1008.3</v>
      </c>
      <c r="G185" s="29">
        <v>0</v>
      </c>
      <c r="H185" s="29">
        <v>0</v>
      </c>
      <c r="I185" s="26">
        <v>316</v>
      </c>
      <c r="J185" s="29">
        <v>163.5</v>
      </c>
      <c r="K185" s="29">
        <v>163.5</v>
      </c>
      <c r="L185" s="29">
        <v>7.3</v>
      </c>
    </row>
    <row r="186" spans="1:12" s="31" customFormat="1">
      <c r="A186" s="31" t="s">
        <v>1173</v>
      </c>
      <c r="B186">
        <v>17</v>
      </c>
      <c r="C186" s="29">
        <v>9</v>
      </c>
      <c r="D186" s="27">
        <v>87</v>
      </c>
      <c r="E186" s="29">
        <v>7</v>
      </c>
      <c r="F186" s="28">
        <v>994.9</v>
      </c>
      <c r="G186" s="29">
        <v>0</v>
      </c>
      <c r="H186" s="29">
        <v>0</v>
      </c>
      <c r="I186" s="26">
        <v>87</v>
      </c>
      <c r="J186" s="29">
        <v>183.2</v>
      </c>
      <c r="K186" s="29">
        <v>183.2</v>
      </c>
      <c r="L186" s="29">
        <v>19.7</v>
      </c>
    </row>
    <row r="187" spans="1:12" s="31" customFormat="1">
      <c r="A187" s="31" t="s">
        <v>1173</v>
      </c>
      <c r="B187">
        <v>18</v>
      </c>
      <c r="C187" s="29">
        <v>9.1999999999999993</v>
      </c>
      <c r="D187" s="27">
        <v>91</v>
      </c>
      <c r="E187" s="29">
        <v>7.8</v>
      </c>
      <c r="F187" s="28">
        <v>994.4</v>
      </c>
      <c r="G187" s="29">
        <v>0</v>
      </c>
      <c r="H187" s="29">
        <v>0</v>
      </c>
      <c r="I187" s="26">
        <v>99</v>
      </c>
      <c r="J187" s="29">
        <v>199.5</v>
      </c>
      <c r="K187" s="29">
        <v>199.5</v>
      </c>
      <c r="L187" s="29">
        <v>16.3</v>
      </c>
    </row>
    <row r="188" spans="1:12" s="31" customFormat="1">
      <c r="A188" s="31" t="s">
        <v>1173</v>
      </c>
      <c r="B188">
        <v>19</v>
      </c>
      <c r="C188" s="29">
        <v>8.6999999999999993</v>
      </c>
      <c r="D188" s="27">
        <v>83</v>
      </c>
      <c r="E188" s="29">
        <v>5.9</v>
      </c>
      <c r="F188" s="28">
        <v>1005.6</v>
      </c>
      <c r="G188" s="29">
        <v>0</v>
      </c>
      <c r="H188" s="29">
        <v>0</v>
      </c>
      <c r="I188" s="26">
        <v>91</v>
      </c>
      <c r="J188" s="29">
        <v>206.5</v>
      </c>
      <c r="K188" s="29">
        <v>206.5</v>
      </c>
      <c r="L188" s="29">
        <v>7</v>
      </c>
    </row>
    <row r="189" spans="1:12" s="31" customFormat="1">
      <c r="A189" s="31" t="s">
        <v>1173</v>
      </c>
      <c r="B189">
        <v>20</v>
      </c>
      <c r="C189" s="29">
        <v>9.1999999999999993</v>
      </c>
      <c r="D189" s="27">
        <v>87</v>
      </c>
      <c r="E189" s="29">
        <v>7</v>
      </c>
      <c r="F189" s="28">
        <v>1016.3</v>
      </c>
      <c r="G189" s="29">
        <v>0</v>
      </c>
      <c r="H189" s="29">
        <v>0</v>
      </c>
      <c r="I189" s="26">
        <v>90</v>
      </c>
      <c r="J189" s="29">
        <v>207.5</v>
      </c>
      <c r="K189" s="29">
        <v>207.5</v>
      </c>
      <c r="L189" s="29">
        <v>1</v>
      </c>
    </row>
    <row r="190" spans="1:12" s="31" customFormat="1">
      <c r="A190" s="31" t="s">
        <v>1173</v>
      </c>
      <c r="B190">
        <v>21</v>
      </c>
      <c r="C190" s="29">
        <v>11.1</v>
      </c>
      <c r="D190" s="27">
        <v>97</v>
      </c>
      <c r="E190" s="29">
        <v>10.5</v>
      </c>
      <c r="F190" s="28">
        <v>1013.8</v>
      </c>
      <c r="G190" s="29">
        <v>0</v>
      </c>
      <c r="H190" s="29">
        <v>0</v>
      </c>
      <c r="I190" s="26">
        <v>90</v>
      </c>
      <c r="J190" s="29">
        <v>212.8</v>
      </c>
      <c r="K190" s="29">
        <v>212.8</v>
      </c>
      <c r="L190" s="29">
        <v>5.3</v>
      </c>
    </row>
    <row r="191" spans="1:12" s="31" customFormat="1">
      <c r="A191" s="31" t="s">
        <v>1173</v>
      </c>
      <c r="B191">
        <v>22</v>
      </c>
      <c r="C191" s="29">
        <v>11.1</v>
      </c>
      <c r="D191" s="27">
        <v>86</v>
      </c>
      <c r="E191" s="29">
        <v>8.8000000000000007</v>
      </c>
      <c r="F191" s="28">
        <v>1016.8</v>
      </c>
      <c r="G191" s="29">
        <v>0</v>
      </c>
      <c r="H191" s="29">
        <v>0</v>
      </c>
      <c r="I191" s="26">
        <v>90</v>
      </c>
      <c r="J191" s="29">
        <v>215.8</v>
      </c>
      <c r="K191" s="29">
        <v>215.8</v>
      </c>
      <c r="L191" s="29">
        <v>3</v>
      </c>
    </row>
    <row r="192" spans="1:12" s="31" customFormat="1">
      <c r="A192" s="31" t="s">
        <v>1173</v>
      </c>
      <c r="B192">
        <v>23</v>
      </c>
      <c r="C192" s="29">
        <v>8.6999999999999993</v>
      </c>
      <c r="D192" s="27">
        <v>83</v>
      </c>
      <c r="E192" s="29">
        <v>5.8</v>
      </c>
      <c r="F192" s="28">
        <v>1025.9000000000001</v>
      </c>
      <c r="G192" s="29">
        <v>0</v>
      </c>
      <c r="H192" s="29">
        <v>0</v>
      </c>
      <c r="I192" s="26">
        <v>90</v>
      </c>
      <c r="J192" s="29">
        <v>215.8</v>
      </c>
      <c r="K192" s="29">
        <v>215.8</v>
      </c>
      <c r="L192" s="29">
        <v>0</v>
      </c>
    </row>
    <row r="193" spans="1:12" s="31" customFormat="1">
      <c r="A193" s="31" t="s">
        <v>1173</v>
      </c>
      <c r="B193">
        <v>24</v>
      </c>
      <c r="C193" s="29">
        <v>9.3000000000000007</v>
      </c>
      <c r="D193" s="27">
        <v>93</v>
      </c>
      <c r="E193" s="29">
        <v>8.1999999999999993</v>
      </c>
      <c r="F193" s="28">
        <v>1029.0999999999999</v>
      </c>
      <c r="G193" s="29">
        <v>0</v>
      </c>
      <c r="H193" s="29">
        <v>0</v>
      </c>
      <c r="I193" s="26">
        <v>90</v>
      </c>
      <c r="J193" s="29">
        <v>215.8</v>
      </c>
      <c r="K193" s="29">
        <v>215.8</v>
      </c>
      <c r="L193" s="29">
        <v>0</v>
      </c>
    </row>
    <row r="194" spans="1:12" s="31" customFormat="1">
      <c r="A194" s="31" t="s">
        <v>1173</v>
      </c>
      <c r="B194">
        <v>25</v>
      </c>
      <c r="C194" s="29">
        <v>12.6</v>
      </c>
      <c r="D194" s="27">
        <v>94</v>
      </c>
      <c r="E194" s="29">
        <v>11.7</v>
      </c>
      <c r="F194" s="28">
        <v>1027.9000000000001</v>
      </c>
      <c r="G194" s="29">
        <v>0</v>
      </c>
      <c r="H194" s="29">
        <v>0</v>
      </c>
      <c r="I194" s="26">
        <v>90</v>
      </c>
      <c r="J194" s="29">
        <v>215.8</v>
      </c>
      <c r="K194" s="29">
        <v>215.8</v>
      </c>
      <c r="L194" s="29">
        <v>0</v>
      </c>
    </row>
    <row r="195" spans="1:12" s="31" customFormat="1">
      <c r="A195" s="31" t="s">
        <v>1173</v>
      </c>
      <c r="B195">
        <v>26</v>
      </c>
      <c r="C195" s="29">
        <v>12.7</v>
      </c>
      <c r="D195" s="27">
        <v>97</v>
      </c>
      <c r="E195" s="29">
        <v>12.3</v>
      </c>
      <c r="F195" s="28">
        <v>1022.8</v>
      </c>
      <c r="G195" s="29">
        <v>0</v>
      </c>
      <c r="H195" s="29">
        <v>0</v>
      </c>
      <c r="I195" s="26">
        <v>90</v>
      </c>
      <c r="J195" s="29">
        <v>219.8</v>
      </c>
      <c r="K195" s="29">
        <v>219.8</v>
      </c>
      <c r="L195" s="29">
        <v>4</v>
      </c>
    </row>
    <row r="196" spans="1:12" s="31" customFormat="1">
      <c r="A196" s="31" t="s">
        <v>1173</v>
      </c>
      <c r="B196">
        <v>27</v>
      </c>
      <c r="C196" s="29">
        <v>11.2</v>
      </c>
      <c r="D196" s="27">
        <v>81</v>
      </c>
      <c r="E196" s="29">
        <v>7.9</v>
      </c>
      <c r="F196" s="28">
        <v>1019.3</v>
      </c>
      <c r="G196" s="29">
        <v>0</v>
      </c>
      <c r="H196" s="29">
        <v>0</v>
      </c>
      <c r="I196" s="26">
        <v>90</v>
      </c>
      <c r="J196" s="29">
        <v>221.8</v>
      </c>
      <c r="K196" s="29">
        <v>221.8</v>
      </c>
      <c r="L196" s="29">
        <v>2</v>
      </c>
    </row>
    <row r="197" spans="1:12" s="31" customFormat="1">
      <c r="A197" s="31" t="s">
        <v>1173</v>
      </c>
      <c r="B197">
        <v>28</v>
      </c>
      <c r="C197" s="29">
        <v>11.2</v>
      </c>
      <c r="D197" s="27">
        <v>80</v>
      </c>
      <c r="E197" s="29">
        <v>7.8</v>
      </c>
      <c r="F197" s="28">
        <v>1009.6</v>
      </c>
      <c r="G197" s="29">
        <v>0</v>
      </c>
      <c r="H197" s="29">
        <v>0</v>
      </c>
      <c r="I197" s="26">
        <v>90</v>
      </c>
      <c r="J197" s="29">
        <v>224.8</v>
      </c>
      <c r="K197" s="29">
        <v>224.8</v>
      </c>
      <c r="L197" s="29">
        <v>3</v>
      </c>
    </row>
    <row r="198" spans="1:12" s="31" customFormat="1">
      <c r="A198" s="31" t="s">
        <v>1173</v>
      </c>
      <c r="B198">
        <v>29</v>
      </c>
      <c r="C198" s="29">
        <v>9.4</v>
      </c>
      <c r="D198" s="27">
        <v>80</v>
      </c>
      <c r="E198" s="29">
        <v>5.9</v>
      </c>
      <c r="F198" s="28">
        <v>1003.7</v>
      </c>
      <c r="G198" s="29">
        <v>0</v>
      </c>
      <c r="H198" s="29">
        <v>0</v>
      </c>
      <c r="I198" s="26">
        <v>90</v>
      </c>
      <c r="J198" s="29">
        <v>236.4</v>
      </c>
      <c r="K198" s="29">
        <v>236.4</v>
      </c>
      <c r="L198" s="29">
        <v>11.6</v>
      </c>
    </row>
    <row r="199" spans="1:12" s="31" customFormat="1">
      <c r="A199" s="31" t="s">
        <v>1173</v>
      </c>
      <c r="B199">
        <v>30</v>
      </c>
      <c r="C199" s="29">
        <v>9.1</v>
      </c>
      <c r="D199" s="27">
        <v>87</v>
      </c>
      <c r="E199" s="29">
        <v>6.9</v>
      </c>
      <c r="F199" s="28">
        <v>1012.8</v>
      </c>
      <c r="G199" s="29">
        <v>0</v>
      </c>
      <c r="H199" s="29">
        <v>0</v>
      </c>
      <c r="I199" s="26">
        <v>75</v>
      </c>
      <c r="J199" s="29">
        <v>239.4</v>
      </c>
      <c r="K199" s="29">
        <v>239.4</v>
      </c>
      <c r="L199" s="29">
        <v>3</v>
      </c>
    </row>
    <row r="200" spans="1:12" s="31" customFormat="1">
      <c r="A200" s="31" t="s">
        <v>1173</v>
      </c>
      <c r="B200">
        <v>31</v>
      </c>
      <c r="C200" s="29">
        <v>12.6</v>
      </c>
      <c r="D200" s="27">
        <v>97</v>
      </c>
      <c r="E200" s="29">
        <v>12.1</v>
      </c>
      <c r="F200" s="28">
        <v>1012.3</v>
      </c>
      <c r="G200" s="29">
        <v>0</v>
      </c>
      <c r="H200" s="29">
        <v>0</v>
      </c>
      <c r="I200" s="26">
        <v>45</v>
      </c>
      <c r="J200" s="29">
        <v>243.4</v>
      </c>
      <c r="K200" s="29">
        <v>243.4</v>
      </c>
      <c r="L200" s="29">
        <v>4</v>
      </c>
    </row>
    <row r="201" spans="1:12">
      <c r="A201" t="s">
        <v>1046</v>
      </c>
      <c r="B201">
        <v>1</v>
      </c>
      <c r="C201" s="29">
        <v>10.7</v>
      </c>
      <c r="D201" s="27">
        <v>78</v>
      </c>
      <c r="E201" s="29">
        <v>6.8</v>
      </c>
      <c r="F201" s="28">
        <v>1015</v>
      </c>
      <c r="G201" s="29">
        <v>0</v>
      </c>
      <c r="H201" s="29">
        <v>0</v>
      </c>
      <c r="I201" s="26">
        <v>45</v>
      </c>
      <c r="J201" s="29">
        <v>10.6</v>
      </c>
      <c r="K201" s="29">
        <v>254</v>
      </c>
      <c r="L201" s="29">
        <v>10.6</v>
      </c>
    </row>
    <row r="202" spans="1:12">
      <c r="A202" t="s">
        <v>1046</v>
      </c>
      <c r="B202">
        <v>2</v>
      </c>
      <c r="C202" s="29">
        <v>9</v>
      </c>
      <c r="D202" s="27">
        <v>77</v>
      </c>
      <c r="E202" s="29">
        <v>4.9000000000000004</v>
      </c>
      <c r="F202" s="28">
        <v>1017.2</v>
      </c>
      <c r="G202" s="29">
        <v>1.0555555555555556</v>
      </c>
      <c r="H202" s="29">
        <v>1.3888888888888888</v>
      </c>
      <c r="I202" s="26">
        <v>157</v>
      </c>
      <c r="J202" s="29">
        <v>13.6</v>
      </c>
      <c r="K202" s="29">
        <v>257</v>
      </c>
      <c r="L202" s="29">
        <v>3</v>
      </c>
    </row>
    <row r="203" spans="1:12">
      <c r="A203" t="s">
        <v>1046</v>
      </c>
      <c r="B203">
        <v>3</v>
      </c>
      <c r="C203" s="29">
        <v>9.5</v>
      </c>
      <c r="D203" s="27">
        <v>79</v>
      </c>
      <c r="E203" s="29">
        <v>5.8</v>
      </c>
      <c r="F203" s="28">
        <v>1009.5</v>
      </c>
      <c r="G203" s="29">
        <v>3.3055555555555554</v>
      </c>
      <c r="H203" s="29">
        <v>4.333333333333333</v>
      </c>
      <c r="I203" s="26">
        <v>221</v>
      </c>
      <c r="J203" s="29">
        <v>28.9</v>
      </c>
      <c r="K203" s="29">
        <v>272.3</v>
      </c>
      <c r="L203" s="29">
        <v>15.3</v>
      </c>
    </row>
    <row r="204" spans="1:12">
      <c r="A204" t="s">
        <v>1046</v>
      </c>
      <c r="B204">
        <v>4</v>
      </c>
      <c r="C204" s="29">
        <v>10.9</v>
      </c>
      <c r="D204" s="27">
        <v>93</v>
      </c>
      <c r="E204" s="29">
        <v>9.8000000000000007</v>
      </c>
      <c r="F204" s="28">
        <v>1006.6</v>
      </c>
      <c r="G204" s="29">
        <v>4.0555555555555554</v>
      </c>
      <c r="H204" s="29">
        <v>5.3611111111111116</v>
      </c>
      <c r="I204" s="26">
        <v>202</v>
      </c>
      <c r="J204" s="29">
        <v>53.9</v>
      </c>
      <c r="K204" s="29">
        <v>297.3</v>
      </c>
      <c r="L204" s="29">
        <v>25</v>
      </c>
    </row>
    <row r="205" spans="1:12">
      <c r="A205" t="s">
        <v>1046</v>
      </c>
      <c r="B205">
        <v>5</v>
      </c>
      <c r="C205" s="29">
        <v>12.7</v>
      </c>
      <c r="D205" s="27">
        <v>79</v>
      </c>
      <c r="E205" s="29">
        <v>9</v>
      </c>
      <c r="F205" s="28">
        <v>1009</v>
      </c>
      <c r="G205" s="29">
        <v>2.8611111111111112</v>
      </c>
      <c r="H205" s="29">
        <v>3.9166666666666665</v>
      </c>
      <c r="I205" s="26">
        <v>207</v>
      </c>
      <c r="J205" s="29">
        <v>53.9</v>
      </c>
      <c r="K205" s="29">
        <v>297.3</v>
      </c>
      <c r="L205" s="29">
        <v>0</v>
      </c>
    </row>
    <row r="206" spans="1:12">
      <c r="A206" t="s">
        <v>1046</v>
      </c>
      <c r="B206">
        <v>6</v>
      </c>
      <c r="C206" s="29">
        <v>12.8</v>
      </c>
      <c r="D206" s="27">
        <v>84</v>
      </c>
      <c r="E206" s="29">
        <v>10</v>
      </c>
      <c r="F206" s="28">
        <v>1005.5</v>
      </c>
      <c r="G206" s="29">
        <v>4.5277777777777777</v>
      </c>
      <c r="H206" s="29">
        <v>5.9444444444444438</v>
      </c>
      <c r="I206" s="26">
        <v>210</v>
      </c>
      <c r="J206" s="29">
        <v>72.599999999999994</v>
      </c>
      <c r="K206" s="29">
        <v>316</v>
      </c>
      <c r="L206" s="29">
        <v>18.7</v>
      </c>
    </row>
    <row r="207" spans="1:12">
      <c r="A207" t="s">
        <v>1046</v>
      </c>
      <c r="B207">
        <v>7</v>
      </c>
      <c r="C207" s="29">
        <v>10.9</v>
      </c>
      <c r="D207" s="27">
        <v>85</v>
      </c>
      <c r="E207" s="29">
        <v>8.4</v>
      </c>
      <c r="F207" s="28">
        <v>1014.3</v>
      </c>
      <c r="G207" s="29">
        <v>2.6666666666666665</v>
      </c>
      <c r="H207" s="29">
        <v>3.6388888888888888</v>
      </c>
      <c r="I207" s="26">
        <v>204</v>
      </c>
      <c r="J207" s="29">
        <v>74.599999999999994</v>
      </c>
      <c r="K207" s="29">
        <v>318</v>
      </c>
      <c r="L207" s="29">
        <v>2</v>
      </c>
    </row>
    <row r="208" spans="1:12">
      <c r="A208" t="s">
        <v>1046</v>
      </c>
      <c r="B208">
        <v>8</v>
      </c>
      <c r="C208" s="29">
        <v>11.8</v>
      </c>
      <c r="D208" s="27">
        <v>82</v>
      </c>
      <c r="E208" s="29">
        <v>8.6999999999999993</v>
      </c>
      <c r="F208" s="28">
        <v>1009.9</v>
      </c>
      <c r="G208" s="29">
        <v>2.9444444444444442</v>
      </c>
      <c r="H208" s="29">
        <v>4.1944444444444446</v>
      </c>
      <c r="I208" s="26">
        <v>236</v>
      </c>
      <c r="J208" s="29">
        <v>83.9</v>
      </c>
      <c r="K208" s="29">
        <v>327.3</v>
      </c>
      <c r="L208" s="29">
        <v>9.3000000000000007</v>
      </c>
    </row>
    <row r="209" spans="1:12">
      <c r="A209" t="s">
        <v>1046</v>
      </c>
      <c r="B209">
        <v>9</v>
      </c>
      <c r="C209" s="29">
        <v>10.7</v>
      </c>
      <c r="D209" s="27">
        <v>87</v>
      </c>
      <c r="E209" s="29">
        <v>8.5</v>
      </c>
      <c r="F209" s="28">
        <v>1000.2</v>
      </c>
      <c r="G209" s="29">
        <v>5.2222222222222223</v>
      </c>
      <c r="H209" s="29">
        <v>7.4722222222222214</v>
      </c>
      <c r="I209" s="26">
        <v>220</v>
      </c>
      <c r="J209" s="29">
        <v>95.2</v>
      </c>
      <c r="K209" s="29">
        <v>338.6</v>
      </c>
      <c r="L209" s="29">
        <v>11.3</v>
      </c>
    </row>
    <row r="210" spans="1:12">
      <c r="A210" t="s">
        <v>1046</v>
      </c>
      <c r="B210">
        <v>10</v>
      </c>
      <c r="C210" s="29">
        <v>9.1999999999999993</v>
      </c>
      <c r="D210" s="27">
        <v>64</v>
      </c>
      <c r="E210" s="29">
        <v>2.6</v>
      </c>
      <c r="F210" s="28">
        <v>1014.8</v>
      </c>
      <c r="G210" s="29">
        <v>2.7777777777777777</v>
      </c>
      <c r="H210" s="29">
        <v>4.3055555555555554</v>
      </c>
      <c r="I210" s="26">
        <v>289</v>
      </c>
      <c r="J210" s="29">
        <v>97.2</v>
      </c>
      <c r="K210" s="29">
        <v>340.6</v>
      </c>
      <c r="L210" s="29">
        <v>2</v>
      </c>
    </row>
    <row r="211" spans="1:12">
      <c r="A211" t="s">
        <v>1046</v>
      </c>
      <c r="B211">
        <v>11</v>
      </c>
      <c r="C211" s="29">
        <v>11.1</v>
      </c>
      <c r="D211" s="27">
        <v>94</v>
      </c>
      <c r="E211" s="29">
        <v>10.199999999999999</v>
      </c>
      <c r="F211" s="28">
        <v>1012.9</v>
      </c>
      <c r="G211" s="29">
        <v>2.5277777777777777</v>
      </c>
      <c r="H211" s="29">
        <v>3.75</v>
      </c>
      <c r="I211" s="26">
        <v>220</v>
      </c>
      <c r="J211" s="29">
        <v>131.1</v>
      </c>
      <c r="K211" s="29">
        <v>374.5</v>
      </c>
      <c r="L211" s="29">
        <v>33.9</v>
      </c>
    </row>
    <row r="212" spans="1:12">
      <c r="A212" t="s">
        <v>1046</v>
      </c>
      <c r="B212">
        <v>12</v>
      </c>
      <c r="C212" s="29">
        <v>11.4</v>
      </c>
      <c r="D212" s="27">
        <v>98</v>
      </c>
      <c r="E212" s="29">
        <v>11.1</v>
      </c>
      <c r="F212" s="28">
        <v>1015.5</v>
      </c>
      <c r="G212" s="29">
        <v>1.9166666666666667</v>
      </c>
      <c r="H212" s="29">
        <v>2.7222222222222223</v>
      </c>
      <c r="I212" s="26">
        <v>212</v>
      </c>
      <c r="J212" s="29">
        <v>140.1</v>
      </c>
      <c r="K212" s="29">
        <v>383.5</v>
      </c>
      <c r="L212" s="29">
        <v>9</v>
      </c>
    </row>
    <row r="213" spans="1:12">
      <c r="A213" t="s">
        <v>1046</v>
      </c>
      <c r="B213">
        <v>13</v>
      </c>
      <c r="C213" s="29">
        <v>14.9</v>
      </c>
      <c r="D213" s="27">
        <v>94</v>
      </c>
      <c r="E213" s="29">
        <v>13.9</v>
      </c>
      <c r="F213" s="28">
        <v>1015.9</v>
      </c>
      <c r="G213" s="29">
        <v>2.833333333333333</v>
      </c>
      <c r="H213" s="29">
        <v>3.9722222222222223</v>
      </c>
      <c r="I213" s="26">
        <v>223</v>
      </c>
      <c r="J213" s="29">
        <v>150.4</v>
      </c>
      <c r="K213" s="29">
        <v>393.8</v>
      </c>
      <c r="L213" s="29">
        <v>10.3</v>
      </c>
    </row>
    <row r="214" spans="1:12">
      <c r="A214" t="s">
        <v>1046</v>
      </c>
      <c r="B214">
        <v>14</v>
      </c>
      <c r="C214" s="29">
        <v>13.4</v>
      </c>
      <c r="D214" s="27">
        <v>89</v>
      </c>
      <c r="E214" s="29">
        <v>11.5</v>
      </c>
      <c r="F214" s="28">
        <v>1007.5</v>
      </c>
      <c r="G214" s="29">
        <v>3.5833333333333335</v>
      </c>
      <c r="H214" s="29">
        <v>4.9444444444444446</v>
      </c>
      <c r="I214" s="26">
        <v>201</v>
      </c>
      <c r="J214" s="29">
        <v>160.4</v>
      </c>
      <c r="K214" s="29">
        <v>403.8</v>
      </c>
      <c r="L214" s="29">
        <v>10</v>
      </c>
    </row>
    <row r="215" spans="1:12">
      <c r="A215" t="s">
        <v>1046</v>
      </c>
      <c r="B215">
        <v>15</v>
      </c>
      <c r="C215" s="29">
        <v>9.4</v>
      </c>
      <c r="D215" s="27">
        <v>82</v>
      </c>
      <c r="E215" s="29">
        <v>6.3</v>
      </c>
      <c r="F215" s="28">
        <v>1011.1</v>
      </c>
      <c r="G215" s="29">
        <v>0.91666666666666663</v>
      </c>
      <c r="H215" s="29">
        <v>1.5</v>
      </c>
      <c r="I215" s="26">
        <v>290</v>
      </c>
      <c r="J215" s="29">
        <v>161.4</v>
      </c>
      <c r="K215" s="29">
        <v>404.8</v>
      </c>
      <c r="L215" s="29">
        <v>1</v>
      </c>
    </row>
    <row r="216" spans="1:12">
      <c r="A216" t="s">
        <v>1046</v>
      </c>
      <c r="B216">
        <v>16</v>
      </c>
      <c r="C216" s="29">
        <v>4.2</v>
      </c>
      <c r="D216" s="27">
        <v>96</v>
      </c>
      <c r="E216" s="29">
        <v>3.6</v>
      </c>
      <c r="F216" s="28">
        <v>1016.6</v>
      </c>
      <c r="G216" s="29">
        <v>0.25</v>
      </c>
      <c r="H216" s="29">
        <v>0.52777777777777779</v>
      </c>
      <c r="I216" s="26">
        <v>129</v>
      </c>
      <c r="J216" s="29">
        <v>161.4</v>
      </c>
      <c r="K216" s="29">
        <v>404.8</v>
      </c>
      <c r="L216" s="29">
        <v>0</v>
      </c>
    </row>
    <row r="217" spans="1:12">
      <c r="A217" t="s">
        <v>1046</v>
      </c>
      <c r="B217">
        <v>17</v>
      </c>
      <c r="C217" s="29">
        <v>8.6</v>
      </c>
      <c r="D217" s="27">
        <v>79</v>
      </c>
      <c r="E217" s="29">
        <v>5</v>
      </c>
      <c r="F217" s="28">
        <v>1008.5</v>
      </c>
      <c r="G217" s="29">
        <v>2</v>
      </c>
      <c r="H217" s="29">
        <v>2.833333333333333</v>
      </c>
      <c r="I217" s="26">
        <v>154</v>
      </c>
      <c r="J217" s="29">
        <v>164.4</v>
      </c>
      <c r="K217" s="29">
        <v>407.8</v>
      </c>
      <c r="L217" s="29">
        <v>3</v>
      </c>
    </row>
    <row r="218" spans="1:12">
      <c r="A218" t="s">
        <v>1046</v>
      </c>
      <c r="B218">
        <v>18</v>
      </c>
      <c r="C218" s="29">
        <v>8.8000000000000007</v>
      </c>
      <c r="D218" s="27">
        <v>85</v>
      </c>
      <c r="E218" s="29">
        <v>6.1</v>
      </c>
      <c r="F218" s="28">
        <v>1015</v>
      </c>
      <c r="G218" s="29">
        <v>1.0833333333333333</v>
      </c>
      <c r="H218" s="29">
        <v>1.6388888888888888</v>
      </c>
      <c r="I218" s="26">
        <v>320</v>
      </c>
      <c r="J218" s="29">
        <v>164.4</v>
      </c>
      <c r="K218" s="29">
        <v>407.8</v>
      </c>
      <c r="L218" s="29">
        <v>0</v>
      </c>
    </row>
    <row r="219" spans="1:12">
      <c r="A219" t="s">
        <v>1046</v>
      </c>
      <c r="B219">
        <v>19</v>
      </c>
      <c r="C219" s="29">
        <v>11.7</v>
      </c>
      <c r="D219" s="27">
        <v>84</v>
      </c>
      <c r="E219" s="29">
        <v>8.8000000000000007</v>
      </c>
      <c r="F219" s="28">
        <v>1021.1</v>
      </c>
      <c r="G219" s="29">
        <v>0.61111111111111116</v>
      </c>
      <c r="H219" s="29">
        <v>1.1111111111111112</v>
      </c>
      <c r="I219" s="26">
        <v>283</v>
      </c>
      <c r="J219" s="29">
        <v>165.4</v>
      </c>
      <c r="K219" s="29">
        <v>408.8</v>
      </c>
      <c r="L219" s="29">
        <v>1</v>
      </c>
    </row>
    <row r="220" spans="1:12">
      <c r="A220" t="s">
        <v>1046</v>
      </c>
      <c r="B220">
        <v>20</v>
      </c>
      <c r="C220" s="29">
        <v>12.1</v>
      </c>
      <c r="D220" s="27">
        <v>95</v>
      </c>
      <c r="E220" s="29">
        <v>11.3</v>
      </c>
      <c r="F220" s="28">
        <v>1020.1</v>
      </c>
      <c r="G220" s="29">
        <v>1.6111111111111109</v>
      </c>
      <c r="H220" s="29">
        <v>2.4722222222222223</v>
      </c>
      <c r="I220" s="26">
        <v>239</v>
      </c>
      <c r="J220" s="29">
        <v>169.4</v>
      </c>
      <c r="K220" s="29">
        <v>412.8</v>
      </c>
      <c r="L220" s="29">
        <v>4</v>
      </c>
    </row>
    <row r="221" spans="1:12">
      <c r="A221" t="s">
        <v>1046</v>
      </c>
      <c r="B221">
        <v>21</v>
      </c>
      <c r="C221" s="29">
        <v>9.9</v>
      </c>
      <c r="D221" s="27">
        <v>71</v>
      </c>
      <c r="E221" s="29">
        <v>4.4000000000000004</v>
      </c>
      <c r="F221" s="28">
        <v>1021.6</v>
      </c>
      <c r="G221" s="29">
        <v>1.0555555555555556</v>
      </c>
      <c r="H221" s="29">
        <v>1.6666666666666665</v>
      </c>
      <c r="I221" s="26">
        <v>305</v>
      </c>
      <c r="J221" s="29">
        <v>169.4</v>
      </c>
      <c r="K221" s="29">
        <v>412.8</v>
      </c>
      <c r="L221" s="29">
        <v>0</v>
      </c>
    </row>
    <row r="222" spans="1:12">
      <c r="A222" t="s">
        <v>1046</v>
      </c>
      <c r="B222">
        <v>22</v>
      </c>
      <c r="C222" s="29">
        <v>11.5</v>
      </c>
      <c r="D222" s="27">
        <v>79</v>
      </c>
      <c r="E222" s="29">
        <v>7.6</v>
      </c>
      <c r="F222" s="28">
        <v>1021.4</v>
      </c>
      <c r="G222" s="29">
        <v>0.88888888888888895</v>
      </c>
      <c r="H222" s="29">
        <v>1.4166666666666665</v>
      </c>
      <c r="I222" s="26">
        <v>212</v>
      </c>
      <c r="J222" s="29">
        <v>171.4</v>
      </c>
      <c r="K222" s="29">
        <v>414.8</v>
      </c>
      <c r="L222" s="29">
        <v>2</v>
      </c>
    </row>
    <row r="223" spans="1:12">
      <c r="A223" t="s">
        <v>1046</v>
      </c>
      <c r="B223">
        <v>23</v>
      </c>
      <c r="C223" s="29">
        <v>11.8</v>
      </c>
      <c r="D223" s="27">
        <v>71</v>
      </c>
      <c r="E223" s="29">
        <v>6</v>
      </c>
      <c r="F223" s="28">
        <v>1010.6</v>
      </c>
      <c r="G223" s="29">
        <v>3</v>
      </c>
      <c r="H223" s="29">
        <v>4.1944444444444446</v>
      </c>
      <c r="I223" s="26">
        <v>154</v>
      </c>
      <c r="J223" s="29">
        <v>176.4</v>
      </c>
      <c r="K223" s="29">
        <v>419.8</v>
      </c>
      <c r="L223" s="29">
        <v>5</v>
      </c>
    </row>
    <row r="224" spans="1:12">
      <c r="A224" t="s">
        <v>1046</v>
      </c>
      <c r="B224">
        <v>24</v>
      </c>
      <c r="C224" s="29">
        <v>10.7</v>
      </c>
      <c r="D224" s="27">
        <v>78</v>
      </c>
      <c r="E224" s="29">
        <v>6.7</v>
      </c>
      <c r="F224" s="28">
        <v>1013.7</v>
      </c>
      <c r="G224" s="29">
        <v>1.8611111111111112</v>
      </c>
      <c r="H224" s="29">
        <v>2.7777777777777777</v>
      </c>
      <c r="I224" s="26">
        <v>248</v>
      </c>
      <c r="J224" s="29">
        <v>188.7</v>
      </c>
      <c r="K224" s="29">
        <v>432.1</v>
      </c>
      <c r="L224" s="29">
        <v>12.3</v>
      </c>
    </row>
    <row r="225" spans="1:12">
      <c r="A225" t="s">
        <v>1046</v>
      </c>
      <c r="B225">
        <v>25</v>
      </c>
      <c r="C225" s="29">
        <v>12.5</v>
      </c>
      <c r="D225" s="27">
        <v>80</v>
      </c>
      <c r="E225" s="29">
        <v>8.9</v>
      </c>
      <c r="F225" s="28">
        <v>1019.7</v>
      </c>
      <c r="G225" s="29">
        <v>2.1666666666666665</v>
      </c>
      <c r="H225" s="29">
        <v>3.1111111111111107</v>
      </c>
      <c r="I225" s="26">
        <v>242</v>
      </c>
      <c r="J225" s="29">
        <v>189.7</v>
      </c>
      <c r="K225" s="29">
        <v>433.1</v>
      </c>
      <c r="L225" s="29">
        <v>1</v>
      </c>
    </row>
    <row r="226" spans="1:12">
      <c r="A226" t="s">
        <v>1046</v>
      </c>
      <c r="B226">
        <v>26</v>
      </c>
      <c r="C226" s="29">
        <v>11.8</v>
      </c>
      <c r="D226" s="27">
        <v>71</v>
      </c>
      <c r="E226" s="29">
        <v>6.5</v>
      </c>
      <c r="F226" s="28">
        <v>1026.0999999999999</v>
      </c>
      <c r="G226" s="29">
        <v>1.25</v>
      </c>
      <c r="H226" s="29">
        <v>2</v>
      </c>
      <c r="I226" s="26">
        <v>292</v>
      </c>
      <c r="J226" s="29">
        <v>189.7</v>
      </c>
      <c r="K226" s="29">
        <v>433.1</v>
      </c>
      <c r="L226" s="29">
        <v>0</v>
      </c>
    </row>
    <row r="227" spans="1:12">
      <c r="A227" t="s">
        <v>1046</v>
      </c>
      <c r="B227">
        <v>27</v>
      </c>
      <c r="C227" s="29">
        <v>11.9</v>
      </c>
      <c r="D227" s="27">
        <v>94</v>
      </c>
      <c r="E227" s="29">
        <v>11</v>
      </c>
      <c r="F227" s="28">
        <v>1027.5999999999999</v>
      </c>
      <c r="G227" s="29">
        <v>1.0277777777777779</v>
      </c>
      <c r="H227" s="29">
        <v>1.5833333333333333</v>
      </c>
      <c r="I227" s="26">
        <v>233</v>
      </c>
      <c r="J227" s="29">
        <v>192.7</v>
      </c>
      <c r="K227" s="29">
        <v>436.1</v>
      </c>
      <c r="L227" s="29">
        <v>3</v>
      </c>
    </row>
    <row r="228" spans="1:12">
      <c r="A228" t="s">
        <v>1046</v>
      </c>
      <c r="B228">
        <v>28</v>
      </c>
      <c r="C228" s="29">
        <v>11.7</v>
      </c>
      <c r="D228" s="27">
        <v>87</v>
      </c>
      <c r="E228" s="29">
        <v>9.5</v>
      </c>
      <c r="F228" s="28">
        <v>1024.0999999999999</v>
      </c>
      <c r="G228" s="29">
        <v>1.3055555555555556</v>
      </c>
      <c r="H228" s="29">
        <v>2.0277777777777777</v>
      </c>
      <c r="I228" s="26">
        <v>276</v>
      </c>
      <c r="J228" s="29">
        <v>192.7</v>
      </c>
      <c r="K228" s="29">
        <v>436.1</v>
      </c>
      <c r="L228" s="29">
        <v>0</v>
      </c>
    </row>
    <row r="229" spans="1:12">
      <c r="A229" t="s">
        <v>874</v>
      </c>
      <c r="B229">
        <v>1</v>
      </c>
      <c r="C229" s="29">
        <v>12.9</v>
      </c>
      <c r="D229" s="27">
        <v>97</v>
      </c>
      <c r="E229" s="29">
        <v>12.5</v>
      </c>
      <c r="F229" s="28">
        <v>1012.4</v>
      </c>
      <c r="G229" s="29">
        <v>3.9444444444444442</v>
      </c>
      <c r="H229" s="29">
        <v>5.7222222222222223</v>
      </c>
      <c r="I229" s="26">
        <v>260</v>
      </c>
      <c r="J229" s="29">
        <v>8.3000000000000007</v>
      </c>
      <c r="K229" s="29">
        <v>444.4</v>
      </c>
      <c r="L229" s="29">
        <v>8.3000000000000007</v>
      </c>
    </row>
    <row r="230" spans="1:12">
      <c r="A230" t="s">
        <v>874</v>
      </c>
      <c r="B230">
        <v>2</v>
      </c>
      <c r="C230" s="29">
        <v>12.7</v>
      </c>
      <c r="D230" s="27">
        <v>98</v>
      </c>
      <c r="E230" s="29">
        <v>12.4</v>
      </c>
      <c r="F230" s="28">
        <v>1010.5</v>
      </c>
      <c r="G230" s="29">
        <v>3.1111111111111107</v>
      </c>
      <c r="H230" s="29">
        <v>4.6111111111111116</v>
      </c>
      <c r="I230" s="26">
        <v>269</v>
      </c>
      <c r="J230" s="29">
        <v>15.3</v>
      </c>
      <c r="K230" s="29">
        <v>451.4</v>
      </c>
      <c r="L230" s="29">
        <v>7</v>
      </c>
    </row>
    <row r="231" spans="1:12">
      <c r="A231" t="s">
        <v>874</v>
      </c>
      <c r="B231">
        <v>3</v>
      </c>
      <c r="C231" s="29">
        <v>11.4</v>
      </c>
      <c r="D231" s="27">
        <v>70</v>
      </c>
      <c r="E231" s="29">
        <v>5.9</v>
      </c>
      <c r="F231" s="28">
        <v>1015.3</v>
      </c>
      <c r="G231" s="29">
        <v>2.9722222222222219</v>
      </c>
      <c r="H231" s="29">
        <v>4.5</v>
      </c>
      <c r="I231" s="26">
        <v>290</v>
      </c>
      <c r="J231" s="29">
        <v>16.3</v>
      </c>
      <c r="K231" s="29">
        <v>452.4</v>
      </c>
      <c r="L231" s="29">
        <v>1</v>
      </c>
    </row>
    <row r="232" spans="1:12">
      <c r="A232" t="s">
        <v>874</v>
      </c>
      <c r="B232">
        <v>4</v>
      </c>
      <c r="C232" s="29">
        <v>11.4</v>
      </c>
      <c r="D232" s="27">
        <v>80</v>
      </c>
      <c r="E232" s="29">
        <v>8</v>
      </c>
      <c r="F232" s="28">
        <v>1018.9</v>
      </c>
      <c r="G232" s="29">
        <v>1.9166666666666667</v>
      </c>
      <c r="H232" s="29">
        <v>2.8888888888888888</v>
      </c>
      <c r="I232" s="26">
        <v>261</v>
      </c>
      <c r="J232" s="29">
        <v>20.3</v>
      </c>
      <c r="K232" s="29">
        <v>456.4</v>
      </c>
      <c r="L232" s="29">
        <v>4</v>
      </c>
    </row>
    <row r="233" spans="1:12">
      <c r="A233" t="s">
        <v>874</v>
      </c>
      <c r="B233">
        <v>5</v>
      </c>
      <c r="C233" s="29">
        <v>12.7</v>
      </c>
      <c r="D233" s="27">
        <v>84</v>
      </c>
      <c r="E233" s="29">
        <v>9.6999999999999993</v>
      </c>
      <c r="F233" s="28">
        <v>1018.7</v>
      </c>
      <c r="G233" s="29">
        <v>2.7222222222222223</v>
      </c>
      <c r="H233" s="29">
        <v>3.8333333333333335</v>
      </c>
      <c r="I233" s="26">
        <v>326</v>
      </c>
      <c r="J233" s="29">
        <v>23.3</v>
      </c>
      <c r="K233" s="29">
        <v>459.4</v>
      </c>
      <c r="L233" s="29">
        <v>3</v>
      </c>
    </row>
    <row r="234" spans="1:12">
      <c r="A234" t="s">
        <v>874</v>
      </c>
      <c r="B234">
        <v>6</v>
      </c>
      <c r="C234" s="29">
        <v>13.4</v>
      </c>
      <c r="D234" s="27">
        <v>82</v>
      </c>
      <c r="E234" s="29">
        <v>10.199999999999999</v>
      </c>
      <c r="F234" s="28">
        <v>1018.1</v>
      </c>
      <c r="G234" s="29">
        <v>0.88888888888888895</v>
      </c>
      <c r="H234" s="29">
        <v>1.4444444444444444</v>
      </c>
      <c r="I234" s="26">
        <v>332</v>
      </c>
      <c r="J234" s="29">
        <v>23.3</v>
      </c>
      <c r="K234" s="29">
        <v>459.4</v>
      </c>
      <c r="L234" s="29">
        <v>0</v>
      </c>
    </row>
    <row r="235" spans="1:12">
      <c r="A235" t="s">
        <v>874</v>
      </c>
      <c r="B235">
        <v>7</v>
      </c>
      <c r="C235" s="29">
        <v>14.5</v>
      </c>
      <c r="D235" s="27">
        <v>77</v>
      </c>
      <c r="E235" s="29">
        <v>9.8000000000000007</v>
      </c>
      <c r="F235" s="28">
        <v>1017.7</v>
      </c>
      <c r="G235" s="29">
        <v>0.94444444444444442</v>
      </c>
      <c r="H235" s="29">
        <v>1.5277777777777777</v>
      </c>
      <c r="I235" s="26">
        <v>44</v>
      </c>
      <c r="J235" s="29">
        <v>23.3</v>
      </c>
      <c r="K235" s="29">
        <v>459.4</v>
      </c>
      <c r="L235" s="29">
        <v>0</v>
      </c>
    </row>
    <row r="236" spans="1:12">
      <c r="A236" t="s">
        <v>874</v>
      </c>
      <c r="B236">
        <v>8</v>
      </c>
      <c r="C236" s="29">
        <v>17.100000000000001</v>
      </c>
      <c r="D236" s="27">
        <v>54</v>
      </c>
      <c r="E236" s="29">
        <v>6.4</v>
      </c>
      <c r="F236" s="28">
        <v>1014.9</v>
      </c>
      <c r="G236" s="29">
        <v>2.8888888888888888</v>
      </c>
      <c r="H236" s="29">
        <v>4.166666666666667</v>
      </c>
      <c r="I236" s="26">
        <v>109</v>
      </c>
      <c r="J236" s="29">
        <v>23.3</v>
      </c>
      <c r="K236" s="29">
        <v>459.4</v>
      </c>
      <c r="L236" s="29">
        <v>0</v>
      </c>
    </row>
    <row r="237" spans="1:12">
      <c r="A237" t="s">
        <v>874</v>
      </c>
      <c r="B237">
        <v>9</v>
      </c>
      <c r="C237" s="29">
        <v>17.100000000000001</v>
      </c>
      <c r="D237" s="27">
        <v>54</v>
      </c>
      <c r="E237" s="29">
        <v>6.4</v>
      </c>
      <c r="F237" s="28">
        <v>1014.9</v>
      </c>
      <c r="G237" s="29">
        <v>2.8888888888888888</v>
      </c>
      <c r="H237" s="29">
        <v>4.166666666666667</v>
      </c>
      <c r="I237" s="26">
        <v>109</v>
      </c>
      <c r="J237" s="29">
        <v>23.3</v>
      </c>
      <c r="K237" s="29">
        <v>459.4</v>
      </c>
      <c r="L237" s="29">
        <v>0</v>
      </c>
    </row>
    <row r="238" spans="1:12">
      <c r="A238" t="s">
        <v>874</v>
      </c>
      <c r="B238">
        <v>10</v>
      </c>
      <c r="C238" s="29">
        <v>15.9</v>
      </c>
      <c r="D238" s="27">
        <v>37</v>
      </c>
      <c r="E238" s="29">
        <v>0.8</v>
      </c>
      <c r="F238" s="28">
        <v>1016</v>
      </c>
      <c r="G238" s="29">
        <v>2.1111111111111112</v>
      </c>
      <c r="H238" s="29">
        <v>2.9722222222222219</v>
      </c>
      <c r="I238" s="26">
        <v>90</v>
      </c>
      <c r="J238" s="29">
        <v>23.3</v>
      </c>
      <c r="K238" s="29">
        <v>459.4</v>
      </c>
      <c r="L238" s="29">
        <v>0</v>
      </c>
    </row>
    <row r="239" spans="1:12">
      <c r="A239" t="s">
        <v>874</v>
      </c>
      <c r="B239">
        <v>11</v>
      </c>
      <c r="C239" s="29">
        <v>13.8</v>
      </c>
      <c r="D239" s="27">
        <v>51</v>
      </c>
      <c r="E239" s="29">
        <v>2.6</v>
      </c>
      <c r="F239" s="28">
        <v>1015.2</v>
      </c>
      <c r="G239" s="29">
        <v>0.88888888888888895</v>
      </c>
      <c r="H239" s="29">
        <v>1.3888888888888888</v>
      </c>
      <c r="I239" s="26">
        <v>74</v>
      </c>
      <c r="J239" s="29">
        <v>23.3</v>
      </c>
      <c r="K239" s="29">
        <v>459.4</v>
      </c>
      <c r="L239" s="29">
        <v>0</v>
      </c>
    </row>
    <row r="240" spans="1:12">
      <c r="A240" t="s">
        <v>874</v>
      </c>
      <c r="B240">
        <v>12</v>
      </c>
      <c r="C240" s="29">
        <v>14.2</v>
      </c>
      <c r="D240" s="27">
        <v>50</v>
      </c>
      <c r="E240" s="29">
        <v>3.2</v>
      </c>
      <c r="F240" s="28">
        <v>1018.8</v>
      </c>
      <c r="G240" s="29">
        <v>1.0833333333333333</v>
      </c>
      <c r="H240" s="29">
        <v>1.6666666666666665</v>
      </c>
      <c r="I240" s="26">
        <v>119</v>
      </c>
      <c r="J240" s="29">
        <v>23.3</v>
      </c>
      <c r="K240" s="29">
        <v>459.4</v>
      </c>
      <c r="L240" s="29">
        <v>0</v>
      </c>
    </row>
    <row r="241" spans="1:12">
      <c r="A241" t="s">
        <v>874</v>
      </c>
      <c r="B241">
        <v>13</v>
      </c>
      <c r="C241" s="29">
        <v>13.1</v>
      </c>
      <c r="D241" s="27">
        <v>70</v>
      </c>
      <c r="E241" s="29">
        <v>7.2</v>
      </c>
      <c r="F241" s="28">
        <v>1021</v>
      </c>
      <c r="G241" s="29">
        <v>0.80555555555555547</v>
      </c>
      <c r="H241" s="29">
        <v>1.3333333333333333</v>
      </c>
      <c r="I241" s="26">
        <v>282</v>
      </c>
      <c r="J241" s="29">
        <v>23.3</v>
      </c>
      <c r="K241" s="29">
        <v>459.4</v>
      </c>
      <c r="L241" s="29">
        <v>0</v>
      </c>
    </row>
    <row r="242" spans="1:12">
      <c r="A242" t="s">
        <v>874</v>
      </c>
      <c r="B242">
        <v>14</v>
      </c>
      <c r="C242" s="29">
        <v>12.9</v>
      </c>
      <c r="D242" s="27">
        <v>69</v>
      </c>
      <c r="E242" s="29">
        <v>6.4</v>
      </c>
      <c r="F242" s="28">
        <v>1023.7</v>
      </c>
      <c r="G242" s="29">
        <v>0.91666666666666663</v>
      </c>
      <c r="H242" s="29">
        <v>1.4166666666666665</v>
      </c>
      <c r="I242" s="26">
        <v>4</v>
      </c>
      <c r="J242" s="29">
        <v>23.3</v>
      </c>
      <c r="K242" s="29">
        <v>459.4</v>
      </c>
      <c r="L242" s="29">
        <v>0</v>
      </c>
    </row>
    <row r="243" spans="1:12">
      <c r="A243" t="s">
        <v>874</v>
      </c>
      <c r="B243">
        <v>15</v>
      </c>
      <c r="C243" s="29">
        <v>13.7</v>
      </c>
      <c r="D243" s="27">
        <v>71</v>
      </c>
      <c r="E243" s="29">
        <v>7.9</v>
      </c>
      <c r="F243" s="28">
        <v>1025.3</v>
      </c>
      <c r="G243" s="29">
        <v>1</v>
      </c>
      <c r="H243" s="29">
        <v>1.5833333333333333</v>
      </c>
      <c r="I243" s="26">
        <v>328</v>
      </c>
      <c r="J243" s="29">
        <v>23.3</v>
      </c>
      <c r="K243" s="29">
        <v>459.4</v>
      </c>
      <c r="L243" s="29">
        <v>0</v>
      </c>
    </row>
    <row r="244" spans="1:12">
      <c r="A244" t="s">
        <v>874</v>
      </c>
      <c r="B244">
        <v>16</v>
      </c>
      <c r="C244" s="29">
        <v>12.8</v>
      </c>
      <c r="D244" s="27">
        <v>66</v>
      </c>
      <c r="E244" s="29">
        <v>5.6</v>
      </c>
      <c r="F244" s="28">
        <v>1022</v>
      </c>
      <c r="G244" s="29">
        <v>0.80555555555555547</v>
      </c>
      <c r="H244" s="29">
        <v>1.2777777777777777</v>
      </c>
      <c r="I244" s="26">
        <v>328</v>
      </c>
      <c r="J244" s="29">
        <v>23.3</v>
      </c>
      <c r="K244" s="29">
        <v>459.4</v>
      </c>
      <c r="L244" s="29">
        <v>0</v>
      </c>
    </row>
    <row r="245" spans="1:12">
      <c r="A245" t="s">
        <v>874</v>
      </c>
      <c r="B245">
        <v>17</v>
      </c>
      <c r="C245" s="29">
        <v>12.4</v>
      </c>
      <c r="D245" s="27">
        <v>74</v>
      </c>
      <c r="E245" s="29">
        <v>7.5</v>
      </c>
      <c r="F245" s="28">
        <v>1020.4</v>
      </c>
      <c r="G245" s="29">
        <v>1.1944444444444444</v>
      </c>
      <c r="H245" s="29">
        <v>1.8611111111111112</v>
      </c>
      <c r="I245" s="26">
        <v>330</v>
      </c>
      <c r="J245" s="29">
        <v>23.3</v>
      </c>
      <c r="K245" s="29">
        <v>459.4</v>
      </c>
      <c r="L245" s="29">
        <v>0</v>
      </c>
    </row>
    <row r="246" spans="1:12">
      <c r="A246" t="s">
        <v>874</v>
      </c>
      <c r="B246">
        <v>18</v>
      </c>
      <c r="C246" s="29">
        <v>13.2</v>
      </c>
      <c r="D246" s="27">
        <v>69</v>
      </c>
      <c r="E246" s="29">
        <v>7.4</v>
      </c>
      <c r="F246" s="28">
        <v>1020</v>
      </c>
      <c r="G246" s="29">
        <v>2.5555555555555554</v>
      </c>
      <c r="H246" s="29">
        <v>3.6111111111111112</v>
      </c>
      <c r="I246" s="26">
        <v>341</v>
      </c>
      <c r="J246" s="29">
        <v>23.3</v>
      </c>
      <c r="K246" s="29">
        <v>459.4</v>
      </c>
      <c r="L246" s="29">
        <v>0</v>
      </c>
    </row>
    <row r="247" spans="1:12">
      <c r="A247" t="s">
        <v>874</v>
      </c>
      <c r="B247">
        <v>19</v>
      </c>
      <c r="C247" s="29">
        <v>13.7</v>
      </c>
      <c r="D247" s="27">
        <v>76</v>
      </c>
      <c r="E247" s="29">
        <v>8.9</v>
      </c>
      <c r="F247" s="28">
        <v>1016.9</v>
      </c>
      <c r="G247" s="29">
        <v>0.86111111111111116</v>
      </c>
      <c r="H247" s="29">
        <v>1.4166666666666665</v>
      </c>
      <c r="I247" s="26">
        <v>300</v>
      </c>
      <c r="J247" s="29">
        <v>23.3</v>
      </c>
      <c r="K247" s="29">
        <v>459.4</v>
      </c>
      <c r="L247" s="29">
        <v>0</v>
      </c>
    </row>
    <row r="248" spans="1:12">
      <c r="A248" t="s">
        <v>874</v>
      </c>
      <c r="B248">
        <v>20</v>
      </c>
      <c r="C248" s="29">
        <v>13.2</v>
      </c>
      <c r="D248" s="27">
        <v>80</v>
      </c>
      <c r="E248" s="29">
        <v>9.6</v>
      </c>
      <c r="F248" s="28">
        <v>1017.8</v>
      </c>
      <c r="G248" s="29">
        <v>0.86111111111111116</v>
      </c>
      <c r="H248" s="29">
        <v>1.4722222222222221</v>
      </c>
      <c r="I248" s="26">
        <v>276</v>
      </c>
      <c r="J248" s="29">
        <v>23.3</v>
      </c>
      <c r="K248" s="29">
        <v>459.4</v>
      </c>
      <c r="L248" s="29">
        <v>0</v>
      </c>
    </row>
    <row r="249" spans="1:12">
      <c r="A249" t="s">
        <v>874</v>
      </c>
      <c r="B249">
        <v>21</v>
      </c>
      <c r="C249" s="29">
        <v>12.7</v>
      </c>
      <c r="D249" s="27">
        <v>87</v>
      </c>
      <c r="E249" s="29">
        <v>10.5</v>
      </c>
      <c r="F249" s="28">
        <v>1018</v>
      </c>
      <c r="G249" s="29">
        <v>1.3055555555555556</v>
      </c>
      <c r="H249" s="29">
        <v>1.9166666666666667</v>
      </c>
      <c r="I249" s="26">
        <v>219</v>
      </c>
      <c r="J249" s="29">
        <v>28.3</v>
      </c>
      <c r="K249" s="29">
        <v>464.4</v>
      </c>
      <c r="L249" s="29">
        <v>5</v>
      </c>
    </row>
    <row r="250" spans="1:12">
      <c r="A250" t="s">
        <v>874</v>
      </c>
      <c r="B250">
        <v>22</v>
      </c>
      <c r="C250" s="29">
        <v>11.2</v>
      </c>
      <c r="D250" s="27">
        <v>78</v>
      </c>
      <c r="E250" s="29">
        <v>7</v>
      </c>
      <c r="F250" s="28">
        <v>1017.9</v>
      </c>
      <c r="G250" s="29">
        <v>1.5277777777777777</v>
      </c>
      <c r="H250" s="29">
        <v>2.3888888888888888</v>
      </c>
      <c r="I250" s="26">
        <v>316</v>
      </c>
      <c r="J250" s="29">
        <v>30.3</v>
      </c>
      <c r="K250" s="29">
        <v>466.4</v>
      </c>
      <c r="L250" s="29">
        <v>2</v>
      </c>
    </row>
    <row r="251" spans="1:12">
      <c r="A251" t="s">
        <v>874</v>
      </c>
      <c r="B251">
        <v>23</v>
      </c>
      <c r="C251" s="29">
        <v>10.5</v>
      </c>
      <c r="D251" s="27">
        <v>67</v>
      </c>
      <c r="E251" s="29">
        <v>4.4000000000000004</v>
      </c>
      <c r="F251" s="28">
        <v>1019.6</v>
      </c>
      <c r="G251" s="29">
        <v>0.83333333333333326</v>
      </c>
      <c r="H251" s="29">
        <v>1.3055555555555556</v>
      </c>
      <c r="I251" s="26">
        <v>330</v>
      </c>
      <c r="J251" s="29">
        <v>30.3</v>
      </c>
      <c r="K251" s="29">
        <v>466.4</v>
      </c>
      <c r="L251" s="29">
        <v>0</v>
      </c>
    </row>
    <row r="252" spans="1:12">
      <c r="A252" t="s">
        <v>874</v>
      </c>
      <c r="B252">
        <v>24</v>
      </c>
      <c r="C252" s="29">
        <v>10.7</v>
      </c>
      <c r="D252" s="27">
        <v>79</v>
      </c>
      <c r="E252" s="29">
        <v>6.9</v>
      </c>
      <c r="F252" s="28">
        <v>1020.2</v>
      </c>
      <c r="G252" s="29">
        <v>2.1388888888888888</v>
      </c>
      <c r="H252" s="29">
        <v>3.1944444444444442</v>
      </c>
      <c r="I252" s="26">
        <v>282</v>
      </c>
      <c r="J252" s="29">
        <v>33.299999999999997</v>
      </c>
      <c r="K252" s="29">
        <v>469.4</v>
      </c>
      <c r="L252" s="29">
        <v>3</v>
      </c>
    </row>
    <row r="253" spans="1:12">
      <c r="A253" t="s">
        <v>874</v>
      </c>
      <c r="B253">
        <v>25</v>
      </c>
      <c r="C253" s="29">
        <v>12.1</v>
      </c>
      <c r="D253" s="27">
        <v>74</v>
      </c>
      <c r="E253" s="29">
        <v>7.5</v>
      </c>
      <c r="F253" s="28">
        <v>1024.8</v>
      </c>
      <c r="G253" s="29">
        <v>3.0555555555555554</v>
      </c>
      <c r="H253" s="29">
        <v>4.583333333333333</v>
      </c>
      <c r="I253" s="26">
        <v>299</v>
      </c>
      <c r="J253" s="29">
        <v>34.299999999999997</v>
      </c>
      <c r="K253" s="29">
        <v>470.4</v>
      </c>
      <c r="L253" s="29">
        <v>1</v>
      </c>
    </row>
    <row r="254" spans="1:12">
      <c r="A254" t="s">
        <v>874</v>
      </c>
      <c r="B254">
        <v>26</v>
      </c>
      <c r="C254" s="29">
        <v>10.7</v>
      </c>
      <c r="D254" s="27">
        <v>67</v>
      </c>
      <c r="E254" s="29">
        <v>4.5</v>
      </c>
      <c r="F254" s="28">
        <v>1020.2</v>
      </c>
      <c r="G254" s="29">
        <v>3.1388888888888888</v>
      </c>
      <c r="H254" s="29">
        <v>4.4722222222222223</v>
      </c>
      <c r="I254" s="26">
        <v>330</v>
      </c>
      <c r="J254" s="29">
        <v>35.299999999999997</v>
      </c>
      <c r="K254" s="29">
        <v>471.4</v>
      </c>
      <c r="L254" s="29">
        <v>1</v>
      </c>
    </row>
    <row r="255" spans="1:12">
      <c r="A255" t="s">
        <v>874</v>
      </c>
      <c r="B255">
        <v>27</v>
      </c>
      <c r="C255" s="29">
        <v>9.6</v>
      </c>
      <c r="D255" s="27">
        <v>75</v>
      </c>
      <c r="E255" s="29">
        <v>5.0999999999999996</v>
      </c>
      <c r="F255" s="28">
        <v>1007.6</v>
      </c>
      <c r="G255" s="29">
        <v>2.1388888888888888</v>
      </c>
      <c r="H255" s="29">
        <v>3.0277777777777777</v>
      </c>
      <c r="I255" s="26">
        <v>127</v>
      </c>
      <c r="J255" s="29">
        <v>36.299999999999997</v>
      </c>
      <c r="K255" s="29">
        <v>472.4</v>
      </c>
      <c r="L255" s="29">
        <v>1</v>
      </c>
    </row>
    <row r="256" spans="1:12">
      <c r="A256" t="s">
        <v>874</v>
      </c>
      <c r="B256">
        <v>28</v>
      </c>
      <c r="C256" s="29">
        <v>10.4</v>
      </c>
      <c r="D256" s="27">
        <v>75</v>
      </c>
      <c r="E256" s="29">
        <v>5.7</v>
      </c>
      <c r="F256" s="28">
        <v>1000.4</v>
      </c>
      <c r="G256" s="29">
        <v>1.4166666666666665</v>
      </c>
      <c r="H256" s="29">
        <v>2.1388888888888888</v>
      </c>
      <c r="I256" s="26">
        <v>155</v>
      </c>
      <c r="J256" s="29">
        <v>40.299999999999997</v>
      </c>
      <c r="K256" s="29">
        <v>476.4</v>
      </c>
      <c r="L256" s="29">
        <v>4</v>
      </c>
    </row>
    <row r="257" spans="1:12">
      <c r="A257" t="s">
        <v>874</v>
      </c>
      <c r="B257">
        <v>29</v>
      </c>
      <c r="C257" s="29">
        <v>10.199999999999999</v>
      </c>
      <c r="D257" s="27">
        <v>70</v>
      </c>
      <c r="E257" s="29">
        <v>4.4000000000000004</v>
      </c>
      <c r="F257" s="28">
        <v>1002.1</v>
      </c>
      <c r="G257" s="29">
        <v>1</v>
      </c>
      <c r="H257" s="29">
        <v>1.5555555555555554</v>
      </c>
      <c r="I257" s="26">
        <v>301</v>
      </c>
      <c r="J257" s="29">
        <v>40.299999999999997</v>
      </c>
      <c r="K257" s="29">
        <v>476.4</v>
      </c>
      <c r="L257" s="29">
        <v>0</v>
      </c>
    </row>
    <row r="258" spans="1:12">
      <c r="A258" t="s">
        <v>874</v>
      </c>
      <c r="B258">
        <v>30</v>
      </c>
      <c r="C258" s="29">
        <v>11.2</v>
      </c>
      <c r="D258" s="27">
        <v>79</v>
      </c>
      <c r="E258" s="29">
        <v>7.6</v>
      </c>
      <c r="F258" s="28">
        <v>1005.2</v>
      </c>
      <c r="G258" s="29">
        <v>2.5555555555555554</v>
      </c>
      <c r="H258" s="29">
        <v>3.5277777777777777</v>
      </c>
      <c r="I258" s="26">
        <v>180</v>
      </c>
      <c r="J258" s="29">
        <v>48.7</v>
      </c>
      <c r="K258" s="29">
        <v>484.8</v>
      </c>
      <c r="L258" s="29">
        <v>8.4</v>
      </c>
    </row>
    <row r="259" spans="1:12">
      <c r="A259" t="s">
        <v>874</v>
      </c>
      <c r="B259">
        <v>31</v>
      </c>
      <c r="C259" s="29">
        <v>13.2</v>
      </c>
      <c r="D259" s="27">
        <v>87</v>
      </c>
      <c r="E259" s="29">
        <v>11</v>
      </c>
      <c r="F259" s="28">
        <v>1004</v>
      </c>
      <c r="G259" s="29">
        <v>3.0555555555555554</v>
      </c>
      <c r="H259" s="29">
        <v>4.1111111111111116</v>
      </c>
      <c r="I259" s="26">
        <v>165</v>
      </c>
      <c r="J259" s="29">
        <v>72.400000000000006</v>
      </c>
      <c r="K259" s="29">
        <v>508.5</v>
      </c>
      <c r="L259" s="29">
        <v>23.7</v>
      </c>
    </row>
    <row r="260" spans="1:12" s="31" customFormat="1">
      <c r="A260" s="31" t="s">
        <v>875</v>
      </c>
      <c r="B260" s="31">
        <v>1</v>
      </c>
      <c r="C260" s="32">
        <v>12.5</v>
      </c>
      <c r="D260" s="33">
        <v>88</v>
      </c>
      <c r="E260" s="32">
        <v>10.6</v>
      </c>
      <c r="F260" s="34">
        <v>997.6</v>
      </c>
      <c r="G260" s="32">
        <v>3.75</v>
      </c>
      <c r="H260" s="32">
        <v>4.9722222222222214</v>
      </c>
      <c r="I260" s="35">
        <v>173</v>
      </c>
      <c r="J260" s="32">
        <v>45.3</v>
      </c>
      <c r="K260" s="32">
        <v>553.79999999999995</v>
      </c>
      <c r="L260" s="32">
        <v>45.3</v>
      </c>
    </row>
    <row r="261" spans="1:12">
      <c r="A261" t="s">
        <v>875</v>
      </c>
      <c r="B261">
        <v>2</v>
      </c>
      <c r="C261" s="29">
        <v>12</v>
      </c>
      <c r="D261" s="27">
        <v>81</v>
      </c>
      <c r="E261" s="29">
        <v>8.6999999999999993</v>
      </c>
      <c r="F261" s="28">
        <v>996.5</v>
      </c>
      <c r="G261" s="29">
        <v>2.0555555555555558</v>
      </c>
      <c r="H261" s="29">
        <v>2.8611111111111112</v>
      </c>
      <c r="I261" s="26">
        <v>175</v>
      </c>
      <c r="J261" s="29">
        <v>53.9</v>
      </c>
      <c r="K261" s="29">
        <v>562.4</v>
      </c>
      <c r="L261" s="29">
        <v>8.6</v>
      </c>
    </row>
    <row r="262" spans="1:12">
      <c r="A262" t="s">
        <v>875</v>
      </c>
      <c r="B262">
        <v>3</v>
      </c>
      <c r="C262" s="29">
        <v>11.5</v>
      </c>
      <c r="D262" s="27">
        <v>81</v>
      </c>
      <c r="E262" s="29">
        <v>8.1</v>
      </c>
      <c r="F262" s="28">
        <v>1005.2</v>
      </c>
      <c r="G262" s="29">
        <v>1.4444444444444444</v>
      </c>
      <c r="H262" s="29">
        <v>2.1944444444444446</v>
      </c>
      <c r="I262" s="26">
        <v>267</v>
      </c>
      <c r="J262" s="29">
        <v>58.9</v>
      </c>
      <c r="K262" s="29">
        <v>567.4</v>
      </c>
      <c r="L262" s="29">
        <v>5</v>
      </c>
    </row>
    <row r="263" spans="1:12">
      <c r="A263" t="s">
        <v>875</v>
      </c>
      <c r="B263">
        <v>4</v>
      </c>
      <c r="C263" s="29">
        <v>12.3</v>
      </c>
      <c r="D263" s="27">
        <v>93</v>
      </c>
      <c r="E263" s="29">
        <v>11.3</v>
      </c>
      <c r="F263" s="28">
        <v>1014.8</v>
      </c>
      <c r="G263" s="29">
        <v>2.4722222222222223</v>
      </c>
      <c r="H263" s="29">
        <v>3.3888888888888884</v>
      </c>
      <c r="I263" s="26">
        <v>202</v>
      </c>
      <c r="J263" s="29">
        <v>86.4</v>
      </c>
      <c r="K263" s="29">
        <v>594.9</v>
      </c>
      <c r="L263" s="29">
        <v>27.5</v>
      </c>
    </row>
    <row r="264" spans="1:12">
      <c r="A264" t="s">
        <v>875</v>
      </c>
      <c r="B264">
        <v>5</v>
      </c>
      <c r="C264" s="29">
        <v>16</v>
      </c>
      <c r="D264" s="27">
        <v>92</v>
      </c>
      <c r="E264" s="29">
        <v>14.5</v>
      </c>
      <c r="F264" s="28">
        <v>1018.2</v>
      </c>
      <c r="G264" s="29">
        <v>2.0277777777777777</v>
      </c>
      <c r="H264" s="29">
        <v>2.8611111111111112</v>
      </c>
      <c r="I264" s="26">
        <v>233</v>
      </c>
      <c r="J264" s="29">
        <v>87.4</v>
      </c>
      <c r="K264" s="29">
        <v>595.9</v>
      </c>
      <c r="L264" s="29">
        <v>1</v>
      </c>
    </row>
    <row r="265" spans="1:12">
      <c r="A265" t="s">
        <v>875</v>
      </c>
      <c r="B265">
        <v>6</v>
      </c>
      <c r="C265" s="29">
        <v>16.399999999999999</v>
      </c>
      <c r="D265" s="27">
        <v>79</v>
      </c>
      <c r="E265" s="29">
        <v>12.4</v>
      </c>
      <c r="F265" s="28">
        <v>1016.8</v>
      </c>
      <c r="G265" s="29">
        <v>0.77777777777777768</v>
      </c>
      <c r="H265" s="29">
        <v>1.1388888888888888</v>
      </c>
      <c r="I265" s="26">
        <v>257</v>
      </c>
      <c r="J265" s="29">
        <v>87.4</v>
      </c>
      <c r="K265" s="29">
        <v>595.9</v>
      </c>
      <c r="L265" s="29">
        <v>0</v>
      </c>
    </row>
    <row r="266" spans="1:12">
      <c r="A266" t="s">
        <v>875</v>
      </c>
      <c r="B266">
        <v>7</v>
      </c>
      <c r="C266" s="29">
        <v>14.8</v>
      </c>
      <c r="D266" s="27">
        <v>78</v>
      </c>
      <c r="E266" s="29">
        <v>10.4</v>
      </c>
      <c r="F266" s="28">
        <v>1016.8</v>
      </c>
      <c r="G266" s="29">
        <v>1.1666666666666667</v>
      </c>
      <c r="H266" s="29">
        <v>1.8333333333333333</v>
      </c>
      <c r="I266" s="26">
        <v>324</v>
      </c>
      <c r="J266" s="29">
        <v>87.4</v>
      </c>
      <c r="K266" s="29">
        <v>595.9</v>
      </c>
      <c r="L266" s="29">
        <v>0</v>
      </c>
    </row>
    <row r="267" spans="1:12">
      <c r="A267" t="s">
        <v>875</v>
      </c>
      <c r="B267">
        <v>8</v>
      </c>
      <c r="C267" s="29">
        <v>17.100000000000001</v>
      </c>
      <c r="D267" s="27">
        <v>78</v>
      </c>
      <c r="E267" s="29">
        <v>12.6</v>
      </c>
      <c r="F267" s="28">
        <v>1017.5</v>
      </c>
      <c r="G267" s="29">
        <v>1.7222222222222223</v>
      </c>
      <c r="H267" s="29">
        <v>2.3888888888888888</v>
      </c>
      <c r="I267" s="26">
        <v>345</v>
      </c>
      <c r="J267" s="29">
        <v>87.4</v>
      </c>
      <c r="K267" s="29">
        <v>595.9</v>
      </c>
      <c r="L267" s="29">
        <v>0</v>
      </c>
    </row>
    <row r="268" spans="1:12">
      <c r="A268" t="s">
        <v>875</v>
      </c>
      <c r="B268">
        <v>9</v>
      </c>
      <c r="C268" s="29">
        <v>19.2</v>
      </c>
      <c r="D268" s="27">
        <v>62</v>
      </c>
      <c r="E268" s="29">
        <v>11.2</v>
      </c>
      <c r="F268" s="28">
        <v>1013.3</v>
      </c>
      <c r="G268" s="29">
        <v>1.8055555555555556</v>
      </c>
      <c r="H268" s="29">
        <v>2.6111111111111112</v>
      </c>
      <c r="I268" s="26">
        <v>108</v>
      </c>
      <c r="J268" s="29">
        <v>87.4</v>
      </c>
      <c r="K268" s="29">
        <v>595.9</v>
      </c>
      <c r="L268" s="29">
        <v>0</v>
      </c>
    </row>
    <row r="269" spans="1:12">
      <c r="A269" t="s">
        <v>875</v>
      </c>
      <c r="B269">
        <v>10</v>
      </c>
      <c r="C269" s="29">
        <v>16.7</v>
      </c>
      <c r="D269" s="27">
        <v>70</v>
      </c>
      <c r="E269" s="29">
        <v>10.8</v>
      </c>
      <c r="F269" s="28">
        <v>1012.5</v>
      </c>
      <c r="G269" s="29">
        <v>1.0833333333333333</v>
      </c>
      <c r="H269" s="29">
        <v>1.6111111111111109</v>
      </c>
      <c r="I269" s="26">
        <v>268</v>
      </c>
      <c r="J269" s="29">
        <v>87.4</v>
      </c>
      <c r="K269" s="29">
        <v>595.9</v>
      </c>
      <c r="L269" s="29">
        <v>0</v>
      </c>
    </row>
    <row r="270" spans="1:12">
      <c r="A270" t="s">
        <v>875</v>
      </c>
      <c r="B270">
        <v>11</v>
      </c>
      <c r="C270" s="29">
        <v>14.1</v>
      </c>
      <c r="D270" s="27">
        <v>82</v>
      </c>
      <c r="E270" s="29">
        <v>11.1</v>
      </c>
      <c r="F270" s="28">
        <v>1011.8</v>
      </c>
      <c r="G270" s="29">
        <v>1.0555555555555556</v>
      </c>
      <c r="H270" s="29">
        <v>1.5833333333333333</v>
      </c>
      <c r="I270" s="26">
        <v>329</v>
      </c>
      <c r="J270" s="29">
        <v>87.4</v>
      </c>
      <c r="K270" s="29">
        <v>595.9</v>
      </c>
      <c r="L270" s="29">
        <v>0</v>
      </c>
    </row>
    <row r="271" spans="1:12">
      <c r="A271" t="s">
        <v>875</v>
      </c>
      <c r="B271">
        <v>12</v>
      </c>
      <c r="C271" s="29">
        <v>15.7</v>
      </c>
      <c r="D271" s="27">
        <v>80</v>
      </c>
      <c r="E271" s="29">
        <v>12</v>
      </c>
      <c r="F271" s="28">
        <v>1012.8</v>
      </c>
      <c r="G271" s="29">
        <v>0.88888888888888895</v>
      </c>
      <c r="H271" s="29">
        <v>1.4444444444444444</v>
      </c>
      <c r="I271" s="26">
        <v>271</v>
      </c>
      <c r="J271" s="29">
        <v>87.4</v>
      </c>
      <c r="K271" s="29">
        <v>595.9</v>
      </c>
      <c r="L271" s="29">
        <v>0</v>
      </c>
    </row>
    <row r="272" spans="1:12">
      <c r="A272" t="s">
        <v>875</v>
      </c>
      <c r="B272">
        <v>13</v>
      </c>
      <c r="C272" s="29">
        <v>17.100000000000001</v>
      </c>
      <c r="D272" s="27">
        <v>76</v>
      </c>
      <c r="E272" s="29">
        <v>12.4</v>
      </c>
      <c r="F272" s="28">
        <v>1015.6</v>
      </c>
      <c r="G272" s="29">
        <v>1.0833333333333333</v>
      </c>
      <c r="H272" s="29">
        <v>1.6111111111111109</v>
      </c>
      <c r="I272" s="26">
        <v>329</v>
      </c>
      <c r="J272" s="29">
        <v>87.4</v>
      </c>
      <c r="K272" s="29">
        <v>595.9</v>
      </c>
      <c r="L272" s="29">
        <v>0</v>
      </c>
    </row>
    <row r="273" spans="1:12">
      <c r="A273" t="s">
        <v>875</v>
      </c>
      <c r="B273">
        <v>14</v>
      </c>
      <c r="C273" s="29">
        <v>16.7</v>
      </c>
      <c r="D273" s="27">
        <v>76</v>
      </c>
      <c r="E273" s="29">
        <v>12</v>
      </c>
      <c r="F273" s="28">
        <v>1011.5</v>
      </c>
      <c r="G273" s="29">
        <v>0.75</v>
      </c>
      <c r="H273" s="29">
        <v>1.1666666666666667</v>
      </c>
      <c r="I273" s="26">
        <v>81</v>
      </c>
      <c r="J273" s="29">
        <v>87.4</v>
      </c>
      <c r="K273" s="29">
        <v>595.9</v>
      </c>
      <c r="L273" s="29">
        <v>0</v>
      </c>
    </row>
    <row r="274" spans="1:12">
      <c r="A274" t="s">
        <v>875</v>
      </c>
      <c r="B274">
        <v>15</v>
      </c>
      <c r="C274" s="29">
        <v>18.600000000000001</v>
      </c>
      <c r="D274" s="27">
        <v>67</v>
      </c>
      <c r="E274" s="29">
        <v>12</v>
      </c>
      <c r="F274" s="28">
        <v>1012</v>
      </c>
      <c r="G274" s="29">
        <v>1.0833333333333333</v>
      </c>
      <c r="H274" s="29">
        <v>1.6388888888888888</v>
      </c>
      <c r="I274" s="26">
        <v>199</v>
      </c>
      <c r="J274" s="29">
        <v>87.4</v>
      </c>
      <c r="K274" s="29">
        <v>595.9</v>
      </c>
      <c r="L274" s="29">
        <v>0</v>
      </c>
    </row>
    <row r="275" spans="1:12">
      <c r="A275" t="s">
        <v>875</v>
      </c>
      <c r="B275">
        <v>16</v>
      </c>
      <c r="C275" s="29">
        <v>16.100000000000001</v>
      </c>
      <c r="D275" s="27">
        <v>79</v>
      </c>
      <c r="E275" s="29">
        <v>12.3</v>
      </c>
      <c r="F275" s="28">
        <v>1016.1</v>
      </c>
      <c r="G275" s="29">
        <v>0.91666666666666663</v>
      </c>
      <c r="H275" s="29">
        <v>1.5277777777777777</v>
      </c>
      <c r="I275" s="26">
        <v>264</v>
      </c>
      <c r="J275" s="29">
        <v>87.4</v>
      </c>
      <c r="K275" s="29">
        <v>595.9</v>
      </c>
      <c r="L275" s="29">
        <v>0</v>
      </c>
    </row>
    <row r="276" spans="1:12">
      <c r="A276" t="s">
        <v>875</v>
      </c>
      <c r="B276">
        <v>17</v>
      </c>
      <c r="C276" s="29">
        <v>17</v>
      </c>
      <c r="D276" s="27">
        <v>82</v>
      </c>
      <c r="E276" s="29">
        <v>13.7</v>
      </c>
      <c r="F276" s="28">
        <v>1015.6</v>
      </c>
      <c r="G276" s="29">
        <v>1.3611111111111112</v>
      </c>
      <c r="H276" s="29">
        <v>2.1111111111111112</v>
      </c>
      <c r="I276" s="26">
        <v>315</v>
      </c>
      <c r="J276" s="29">
        <v>87.4</v>
      </c>
      <c r="K276" s="29">
        <v>595.9</v>
      </c>
      <c r="L276" s="29">
        <v>0</v>
      </c>
    </row>
    <row r="277" spans="1:12">
      <c r="A277" t="s">
        <v>875</v>
      </c>
      <c r="B277">
        <v>18</v>
      </c>
      <c r="C277" s="29">
        <v>14.7</v>
      </c>
      <c r="D277" s="27">
        <v>87</v>
      </c>
      <c r="E277" s="29">
        <v>12.4</v>
      </c>
      <c r="F277" s="28">
        <v>1014</v>
      </c>
      <c r="G277" s="29">
        <v>1.4722222222222221</v>
      </c>
      <c r="H277" s="29">
        <v>2.3611111111111112</v>
      </c>
      <c r="I277" s="26">
        <v>303</v>
      </c>
      <c r="J277" s="29">
        <v>87.4</v>
      </c>
      <c r="K277" s="29">
        <v>595.9</v>
      </c>
      <c r="L277" s="29">
        <v>0</v>
      </c>
    </row>
    <row r="278" spans="1:12">
      <c r="A278" t="s">
        <v>875</v>
      </c>
      <c r="B278">
        <v>19</v>
      </c>
      <c r="C278" s="29">
        <v>15</v>
      </c>
      <c r="D278" s="27">
        <v>71</v>
      </c>
      <c r="E278" s="29">
        <v>9.6</v>
      </c>
      <c r="F278" s="28">
        <v>1008</v>
      </c>
      <c r="G278" s="29">
        <v>1.7777777777777779</v>
      </c>
      <c r="H278" s="29">
        <v>2.6944444444444442</v>
      </c>
      <c r="I278" s="26">
        <v>298</v>
      </c>
      <c r="J278" s="29">
        <v>87.4</v>
      </c>
      <c r="K278" s="29">
        <v>595.9</v>
      </c>
      <c r="L278" s="29">
        <v>0</v>
      </c>
    </row>
    <row r="279" spans="1:12">
      <c r="A279" t="s">
        <v>875</v>
      </c>
      <c r="B279">
        <v>20</v>
      </c>
      <c r="C279" s="29">
        <v>13.8</v>
      </c>
      <c r="D279" s="27">
        <v>76</v>
      </c>
      <c r="E279" s="29">
        <v>9.3000000000000007</v>
      </c>
      <c r="F279" s="28">
        <v>1001.9</v>
      </c>
      <c r="G279" s="29">
        <v>1.5</v>
      </c>
      <c r="H279" s="29">
        <v>2.1388888888888888</v>
      </c>
      <c r="I279" s="26">
        <v>47</v>
      </c>
      <c r="J279" s="29">
        <v>87.4</v>
      </c>
      <c r="K279" s="29">
        <v>595.9</v>
      </c>
      <c r="L279" s="29">
        <v>0</v>
      </c>
    </row>
    <row r="280" spans="1:12">
      <c r="A280" t="s">
        <v>875</v>
      </c>
      <c r="B280">
        <v>21</v>
      </c>
      <c r="C280" s="29">
        <v>14.7</v>
      </c>
      <c r="D280" s="27">
        <v>71</v>
      </c>
      <c r="E280" s="29">
        <v>9</v>
      </c>
      <c r="F280" s="28">
        <v>1003.3</v>
      </c>
      <c r="G280" s="29">
        <v>1.4722222222222221</v>
      </c>
      <c r="H280" s="29">
        <v>2.0833333333333335</v>
      </c>
      <c r="I280" s="26">
        <v>292</v>
      </c>
      <c r="J280" s="29">
        <v>87.4</v>
      </c>
      <c r="K280" s="29">
        <v>595.9</v>
      </c>
      <c r="L280" s="29">
        <v>0</v>
      </c>
    </row>
    <row r="281" spans="1:12">
      <c r="A281" t="s">
        <v>875</v>
      </c>
      <c r="B281">
        <v>22</v>
      </c>
      <c r="C281" s="29">
        <v>15.1</v>
      </c>
      <c r="D281" s="27">
        <v>70</v>
      </c>
      <c r="E281" s="29">
        <v>9.1999999999999993</v>
      </c>
      <c r="F281" s="28">
        <v>1012.2</v>
      </c>
      <c r="G281" s="29">
        <v>2.2222222222222223</v>
      </c>
      <c r="H281" s="29">
        <v>3.0555555555555554</v>
      </c>
      <c r="I281" s="26">
        <v>213</v>
      </c>
      <c r="J281" s="29">
        <v>87.4</v>
      </c>
      <c r="K281" s="29">
        <v>595.9</v>
      </c>
      <c r="L281" s="29">
        <v>0</v>
      </c>
    </row>
    <row r="282" spans="1:12">
      <c r="A282" t="s">
        <v>875</v>
      </c>
      <c r="B282">
        <v>23</v>
      </c>
      <c r="C282" s="29">
        <v>15.1</v>
      </c>
      <c r="D282" s="27">
        <v>68</v>
      </c>
      <c r="E282" s="29">
        <v>8.8000000000000007</v>
      </c>
      <c r="F282" s="28">
        <v>1017.4</v>
      </c>
      <c r="G282" s="29">
        <v>1.6111111111111109</v>
      </c>
      <c r="H282" s="29">
        <v>2.3055555555555558</v>
      </c>
      <c r="I282" s="26">
        <v>265</v>
      </c>
      <c r="J282" s="29">
        <v>93.4</v>
      </c>
      <c r="K282" s="29">
        <v>601.9</v>
      </c>
      <c r="L282" s="29">
        <v>6</v>
      </c>
    </row>
    <row r="283" spans="1:12">
      <c r="A283" t="s">
        <v>875</v>
      </c>
      <c r="B283">
        <v>24</v>
      </c>
      <c r="C283" s="29">
        <v>12.4</v>
      </c>
      <c r="D283" s="27">
        <v>71</v>
      </c>
      <c r="E283" s="29">
        <v>7</v>
      </c>
      <c r="F283" s="28">
        <v>1017.7</v>
      </c>
      <c r="G283" s="29">
        <v>1.8888888888888888</v>
      </c>
      <c r="H283" s="29">
        <v>2.833333333333333</v>
      </c>
      <c r="I283" s="26">
        <v>258</v>
      </c>
      <c r="J283" s="29">
        <v>93.4</v>
      </c>
      <c r="K283" s="29">
        <v>601.9</v>
      </c>
      <c r="L283" s="29">
        <v>0</v>
      </c>
    </row>
    <row r="284" spans="1:12">
      <c r="A284" t="s">
        <v>875</v>
      </c>
      <c r="B284">
        <v>25</v>
      </c>
      <c r="C284" s="29">
        <v>13.3</v>
      </c>
      <c r="D284" s="27">
        <v>67</v>
      </c>
      <c r="E284" s="29">
        <v>6.7</v>
      </c>
      <c r="F284" s="28">
        <v>1020.9</v>
      </c>
      <c r="G284" s="29">
        <v>1.9722222222222221</v>
      </c>
      <c r="H284" s="29">
        <v>2.75</v>
      </c>
      <c r="I284" s="26">
        <v>222</v>
      </c>
      <c r="J284" s="29">
        <v>93.4</v>
      </c>
      <c r="K284" s="29">
        <v>601.9</v>
      </c>
      <c r="L284" s="29">
        <v>0</v>
      </c>
    </row>
    <row r="285" spans="1:12">
      <c r="A285" t="s">
        <v>875</v>
      </c>
      <c r="B285">
        <v>26</v>
      </c>
      <c r="C285" s="29">
        <v>14.8</v>
      </c>
      <c r="D285" s="27">
        <v>92</v>
      </c>
      <c r="E285" s="29">
        <v>13.6</v>
      </c>
      <c r="F285" s="28">
        <v>1018.7</v>
      </c>
      <c r="G285" s="29">
        <v>2.5833333333333335</v>
      </c>
      <c r="H285" s="29">
        <v>3.6388888888888888</v>
      </c>
      <c r="I285" s="26">
        <v>244</v>
      </c>
      <c r="J285" s="29">
        <v>97.4</v>
      </c>
      <c r="K285" s="29">
        <v>605.9</v>
      </c>
      <c r="L285" s="29">
        <v>4</v>
      </c>
    </row>
    <row r="286" spans="1:12">
      <c r="A286" t="s">
        <v>875</v>
      </c>
      <c r="B286">
        <v>27</v>
      </c>
      <c r="C286" s="29">
        <v>13.9</v>
      </c>
      <c r="D286" s="27">
        <v>75</v>
      </c>
      <c r="E286" s="29">
        <v>8.9</v>
      </c>
      <c r="F286" s="28">
        <v>1019.6</v>
      </c>
      <c r="G286" s="29">
        <v>1.2777777777777777</v>
      </c>
      <c r="H286" s="29">
        <v>1.8611111111111112</v>
      </c>
      <c r="I286" s="26">
        <v>318</v>
      </c>
      <c r="J286" s="29">
        <v>97.4</v>
      </c>
      <c r="K286" s="29">
        <v>605.9</v>
      </c>
      <c r="L286" s="29">
        <v>0</v>
      </c>
    </row>
    <row r="287" spans="1:12">
      <c r="A287" t="s">
        <v>875</v>
      </c>
      <c r="B287">
        <v>28</v>
      </c>
      <c r="C287" s="29">
        <v>14.2</v>
      </c>
      <c r="D287" s="27">
        <v>76</v>
      </c>
      <c r="E287" s="29">
        <v>9.8000000000000007</v>
      </c>
      <c r="F287" s="28">
        <v>1017.6</v>
      </c>
      <c r="G287" s="29">
        <v>1.4166666666666665</v>
      </c>
      <c r="H287" s="29">
        <v>2.0555555555555558</v>
      </c>
      <c r="I287" s="26">
        <v>325</v>
      </c>
      <c r="J287" s="29">
        <v>97.4</v>
      </c>
      <c r="K287" s="29">
        <v>605.9</v>
      </c>
      <c r="L287" s="29">
        <v>0</v>
      </c>
    </row>
    <row r="288" spans="1:12">
      <c r="A288" t="s">
        <v>875</v>
      </c>
      <c r="B288">
        <v>29</v>
      </c>
      <c r="C288" s="29">
        <v>16.899999999999999</v>
      </c>
      <c r="D288" s="27">
        <v>69</v>
      </c>
      <c r="E288" s="29">
        <v>10.6</v>
      </c>
      <c r="F288" s="28">
        <v>1016.1</v>
      </c>
      <c r="G288" s="29">
        <v>2.5</v>
      </c>
      <c r="H288" s="29">
        <v>3.5555555555555558</v>
      </c>
      <c r="I288" s="26">
        <v>337</v>
      </c>
      <c r="J288" s="29">
        <v>97.4</v>
      </c>
      <c r="K288" s="29">
        <v>605.9</v>
      </c>
      <c r="L288" s="29">
        <v>0</v>
      </c>
    </row>
    <row r="289" spans="1:12">
      <c r="A289" t="s">
        <v>875</v>
      </c>
      <c r="B289">
        <v>30</v>
      </c>
      <c r="C289" s="29">
        <v>17.3</v>
      </c>
      <c r="D289" s="27">
        <v>79</v>
      </c>
      <c r="E289" s="29">
        <v>13.3</v>
      </c>
      <c r="F289" s="28">
        <v>1015.4</v>
      </c>
      <c r="G289" s="29">
        <v>2.1944444444444446</v>
      </c>
      <c r="H289" s="29">
        <v>3.0555555555555554</v>
      </c>
      <c r="I289" s="26">
        <v>337</v>
      </c>
      <c r="J289" s="29">
        <v>97.4</v>
      </c>
      <c r="K289" s="29">
        <v>605.9</v>
      </c>
      <c r="L289" s="29">
        <v>0</v>
      </c>
    </row>
    <row r="290" spans="1:12">
      <c r="A290" t="s">
        <v>876</v>
      </c>
      <c r="B290">
        <v>1</v>
      </c>
      <c r="C290" s="29">
        <v>16.899999999999999</v>
      </c>
      <c r="D290" s="27">
        <v>71</v>
      </c>
      <c r="E290" s="29">
        <v>11.3</v>
      </c>
      <c r="F290" s="28">
        <v>1016.4</v>
      </c>
      <c r="G290" s="29">
        <v>2.5555555555555554</v>
      </c>
      <c r="H290" s="29">
        <v>3.5277777777777777</v>
      </c>
      <c r="I290" s="26">
        <v>332</v>
      </c>
      <c r="J290" s="29">
        <v>0</v>
      </c>
      <c r="K290" s="29">
        <v>605.9</v>
      </c>
      <c r="L290" s="29">
        <v>0</v>
      </c>
    </row>
    <row r="291" spans="1:12">
      <c r="A291" t="s">
        <v>876</v>
      </c>
      <c r="B291">
        <v>2</v>
      </c>
      <c r="C291" s="29">
        <v>18.7</v>
      </c>
      <c r="D291" s="27">
        <v>65</v>
      </c>
      <c r="E291" s="29">
        <v>11</v>
      </c>
      <c r="F291" s="28">
        <v>1015.4</v>
      </c>
      <c r="G291" s="29">
        <v>1.5555555555555554</v>
      </c>
      <c r="H291" s="29">
        <v>2.2777777777777777</v>
      </c>
      <c r="I291" s="26">
        <v>327</v>
      </c>
      <c r="J291" s="29">
        <v>0</v>
      </c>
      <c r="K291" s="29">
        <v>605.9</v>
      </c>
      <c r="L291" s="29">
        <v>0</v>
      </c>
    </row>
    <row r="292" spans="1:12">
      <c r="A292" t="s">
        <v>876</v>
      </c>
      <c r="B292">
        <v>3</v>
      </c>
      <c r="C292" s="29">
        <v>19.5</v>
      </c>
      <c r="D292" s="27">
        <v>53</v>
      </c>
      <c r="E292" s="29">
        <v>7.8</v>
      </c>
      <c r="F292" s="28">
        <v>1013.7</v>
      </c>
      <c r="G292" s="29">
        <v>1.4166666666666665</v>
      </c>
      <c r="H292" s="29">
        <v>2.0555555555555558</v>
      </c>
      <c r="I292" s="26">
        <v>20</v>
      </c>
      <c r="J292" s="29">
        <v>0</v>
      </c>
      <c r="K292" s="29">
        <v>605.9</v>
      </c>
      <c r="L292" s="29">
        <v>0</v>
      </c>
    </row>
    <row r="293" spans="1:12">
      <c r="A293" t="s">
        <v>876</v>
      </c>
      <c r="B293">
        <v>4</v>
      </c>
      <c r="C293" s="29">
        <v>19.5</v>
      </c>
      <c r="D293" s="27">
        <v>49</v>
      </c>
      <c r="E293" s="29">
        <v>7.2</v>
      </c>
      <c r="F293" s="28">
        <v>1011.3</v>
      </c>
      <c r="G293" s="29">
        <v>1</v>
      </c>
      <c r="H293" s="29">
        <v>1.5</v>
      </c>
      <c r="I293" s="26">
        <v>176</v>
      </c>
      <c r="J293" s="29">
        <v>0</v>
      </c>
      <c r="K293" s="29">
        <v>605.9</v>
      </c>
      <c r="L293" s="29">
        <v>0</v>
      </c>
    </row>
    <row r="294" spans="1:12">
      <c r="A294" t="s">
        <v>876</v>
      </c>
      <c r="B294">
        <v>5</v>
      </c>
      <c r="C294" s="29">
        <v>17.399999999999999</v>
      </c>
      <c r="D294" s="27">
        <v>65</v>
      </c>
      <c r="E294" s="29">
        <v>10.3</v>
      </c>
      <c r="F294" s="28">
        <v>1011.4</v>
      </c>
      <c r="G294" s="29">
        <v>1</v>
      </c>
      <c r="H294" s="29">
        <v>1.6111111111111109</v>
      </c>
      <c r="I294" s="26">
        <v>312</v>
      </c>
      <c r="J294" s="29">
        <v>0</v>
      </c>
      <c r="K294" s="29">
        <v>605.9</v>
      </c>
      <c r="L294" s="29">
        <v>0</v>
      </c>
    </row>
    <row r="295" spans="1:12">
      <c r="A295" t="s">
        <v>876</v>
      </c>
      <c r="B295">
        <v>6</v>
      </c>
      <c r="C295" s="29">
        <v>17.100000000000001</v>
      </c>
      <c r="D295" s="27">
        <v>72</v>
      </c>
      <c r="E295" s="29">
        <v>11.4</v>
      </c>
      <c r="F295" s="28">
        <v>1014.7</v>
      </c>
      <c r="G295" s="29">
        <v>1.6111111111111109</v>
      </c>
      <c r="H295" s="29">
        <v>2.3888888888888888</v>
      </c>
      <c r="I295" s="26">
        <v>321</v>
      </c>
      <c r="J295" s="29">
        <v>0</v>
      </c>
      <c r="K295" s="29">
        <v>605.9</v>
      </c>
      <c r="L295" s="29">
        <v>0</v>
      </c>
    </row>
    <row r="296" spans="1:12">
      <c r="A296" t="s">
        <v>876</v>
      </c>
      <c r="B296">
        <v>7</v>
      </c>
      <c r="C296" s="29">
        <v>17.399999999999999</v>
      </c>
      <c r="D296" s="27">
        <v>73</v>
      </c>
      <c r="E296" s="29">
        <v>12.1</v>
      </c>
      <c r="F296" s="28">
        <v>1018</v>
      </c>
      <c r="G296" s="29">
        <v>2.5277777777777777</v>
      </c>
      <c r="H296" s="29">
        <v>3.6111111111111112</v>
      </c>
      <c r="I296" s="26">
        <v>325</v>
      </c>
      <c r="J296" s="29">
        <v>0</v>
      </c>
      <c r="K296" s="29">
        <v>605.9</v>
      </c>
      <c r="L296" s="29">
        <v>0</v>
      </c>
    </row>
    <row r="297" spans="1:12">
      <c r="A297" t="s">
        <v>876</v>
      </c>
      <c r="B297">
        <v>8</v>
      </c>
      <c r="C297" s="29">
        <v>16.8</v>
      </c>
      <c r="D297" s="27">
        <v>73</v>
      </c>
      <c r="E297" s="29">
        <v>11.6</v>
      </c>
      <c r="F297" s="28">
        <v>1019.5</v>
      </c>
      <c r="G297" s="29">
        <v>3.1944444444444442</v>
      </c>
      <c r="H297" s="29">
        <v>4.416666666666667</v>
      </c>
      <c r="I297" s="26">
        <v>328</v>
      </c>
      <c r="J297" s="29">
        <v>0</v>
      </c>
      <c r="K297" s="29">
        <v>605.9</v>
      </c>
      <c r="L297" s="29">
        <v>0</v>
      </c>
    </row>
    <row r="298" spans="1:12">
      <c r="A298" t="s">
        <v>876</v>
      </c>
      <c r="B298">
        <v>9</v>
      </c>
      <c r="C298" s="29">
        <v>17.399999999999999</v>
      </c>
      <c r="D298" s="27">
        <v>80</v>
      </c>
      <c r="E298" s="29">
        <v>13.8</v>
      </c>
      <c r="F298" s="28">
        <v>1019.5</v>
      </c>
      <c r="G298" s="29">
        <v>2.833333333333333</v>
      </c>
      <c r="H298" s="29">
        <v>3.9166666666666665</v>
      </c>
      <c r="I298" s="26">
        <v>326</v>
      </c>
      <c r="J298" s="29">
        <v>0</v>
      </c>
      <c r="K298" s="29">
        <v>605.9</v>
      </c>
      <c r="L298" s="29">
        <v>0</v>
      </c>
    </row>
    <row r="299" spans="1:12">
      <c r="A299" t="s">
        <v>876</v>
      </c>
      <c r="B299">
        <v>10</v>
      </c>
      <c r="C299" s="29">
        <v>17.100000000000001</v>
      </c>
      <c r="D299" s="27">
        <v>81</v>
      </c>
      <c r="E299" s="29">
        <v>13.5</v>
      </c>
      <c r="F299" s="28">
        <v>1019.8</v>
      </c>
      <c r="G299" s="29">
        <v>2.9722222222222219</v>
      </c>
      <c r="H299" s="29">
        <v>4.1388888888888893</v>
      </c>
      <c r="I299" s="26">
        <v>332</v>
      </c>
      <c r="J299" s="29">
        <v>0</v>
      </c>
      <c r="K299" s="29">
        <v>605.9</v>
      </c>
      <c r="L299" s="29">
        <v>0</v>
      </c>
    </row>
    <row r="300" spans="1:12">
      <c r="A300" t="s">
        <v>876</v>
      </c>
      <c r="B300">
        <v>11</v>
      </c>
      <c r="C300" s="29">
        <v>17.3</v>
      </c>
      <c r="D300" s="27">
        <v>69</v>
      </c>
      <c r="E300" s="29">
        <v>10.9</v>
      </c>
      <c r="F300" s="28">
        <v>1018.5</v>
      </c>
      <c r="G300" s="29">
        <v>2.6944444444444442</v>
      </c>
      <c r="H300" s="29">
        <v>3.75</v>
      </c>
      <c r="I300" s="26">
        <v>328</v>
      </c>
      <c r="J300" s="29">
        <v>0</v>
      </c>
      <c r="K300" s="29">
        <v>605.9</v>
      </c>
      <c r="L300" s="29">
        <v>0</v>
      </c>
    </row>
    <row r="301" spans="1:12">
      <c r="A301" t="s">
        <v>876</v>
      </c>
      <c r="B301">
        <v>12</v>
      </c>
      <c r="C301" s="29">
        <v>15.6</v>
      </c>
      <c r="D301" s="27">
        <v>66</v>
      </c>
      <c r="E301" s="29">
        <v>8.5</v>
      </c>
      <c r="F301" s="28">
        <v>1015.7</v>
      </c>
      <c r="G301" s="29">
        <v>2.0833333333333335</v>
      </c>
      <c r="H301" s="29">
        <v>2.9722222222222219</v>
      </c>
      <c r="I301" s="26">
        <v>325</v>
      </c>
      <c r="J301" s="29">
        <v>0</v>
      </c>
      <c r="K301" s="29">
        <v>605.9</v>
      </c>
      <c r="L301" s="29">
        <v>0</v>
      </c>
    </row>
    <row r="302" spans="1:12">
      <c r="A302" t="s">
        <v>876</v>
      </c>
      <c r="B302">
        <v>13</v>
      </c>
      <c r="C302" s="29">
        <v>16.8</v>
      </c>
      <c r="D302" s="27">
        <v>61</v>
      </c>
      <c r="E302" s="29">
        <v>8.1999999999999993</v>
      </c>
      <c r="F302" s="28">
        <v>1017</v>
      </c>
      <c r="G302" s="29">
        <v>1.5555555555555554</v>
      </c>
      <c r="H302" s="29">
        <v>2.3055555555555558</v>
      </c>
      <c r="I302" s="26">
        <v>327</v>
      </c>
      <c r="J302" s="29">
        <v>0</v>
      </c>
      <c r="K302" s="29">
        <v>605.9</v>
      </c>
      <c r="L302" s="29">
        <v>0</v>
      </c>
    </row>
    <row r="303" spans="1:12">
      <c r="A303" t="s">
        <v>876</v>
      </c>
      <c r="B303">
        <v>14</v>
      </c>
      <c r="C303" s="29">
        <v>20.8</v>
      </c>
      <c r="D303" s="27">
        <v>46</v>
      </c>
      <c r="E303" s="29">
        <v>7.2</v>
      </c>
      <c r="F303" s="28">
        <v>1016.9</v>
      </c>
      <c r="G303" s="29">
        <v>1.8888888888888888</v>
      </c>
      <c r="H303" s="29">
        <v>2.7777777777777777</v>
      </c>
      <c r="I303" s="26">
        <v>94</v>
      </c>
      <c r="J303" s="29">
        <v>0</v>
      </c>
      <c r="K303" s="29">
        <v>605.9</v>
      </c>
      <c r="L303" s="29">
        <v>0</v>
      </c>
    </row>
    <row r="304" spans="1:12">
      <c r="A304" t="s">
        <v>876</v>
      </c>
      <c r="B304">
        <v>15</v>
      </c>
      <c r="C304" s="29">
        <v>22.1</v>
      </c>
      <c r="D304" s="27">
        <v>42</v>
      </c>
      <c r="E304" s="29">
        <v>7.7</v>
      </c>
      <c r="F304" s="28">
        <v>1014.7</v>
      </c>
      <c r="G304" s="29">
        <v>1.9722222222222221</v>
      </c>
      <c r="H304" s="29">
        <v>2.833333333333333</v>
      </c>
      <c r="I304" s="26">
        <v>126</v>
      </c>
      <c r="J304" s="29">
        <v>0</v>
      </c>
      <c r="K304" s="29">
        <v>605.9</v>
      </c>
      <c r="L304" s="29">
        <v>0</v>
      </c>
    </row>
    <row r="305" spans="1:12">
      <c r="A305" t="s">
        <v>876</v>
      </c>
      <c r="B305">
        <v>16</v>
      </c>
      <c r="C305" s="29">
        <v>19</v>
      </c>
      <c r="D305" s="27">
        <v>56.999999999999993</v>
      </c>
      <c r="E305" s="29">
        <v>9.6999999999999993</v>
      </c>
      <c r="F305" s="28">
        <v>1011.8</v>
      </c>
      <c r="G305" s="29">
        <v>1.1388888888888888</v>
      </c>
      <c r="H305" s="29">
        <v>1.8055555555555556</v>
      </c>
      <c r="I305" s="26">
        <v>322</v>
      </c>
      <c r="J305" s="29">
        <v>7.3</v>
      </c>
      <c r="K305" s="29">
        <v>613.20000000000005</v>
      </c>
      <c r="L305" s="29">
        <v>7.3</v>
      </c>
    </row>
    <row r="306" spans="1:12">
      <c r="A306" t="s">
        <v>876</v>
      </c>
      <c r="B306">
        <v>17</v>
      </c>
      <c r="C306" s="29">
        <v>19.600000000000001</v>
      </c>
      <c r="D306" s="27">
        <v>49</v>
      </c>
      <c r="E306" s="29">
        <v>6.5</v>
      </c>
      <c r="F306" s="28">
        <v>1009.8</v>
      </c>
      <c r="G306" s="29">
        <v>1.1666666666666667</v>
      </c>
      <c r="H306" s="29">
        <v>1.75</v>
      </c>
      <c r="I306" s="26">
        <v>349</v>
      </c>
      <c r="J306" s="29">
        <v>7.3</v>
      </c>
      <c r="K306" s="29">
        <v>613.20000000000005</v>
      </c>
      <c r="L306" s="29">
        <v>0</v>
      </c>
    </row>
    <row r="307" spans="1:12">
      <c r="A307" t="s">
        <v>876</v>
      </c>
      <c r="B307">
        <v>18</v>
      </c>
      <c r="C307" s="29">
        <v>18.3</v>
      </c>
      <c r="D307" s="27">
        <v>53</v>
      </c>
      <c r="E307" s="29">
        <v>7.7</v>
      </c>
      <c r="F307" s="28">
        <v>1008</v>
      </c>
      <c r="G307" s="29">
        <v>1.1388888888888888</v>
      </c>
      <c r="H307" s="29">
        <v>1.7777777777777779</v>
      </c>
      <c r="I307" s="26">
        <v>250</v>
      </c>
      <c r="J307" s="29">
        <v>7.3</v>
      </c>
      <c r="K307" s="29">
        <v>613.20000000000005</v>
      </c>
      <c r="L307" s="29">
        <v>0</v>
      </c>
    </row>
    <row r="308" spans="1:12">
      <c r="A308" t="s">
        <v>876</v>
      </c>
      <c r="B308">
        <v>19</v>
      </c>
      <c r="C308" s="29">
        <v>14.5</v>
      </c>
      <c r="D308" s="27">
        <v>70</v>
      </c>
      <c r="E308" s="29">
        <v>9.1</v>
      </c>
      <c r="F308" s="28">
        <v>1004.8</v>
      </c>
      <c r="G308" s="29">
        <v>1.6388888888888888</v>
      </c>
      <c r="H308" s="29">
        <v>2.4722222222222223</v>
      </c>
      <c r="I308" s="26">
        <v>242</v>
      </c>
      <c r="J308" s="29">
        <v>8.3000000000000007</v>
      </c>
      <c r="K308" s="29">
        <v>614.20000000000005</v>
      </c>
      <c r="L308" s="29">
        <v>1</v>
      </c>
    </row>
    <row r="309" spans="1:12">
      <c r="A309" t="s">
        <v>876</v>
      </c>
      <c r="B309">
        <v>20</v>
      </c>
      <c r="C309" s="29">
        <v>13</v>
      </c>
      <c r="D309" s="27">
        <v>77</v>
      </c>
      <c r="E309" s="29">
        <v>8.8000000000000007</v>
      </c>
      <c r="F309" s="28">
        <v>1003.2</v>
      </c>
      <c r="G309" s="29">
        <v>2.4166666666666665</v>
      </c>
      <c r="H309" s="29">
        <v>3.3888888888888884</v>
      </c>
      <c r="I309" s="26">
        <v>169</v>
      </c>
      <c r="J309" s="29">
        <v>27.9</v>
      </c>
      <c r="K309" s="29">
        <v>633.79999999999995</v>
      </c>
      <c r="L309" s="29">
        <v>19.600000000000001</v>
      </c>
    </row>
    <row r="310" spans="1:12">
      <c r="A310" t="s">
        <v>876</v>
      </c>
      <c r="B310">
        <v>21</v>
      </c>
      <c r="C310" s="29">
        <v>11.5</v>
      </c>
      <c r="D310" s="27">
        <v>88</v>
      </c>
      <c r="E310" s="29">
        <v>9.6</v>
      </c>
      <c r="F310" s="28">
        <v>1002.6</v>
      </c>
      <c r="G310" s="29">
        <v>2.6666666666666665</v>
      </c>
      <c r="H310" s="29">
        <v>3.6388888888888888</v>
      </c>
      <c r="I310" s="26">
        <v>202</v>
      </c>
      <c r="J310" s="29">
        <v>63.8</v>
      </c>
      <c r="K310" s="29">
        <v>669.7</v>
      </c>
      <c r="L310" s="29">
        <v>35.9</v>
      </c>
    </row>
    <row r="311" spans="1:12">
      <c r="A311" t="s">
        <v>876</v>
      </c>
      <c r="B311">
        <v>22</v>
      </c>
      <c r="C311" s="29">
        <v>14.3</v>
      </c>
      <c r="D311" s="27">
        <v>82</v>
      </c>
      <c r="E311" s="29">
        <v>11</v>
      </c>
      <c r="F311" s="28">
        <v>1011.6</v>
      </c>
      <c r="G311" s="29">
        <v>2.4722222222222223</v>
      </c>
      <c r="H311" s="29">
        <v>3.4722222222222223</v>
      </c>
      <c r="I311" s="26">
        <v>228</v>
      </c>
      <c r="J311" s="29">
        <v>83.3</v>
      </c>
      <c r="K311" s="29">
        <v>689.2</v>
      </c>
      <c r="L311" s="29">
        <v>19.5</v>
      </c>
    </row>
    <row r="312" spans="1:12">
      <c r="A312" t="s">
        <v>876</v>
      </c>
      <c r="B312">
        <v>23</v>
      </c>
      <c r="C312" s="29">
        <v>14.7</v>
      </c>
      <c r="D312" s="27">
        <v>72</v>
      </c>
      <c r="E312" s="29">
        <v>9</v>
      </c>
      <c r="F312" s="28">
        <v>1015.7</v>
      </c>
      <c r="G312" s="29">
        <v>1.75</v>
      </c>
      <c r="H312" s="29">
        <v>2.6666666666666665</v>
      </c>
      <c r="I312" s="26">
        <v>323</v>
      </c>
      <c r="J312" s="29">
        <v>83.3</v>
      </c>
      <c r="K312" s="29">
        <v>689.2</v>
      </c>
      <c r="L312" s="29">
        <v>0</v>
      </c>
    </row>
    <row r="313" spans="1:12">
      <c r="A313" t="s">
        <v>876</v>
      </c>
      <c r="B313">
        <v>24</v>
      </c>
      <c r="C313" s="29">
        <v>13.6</v>
      </c>
      <c r="D313" s="27">
        <v>61</v>
      </c>
      <c r="E313" s="29">
        <v>5.4</v>
      </c>
      <c r="F313" s="28">
        <v>1015</v>
      </c>
      <c r="G313" s="29">
        <v>2.1666666666666665</v>
      </c>
      <c r="H313" s="29">
        <v>3.083333333333333</v>
      </c>
      <c r="I313" s="26">
        <v>333</v>
      </c>
      <c r="J313" s="29">
        <v>83.3</v>
      </c>
      <c r="K313" s="29">
        <v>689.2</v>
      </c>
      <c r="L313" s="29">
        <v>0</v>
      </c>
    </row>
    <row r="314" spans="1:12">
      <c r="A314" t="s">
        <v>876</v>
      </c>
      <c r="B314">
        <v>25</v>
      </c>
      <c r="C314" s="29">
        <v>14</v>
      </c>
      <c r="D314" s="27">
        <v>60</v>
      </c>
      <c r="E314" s="29">
        <v>5.9</v>
      </c>
      <c r="F314" s="28">
        <v>1016.5</v>
      </c>
      <c r="G314" s="29">
        <v>2.1111111111111112</v>
      </c>
      <c r="H314" s="29">
        <v>3.0555555555555554</v>
      </c>
      <c r="I314" s="26">
        <v>330</v>
      </c>
      <c r="J314" s="29">
        <v>83.3</v>
      </c>
      <c r="K314" s="29">
        <v>689.2</v>
      </c>
      <c r="L314" s="29">
        <v>0</v>
      </c>
    </row>
    <row r="315" spans="1:12">
      <c r="A315" t="s">
        <v>876</v>
      </c>
      <c r="B315">
        <v>26</v>
      </c>
      <c r="C315" s="29">
        <v>14</v>
      </c>
      <c r="D315" s="27">
        <v>61</v>
      </c>
      <c r="E315" s="29">
        <v>5.9</v>
      </c>
      <c r="F315" s="28">
        <v>1019.8</v>
      </c>
      <c r="G315" s="29">
        <v>2.3888888888888888</v>
      </c>
      <c r="H315" s="29">
        <v>3.3611111111111107</v>
      </c>
      <c r="I315" s="26">
        <v>336</v>
      </c>
      <c r="J315" s="29">
        <v>83.3</v>
      </c>
      <c r="K315" s="29">
        <v>689.2</v>
      </c>
      <c r="L315" s="29">
        <v>0</v>
      </c>
    </row>
    <row r="316" spans="1:12">
      <c r="A316" t="s">
        <v>876</v>
      </c>
      <c r="B316">
        <v>27</v>
      </c>
      <c r="C316" s="29">
        <v>14.9</v>
      </c>
      <c r="D316" s="27">
        <v>72</v>
      </c>
      <c r="E316" s="29">
        <v>9.5</v>
      </c>
      <c r="F316" s="28">
        <v>1017.8</v>
      </c>
      <c r="G316" s="29">
        <v>1.6388888888888888</v>
      </c>
      <c r="H316" s="29">
        <v>2.3611111111111112</v>
      </c>
      <c r="I316" s="26">
        <v>256</v>
      </c>
      <c r="J316" s="29">
        <v>83.3</v>
      </c>
      <c r="K316" s="29">
        <v>689.2</v>
      </c>
      <c r="L316" s="29">
        <v>0</v>
      </c>
    </row>
    <row r="317" spans="1:12">
      <c r="A317" t="s">
        <v>876</v>
      </c>
      <c r="B317">
        <v>28</v>
      </c>
      <c r="C317" s="29">
        <v>16.2</v>
      </c>
      <c r="D317" s="27">
        <v>80</v>
      </c>
      <c r="E317" s="29">
        <v>12.4</v>
      </c>
      <c r="F317" s="28">
        <v>1017.2</v>
      </c>
      <c r="G317" s="29">
        <v>1.2777777777777777</v>
      </c>
      <c r="H317" s="29">
        <v>2.0833333333333335</v>
      </c>
      <c r="I317" s="26">
        <v>288</v>
      </c>
      <c r="J317" s="29">
        <v>84.3</v>
      </c>
      <c r="K317" s="29">
        <v>690.2</v>
      </c>
      <c r="L317" s="29">
        <v>1</v>
      </c>
    </row>
    <row r="318" spans="1:12">
      <c r="A318" t="s">
        <v>876</v>
      </c>
      <c r="B318">
        <v>29</v>
      </c>
      <c r="C318" s="29">
        <v>15.8</v>
      </c>
      <c r="D318" s="27">
        <v>91</v>
      </c>
      <c r="E318" s="29">
        <v>14.3</v>
      </c>
      <c r="F318" s="28">
        <v>1018.6</v>
      </c>
      <c r="G318" s="29">
        <v>1.1666666666666667</v>
      </c>
      <c r="H318" s="29">
        <v>1.8055555555555556</v>
      </c>
      <c r="I318" s="26">
        <v>265</v>
      </c>
      <c r="J318" s="29">
        <v>85.3</v>
      </c>
      <c r="K318" s="29">
        <v>691.2</v>
      </c>
      <c r="L318" s="29">
        <v>1</v>
      </c>
    </row>
    <row r="319" spans="1:12">
      <c r="A319" t="s">
        <v>876</v>
      </c>
      <c r="B319">
        <v>30</v>
      </c>
      <c r="C319" s="29">
        <v>16.8</v>
      </c>
      <c r="D319" s="27">
        <v>77</v>
      </c>
      <c r="E319" s="29">
        <v>12.4</v>
      </c>
      <c r="F319" s="28">
        <v>1019.1</v>
      </c>
      <c r="G319" s="29">
        <v>2.833333333333333</v>
      </c>
      <c r="H319" s="29">
        <v>4.1388888888888893</v>
      </c>
      <c r="I319" s="26">
        <v>322</v>
      </c>
      <c r="J319" s="29">
        <v>85.3</v>
      </c>
      <c r="K319" s="29">
        <v>691.2</v>
      </c>
      <c r="L319" s="29">
        <v>0</v>
      </c>
    </row>
    <row r="320" spans="1:12">
      <c r="A320" t="s">
        <v>876</v>
      </c>
      <c r="B320">
        <v>31</v>
      </c>
      <c r="C320" s="29">
        <v>17.7</v>
      </c>
      <c r="D320" s="27">
        <v>67</v>
      </c>
      <c r="E320" s="29">
        <v>10.6</v>
      </c>
      <c r="F320" s="28">
        <v>1017.2</v>
      </c>
      <c r="G320" s="29">
        <v>2.25</v>
      </c>
      <c r="H320" s="29">
        <v>3.333333333333333</v>
      </c>
      <c r="I320" s="26">
        <v>324</v>
      </c>
      <c r="J320" s="29">
        <v>85.3</v>
      </c>
      <c r="K320" s="29">
        <v>691.2</v>
      </c>
      <c r="L320" s="29">
        <v>0</v>
      </c>
    </row>
    <row r="321" spans="1:12">
      <c r="A321" t="s">
        <v>976</v>
      </c>
      <c r="B321">
        <v>1</v>
      </c>
      <c r="C321" s="29">
        <v>17.7</v>
      </c>
      <c r="D321" s="27">
        <v>61</v>
      </c>
      <c r="E321" s="29">
        <v>9.1</v>
      </c>
      <c r="F321" s="28">
        <v>1018.2</v>
      </c>
      <c r="G321" s="29">
        <v>1.5277777777777777</v>
      </c>
      <c r="H321" s="29">
        <v>2.3055555555555558</v>
      </c>
      <c r="I321" s="26">
        <v>329</v>
      </c>
      <c r="J321" s="29">
        <v>0</v>
      </c>
      <c r="K321" s="29">
        <v>691.2</v>
      </c>
      <c r="L321" s="29">
        <v>0</v>
      </c>
    </row>
    <row r="322" spans="1:12">
      <c r="A322" t="s">
        <v>976</v>
      </c>
      <c r="B322">
        <v>2</v>
      </c>
      <c r="C322" s="29">
        <v>17.100000000000001</v>
      </c>
      <c r="D322" s="27">
        <v>78</v>
      </c>
      <c r="E322" s="29">
        <v>12.9</v>
      </c>
      <c r="F322" s="28">
        <v>1019.3</v>
      </c>
      <c r="G322" s="29">
        <v>2.1388888888888888</v>
      </c>
      <c r="H322" s="29">
        <v>3.1388888888888888</v>
      </c>
      <c r="I322" s="26">
        <v>321</v>
      </c>
      <c r="J322" s="29">
        <v>0</v>
      </c>
      <c r="K322" s="29">
        <v>691.2</v>
      </c>
      <c r="L322" s="29">
        <v>0</v>
      </c>
    </row>
    <row r="323" spans="1:12">
      <c r="A323" t="s">
        <v>976</v>
      </c>
      <c r="B323">
        <v>3</v>
      </c>
      <c r="C323" s="29">
        <v>16.7</v>
      </c>
      <c r="D323" s="27">
        <v>74</v>
      </c>
      <c r="E323" s="29">
        <v>11.7</v>
      </c>
      <c r="F323" s="28">
        <v>1018</v>
      </c>
      <c r="G323" s="29">
        <v>2.5833333333333335</v>
      </c>
      <c r="H323" s="29">
        <v>3.6944444444444446</v>
      </c>
      <c r="I323" s="26">
        <v>325</v>
      </c>
      <c r="J323" s="29">
        <v>0</v>
      </c>
      <c r="K323" s="29">
        <v>691.2</v>
      </c>
      <c r="L323" s="29">
        <v>0</v>
      </c>
    </row>
    <row r="324" spans="1:12">
      <c r="A324" t="s">
        <v>976</v>
      </c>
      <c r="B324">
        <v>4</v>
      </c>
      <c r="C324" s="29">
        <v>16.5</v>
      </c>
      <c r="D324" s="27">
        <v>71</v>
      </c>
      <c r="E324" s="29">
        <v>10.4</v>
      </c>
      <c r="F324" s="28">
        <v>1015.3</v>
      </c>
      <c r="G324" s="29">
        <v>2.2222222222222223</v>
      </c>
      <c r="H324" s="29">
        <v>3.3055555555555554</v>
      </c>
      <c r="I324" s="26">
        <v>319</v>
      </c>
      <c r="J324" s="29">
        <v>0</v>
      </c>
      <c r="K324" s="29">
        <v>691.2</v>
      </c>
      <c r="L324" s="29">
        <v>0</v>
      </c>
    </row>
    <row r="325" spans="1:12">
      <c r="A325" t="s">
        <v>976</v>
      </c>
      <c r="B325">
        <v>5</v>
      </c>
      <c r="C325" s="29">
        <v>16.899999999999999</v>
      </c>
      <c r="D325" s="27">
        <v>70</v>
      </c>
      <c r="E325" s="29">
        <v>10.9</v>
      </c>
      <c r="F325" s="28">
        <v>1010</v>
      </c>
      <c r="G325" s="29">
        <v>1.4722222222222221</v>
      </c>
      <c r="H325" s="29">
        <v>2.1666666666666665</v>
      </c>
      <c r="I325" s="26">
        <v>211</v>
      </c>
      <c r="J325" s="29">
        <v>0</v>
      </c>
      <c r="K325" s="29">
        <v>691.2</v>
      </c>
      <c r="L325" s="29">
        <v>0</v>
      </c>
    </row>
    <row r="326" spans="1:12">
      <c r="A326" t="s">
        <v>976</v>
      </c>
      <c r="B326">
        <v>6</v>
      </c>
      <c r="C326" s="29">
        <v>16.7</v>
      </c>
      <c r="D326" s="27">
        <v>84</v>
      </c>
      <c r="E326" s="29">
        <v>14</v>
      </c>
      <c r="F326" s="28">
        <v>1006.8</v>
      </c>
      <c r="G326" s="29">
        <v>2.75</v>
      </c>
      <c r="H326" s="29">
        <v>3.7777777777777777</v>
      </c>
      <c r="I326" s="26">
        <v>185</v>
      </c>
      <c r="J326" s="29">
        <v>5.3</v>
      </c>
      <c r="K326" s="29">
        <v>696.5</v>
      </c>
      <c r="L326" s="29">
        <v>5.3</v>
      </c>
    </row>
    <row r="327" spans="1:12">
      <c r="A327" t="s">
        <v>976</v>
      </c>
      <c r="B327">
        <v>7</v>
      </c>
      <c r="C327" s="29">
        <v>17.600000000000001</v>
      </c>
      <c r="D327" s="27">
        <v>68</v>
      </c>
      <c r="E327" s="29">
        <v>11</v>
      </c>
      <c r="F327" s="28">
        <v>1012</v>
      </c>
      <c r="G327" s="29">
        <v>2.8611111111111112</v>
      </c>
      <c r="H327" s="29">
        <v>3.9166666666666665</v>
      </c>
      <c r="I327" s="26">
        <v>198</v>
      </c>
      <c r="J327" s="29">
        <v>5.3</v>
      </c>
      <c r="K327" s="29">
        <v>696.5</v>
      </c>
      <c r="L327" s="29">
        <v>0</v>
      </c>
    </row>
    <row r="328" spans="1:12">
      <c r="A328" t="s">
        <v>976</v>
      </c>
      <c r="B328">
        <v>8</v>
      </c>
      <c r="C328" s="29">
        <v>18.2</v>
      </c>
      <c r="D328" s="27">
        <v>67</v>
      </c>
      <c r="E328" s="29">
        <v>11.5</v>
      </c>
      <c r="F328" s="28">
        <v>1016.3</v>
      </c>
      <c r="G328" s="29">
        <v>1.6944444444444442</v>
      </c>
      <c r="H328" s="29">
        <v>2.5</v>
      </c>
      <c r="I328" s="26">
        <v>222</v>
      </c>
      <c r="J328" s="29">
        <v>5.3</v>
      </c>
      <c r="K328" s="29">
        <v>696.5</v>
      </c>
      <c r="L328" s="29">
        <v>0</v>
      </c>
    </row>
    <row r="329" spans="1:12">
      <c r="A329" t="s">
        <v>976</v>
      </c>
      <c r="B329">
        <v>9</v>
      </c>
      <c r="C329" s="29">
        <v>18.2</v>
      </c>
      <c r="D329" s="27">
        <v>67</v>
      </c>
      <c r="E329" s="29">
        <v>11</v>
      </c>
      <c r="F329" s="28">
        <v>1016.9</v>
      </c>
      <c r="G329" s="29">
        <v>1.2777777777777777</v>
      </c>
      <c r="H329" s="29">
        <v>1.9444444444444444</v>
      </c>
      <c r="I329" s="26">
        <v>240</v>
      </c>
      <c r="J329" s="29">
        <v>5.3</v>
      </c>
      <c r="K329" s="29">
        <v>696.5</v>
      </c>
      <c r="L329" s="29">
        <v>0</v>
      </c>
    </row>
    <row r="330" spans="1:12">
      <c r="A330" t="s">
        <v>976</v>
      </c>
      <c r="B330">
        <v>10</v>
      </c>
      <c r="C330" s="29">
        <v>17.8</v>
      </c>
      <c r="D330" s="27">
        <v>68</v>
      </c>
      <c r="E330" s="29">
        <v>11.1</v>
      </c>
      <c r="F330" s="28">
        <v>1016.8</v>
      </c>
      <c r="G330" s="29">
        <v>1.6111111111111109</v>
      </c>
      <c r="H330" s="29">
        <v>2.3611111111111112</v>
      </c>
      <c r="I330" s="26">
        <v>329</v>
      </c>
      <c r="J330" s="29">
        <v>5.3</v>
      </c>
      <c r="K330" s="29">
        <v>696.5</v>
      </c>
      <c r="L330" s="29">
        <v>0</v>
      </c>
    </row>
    <row r="331" spans="1:12">
      <c r="A331" t="s">
        <v>976</v>
      </c>
      <c r="B331">
        <v>11</v>
      </c>
      <c r="C331" s="29">
        <v>19.3</v>
      </c>
      <c r="D331" s="27">
        <v>67</v>
      </c>
      <c r="E331" s="29">
        <v>12.3</v>
      </c>
      <c r="F331" s="28">
        <v>1017.3</v>
      </c>
      <c r="G331" s="29">
        <v>1.2222222222222223</v>
      </c>
      <c r="H331" s="29">
        <v>1.8055555555555556</v>
      </c>
      <c r="I331" s="26">
        <v>318</v>
      </c>
      <c r="J331" s="29">
        <v>5.3</v>
      </c>
      <c r="K331" s="29">
        <v>696.5</v>
      </c>
      <c r="L331" s="29">
        <v>0</v>
      </c>
    </row>
    <row r="332" spans="1:12">
      <c r="A332" t="s">
        <v>976</v>
      </c>
      <c r="B332">
        <v>12</v>
      </c>
      <c r="C332" s="29">
        <v>22</v>
      </c>
      <c r="D332" s="27">
        <v>64</v>
      </c>
      <c r="E332" s="29">
        <v>13.8</v>
      </c>
      <c r="F332" s="28">
        <v>1017.9</v>
      </c>
      <c r="G332" s="29">
        <v>1.1388888888888888</v>
      </c>
      <c r="H332" s="29">
        <v>1.75</v>
      </c>
      <c r="I332" s="26">
        <v>317</v>
      </c>
      <c r="J332" s="29">
        <v>5.3</v>
      </c>
      <c r="K332" s="29">
        <v>696.5</v>
      </c>
      <c r="L332" s="29">
        <v>0</v>
      </c>
    </row>
    <row r="333" spans="1:12">
      <c r="A333" t="s">
        <v>976</v>
      </c>
      <c r="B333">
        <v>13</v>
      </c>
      <c r="C333" s="29">
        <v>21</v>
      </c>
      <c r="D333" s="27">
        <v>74</v>
      </c>
      <c r="E333" s="29">
        <v>15.6</v>
      </c>
      <c r="F333" s="28">
        <v>1017.7</v>
      </c>
      <c r="G333" s="29">
        <v>0.91666666666666663</v>
      </c>
      <c r="H333" s="29">
        <v>1.5277777777777777</v>
      </c>
      <c r="I333" s="26">
        <v>320</v>
      </c>
      <c r="J333" s="29">
        <v>5.3</v>
      </c>
      <c r="K333" s="29">
        <v>696.5</v>
      </c>
      <c r="L333" s="29">
        <v>0</v>
      </c>
    </row>
    <row r="334" spans="1:12">
      <c r="A334" t="s">
        <v>976</v>
      </c>
      <c r="B334">
        <v>14</v>
      </c>
      <c r="C334" s="29">
        <v>23.2</v>
      </c>
      <c r="D334" s="27">
        <v>66</v>
      </c>
      <c r="E334" s="29">
        <v>15.2</v>
      </c>
      <c r="F334" s="28">
        <v>1013.5</v>
      </c>
      <c r="G334" s="29">
        <v>1.0277777777777779</v>
      </c>
      <c r="H334" s="29">
        <v>1.5555555555555554</v>
      </c>
      <c r="I334" s="26">
        <v>326</v>
      </c>
      <c r="J334" s="29">
        <v>5.3</v>
      </c>
      <c r="K334" s="29">
        <v>696.5</v>
      </c>
      <c r="L334" s="29">
        <v>0</v>
      </c>
    </row>
    <row r="335" spans="1:12">
      <c r="A335" t="s">
        <v>976</v>
      </c>
      <c r="B335">
        <v>15</v>
      </c>
      <c r="C335" s="29">
        <v>24.8</v>
      </c>
      <c r="D335" s="27">
        <v>49</v>
      </c>
      <c r="E335" s="29">
        <v>11.2</v>
      </c>
      <c r="F335" s="28">
        <v>1011.5</v>
      </c>
      <c r="G335" s="29">
        <v>1.6944444444444442</v>
      </c>
      <c r="H335" s="29">
        <v>2.4722222222222223</v>
      </c>
      <c r="I335" s="26">
        <v>55</v>
      </c>
      <c r="J335" s="29">
        <v>5.3</v>
      </c>
      <c r="K335" s="29">
        <v>696.5</v>
      </c>
      <c r="L335" s="29">
        <v>0</v>
      </c>
    </row>
    <row r="336" spans="1:12">
      <c r="A336" t="s">
        <v>976</v>
      </c>
      <c r="B336">
        <v>16</v>
      </c>
      <c r="C336" s="29">
        <v>25.2</v>
      </c>
      <c r="D336" s="27">
        <v>38</v>
      </c>
      <c r="E336" s="29">
        <v>8.3000000000000007</v>
      </c>
      <c r="F336" s="28">
        <v>1011.1</v>
      </c>
      <c r="G336" s="29">
        <v>1.5833333333333333</v>
      </c>
      <c r="H336" s="29">
        <v>2.2777777777777777</v>
      </c>
      <c r="I336" s="26">
        <v>90</v>
      </c>
      <c r="J336" s="29">
        <v>5.3</v>
      </c>
      <c r="K336" s="29">
        <v>696.5</v>
      </c>
      <c r="L336" s="29">
        <v>0</v>
      </c>
    </row>
    <row r="337" spans="1:12">
      <c r="A337" t="s">
        <v>976</v>
      </c>
      <c r="B337">
        <v>17</v>
      </c>
      <c r="C337" s="29">
        <v>22.6</v>
      </c>
      <c r="D337" s="27">
        <v>48</v>
      </c>
      <c r="E337" s="29">
        <v>10.5</v>
      </c>
      <c r="F337" s="28">
        <v>1012.4</v>
      </c>
      <c r="G337" s="29">
        <v>1.9722222222222221</v>
      </c>
      <c r="H337" s="29">
        <v>2.7777777777777777</v>
      </c>
      <c r="I337" s="26">
        <v>270</v>
      </c>
      <c r="J337" s="29">
        <v>5.3</v>
      </c>
      <c r="K337" s="29">
        <v>696.5</v>
      </c>
      <c r="L337" s="29">
        <v>0</v>
      </c>
    </row>
    <row r="338" spans="1:12">
      <c r="A338" t="s">
        <v>976</v>
      </c>
      <c r="B338">
        <v>18</v>
      </c>
      <c r="C338" s="29">
        <v>19.2</v>
      </c>
      <c r="D338" s="27">
        <v>73</v>
      </c>
      <c r="E338" s="29">
        <v>13.9</v>
      </c>
      <c r="F338" s="28">
        <v>1014.7</v>
      </c>
      <c r="G338" s="29">
        <v>1.3333333333333333</v>
      </c>
      <c r="H338" s="29">
        <v>1.8888888888888888</v>
      </c>
      <c r="I338" s="26">
        <v>247</v>
      </c>
      <c r="J338" s="29">
        <v>5.3</v>
      </c>
      <c r="K338" s="29">
        <v>696.5</v>
      </c>
      <c r="L338" s="29">
        <v>0</v>
      </c>
    </row>
    <row r="339" spans="1:12">
      <c r="A339" t="s">
        <v>976</v>
      </c>
      <c r="B339">
        <v>19</v>
      </c>
      <c r="C339" s="29">
        <v>19.399999999999999</v>
      </c>
      <c r="D339" s="27">
        <v>69</v>
      </c>
      <c r="E339" s="29">
        <v>13</v>
      </c>
      <c r="F339" s="28">
        <v>1015</v>
      </c>
      <c r="G339" s="29">
        <v>1.4722222222222221</v>
      </c>
      <c r="H339" s="29">
        <v>2.1666666666666665</v>
      </c>
      <c r="I339" s="26">
        <v>273</v>
      </c>
      <c r="J339" s="29">
        <v>5.3</v>
      </c>
      <c r="K339" s="29">
        <v>696.5</v>
      </c>
      <c r="L339" s="29">
        <v>0</v>
      </c>
    </row>
    <row r="340" spans="1:12">
      <c r="A340" t="s">
        <v>976</v>
      </c>
      <c r="B340">
        <v>20</v>
      </c>
      <c r="C340" s="29">
        <v>19.5</v>
      </c>
      <c r="D340" s="27">
        <v>65</v>
      </c>
      <c r="E340" s="29">
        <v>12.1</v>
      </c>
      <c r="F340" s="28">
        <v>1013.3</v>
      </c>
      <c r="G340" s="29">
        <v>1.3055555555555556</v>
      </c>
      <c r="H340" s="29">
        <v>1.9722222222222221</v>
      </c>
      <c r="I340" s="26">
        <v>239</v>
      </c>
      <c r="J340" s="29">
        <v>5.3</v>
      </c>
      <c r="K340" s="29">
        <v>696.5</v>
      </c>
      <c r="L340" s="29">
        <v>0</v>
      </c>
    </row>
    <row r="341" spans="1:12">
      <c r="A341" t="s">
        <v>976</v>
      </c>
      <c r="B341">
        <v>21</v>
      </c>
      <c r="C341" s="29">
        <v>19.7</v>
      </c>
      <c r="D341" s="27">
        <v>70</v>
      </c>
      <c r="E341" s="29">
        <v>13.7</v>
      </c>
      <c r="F341" s="28">
        <v>1013</v>
      </c>
      <c r="G341" s="29">
        <v>2.6944444444444442</v>
      </c>
      <c r="H341" s="29">
        <v>3.6666666666666665</v>
      </c>
      <c r="I341" s="26">
        <v>209</v>
      </c>
      <c r="J341" s="29">
        <v>6.3</v>
      </c>
      <c r="K341" s="29">
        <v>697.5</v>
      </c>
      <c r="L341" s="29">
        <v>1</v>
      </c>
    </row>
    <row r="342" spans="1:12">
      <c r="A342" t="s">
        <v>976</v>
      </c>
      <c r="B342">
        <v>22</v>
      </c>
      <c r="C342" s="29">
        <v>17</v>
      </c>
      <c r="D342" s="27">
        <v>85</v>
      </c>
      <c r="E342" s="29">
        <v>14.3</v>
      </c>
      <c r="F342" s="28">
        <v>1015.6</v>
      </c>
      <c r="G342" s="29">
        <v>0.80555555555555547</v>
      </c>
      <c r="H342" s="29">
        <v>1.3611111111111112</v>
      </c>
      <c r="I342" s="26">
        <v>119</v>
      </c>
      <c r="J342" s="29">
        <v>10.3</v>
      </c>
      <c r="K342" s="29">
        <v>701.5</v>
      </c>
      <c r="L342" s="29">
        <v>4</v>
      </c>
    </row>
    <row r="343" spans="1:12">
      <c r="A343" t="s">
        <v>976</v>
      </c>
      <c r="B343">
        <v>23</v>
      </c>
      <c r="C343" s="29">
        <v>17</v>
      </c>
      <c r="D343" s="27">
        <v>91</v>
      </c>
      <c r="E343" s="29">
        <v>15.4</v>
      </c>
      <c r="F343" s="28">
        <v>1015.5</v>
      </c>
      <c r="G343" s="29">
        <v>0.66666666666666663</v>
      </c>
      <c r="H343" s="29">
        <v>1.0555555555555556</v>
      </c>
      <c r="I343" s="26">
        <v>24</v>
      </c>
      <c r="J343" s="29">
        <v>18.899999999999999</v>
      </c>
      <c r="K343" s="29">
        <v>710.1</v>
      </c>
      <c r="L343" s="29">
        <v>8.6</v>
      </c>
    </row>
    <row r="344" spans="1:12">
      <c r="A344" t="s">
        <v>976</v>
      </c>
      <c r="B344">
        <v>24</v>
      </c>
      <c r="C344" s="29">
        <v>18.5</v>
      </c>
      <c r="D344" s="27">
        <v>83</v>
      </c>
      <c r="E344" s="29">
        <v>15.4</v>
      </c>
      <c r="F344" s="28">
        <v>1015.2</v>
      </c>
      <c r="G344" s="29">
        <v>1.3611111111111112</v>
      </c>
      <c r="H344" s="29">
        <v>1.9722222222222221</v>
      </c>
      <c r="I344" s="26">
        <v>285</v>
      </c>
      <c r="J344" s="29">
        <v>19.899999999999999</v>
      </c>
      <c r="K344" s="29">
        <v>711.1</v>
      </c>
      <c r="L344" s="29">
        <v>1</v>
      </c>
    </row>
    <row r="345" spans="1:12">
      <c r="A345" t="s">
        <v>976</v>
      </c>
      <c r="B345">
        <v>25</v>
      </c>
      <c r="C345" s="29">
        <v>18.5</v>
      </c>
      <c r="D345" s="27">
        <v>79</v>
      </c>
      <c r="E345" s="29">
        <v>14.4</v>
      </c>
      <c r="F345" s="28">
        <v>1016.8</v>
      </c>
      <c r="G345" s="29">
        <v>2.25</v>
      </c>
      <c r="H345" s="29">
        <v>3.2222222222222219</v>
      </c>
      <c r="I345" s="26">
        <v>295</v>
      </c>
      <c r="J345" s="29">
        <v>19.899999999999999</v>
      </c>
      <c r="K345" s="29">
        <v>711.1</v>
      </c>
      <c r="L345" s="29">
        <v>0</v>
      </c>
    </row>
    <row r="346" spans="1:12">
      <c r="A346" t="s">
        <v>976</v>
      </c>
      <c r="B346">
        <v>26</v>
      </c>
      <c r="C346" s="29">
        <v>19.2</v>
      </c>
      <c r="D346" s="27">
        <v>70</v>
      </c>
      <c r="E346" s="29">
        <v>13</v>
      </c>
      <c r="F346" s="28">
        <v>1016.9</v>
      </c>
      <c r="G346" s="29">
        <v>1.8611111111111112</v>
      </c>
      <c r="H346" s="29">
        <v>2.7222222222222223</v>
      </c>
      <c r="I346" s="26">
        <v>312</v>
      </c>
      <c r="J346" s="29">
        <v>19.899999999999999</v>
      </c>
      <c r="K346" s="29">
        <v>711.1</v>
      </c>
      <c r="L346" s="29">
        <v>0</v>
      </c>
    </row>
    <row r="347" spans="1:12">
      <c r="A347" t="s">
        <v>976</v>
      </c>
      <c r="B347">
        <v>27</v>
      </c>
      <c r="C347" s="29">
        <v>19.3</v>
      </c>
      <c r="D347" s="27">
        <v>67</v>
      </c>
      <c r="E347" s="29">
        <v>12.4</v>
      </c>
      <c r="F347" s="28">
        <v>1017.1</v>
      </c>
      <c r="G347" s="29">
        <v>1.6944444444444442</v>
      </c>
      <c r="H347" s="29">
        <v>2.4166666666666665</v>
      </c>
      <c r="I347" s="26">
        <v>302</v>
      </c>
      <c r="J347" s="29">
        <v>19.899999999999999</v>
      </c>
      <c r="K347" s="29">
        <v>711.1</v>
      </c>
      <c r="L347" s="29">
        <v>0</v>
      </c>
    </row>
    <row r="348" spans="1:12">
      <c r="A348" t="s">
        <v>976</v>
      </c>
      <c r="B348">
        <v>28</v>
      </c>
      <c r="C348" s="29">
        <v>18</v>
      </c>
      <c r="D348" s="27">
        <v>76</v>
      </c>
      <c r="E348" s="29">
        <v>13.4</v>
      </c>
      <c r="F348" s="28">
        <v>1016.4</v>
      </c>
      <c r="G348" s="29">
        <v>2.4166666666666665</v>
      </c>
      <c r="H348" s="29">
        <v>3.416666666666667</v>
      </c>
      <c r="I348" s="26">
        <v>282</v>
      </c>
      <c r="J348" s="29">
        <v>19.899999999999999</v>
      </c>
      <c r="K348" s="29">
        <v>711.1</v>
      </c>
      <c r="L348" s="29">
        <v>0</v>
      </c>
    </row>
    <row r="349" spans="1:12">
      <c r="A349" t="s">
        <v>976</v>
      </c>
      <c r="B349">
        <v>29</v>
      </c>
      <c r="C349" s="29">
        <v>18.3</v>
      </c>
      <c r="D349" s="27">
        <v>67</v>
      </c>
      <c r="E349" s="29">
        <v>11.7</v>
      </c>
      <c r="F349" s="28">
        <v>1020.4</v>
      </c>
      <c r="G349" s="29">
        <v>2.5277777777777777</v>
      </c>
      <c r="H349" s="29">
        <v>3.6944444444444446</v>
      </c>
      <c r="I349" s="26">
        <v>327</v>
      </c>
      <c r="J349" s="29">
        <v>19.899999999999999</v>
      </c>
      <c r="K349" s="29">
        <v>711.1</v>
      </c>
      <c r="L349" s="29">
        <v>0</v>
      </c>
    </row>
    <row r="350" spans="1:12">
      <c r="A350" t="s">
        <v>976</v>
      </c>
      <c r="B350">
        <v>30</v>
      </c>
      <c r="C350" s="29">
        <v>18.2</v>
      </c>
      <c r="D350" s="27">
        <v>69</v>
      </c>
      <c r="E350" s="29">
        <v>11.7</v>
      </c>
      <c r="F350" s="28">
        <v>1018.4</v>
      </c>
      <c r="G350" s="29">
        <v>1.8611111111111112</v>
      </c>
      <c r="H350" s="29">
        <v>2.5833333333333335</v>
      </c>
      <c r="I350" s="26">
        <v>292</v>
      </c>
      <c r="J350" s="29">
        <v>19.899999999999999</v>
      </c>
      <c r="K350" s="29">
        <v>711.1</v>
      </c>
      <c r="L350" s="29">
        <v>0</v>
      </c>
    </row>
    <row r="351" spans="1:12">
      <c r="A351" t="s">
        <v>1370</v>
      </c>
      <c r="B351">
        <v>1</v>
      </c>
      <c r="C351" s="29">
        <v>18.600000000000001</v>
      </c>
      <c r="D351" s="27">
        <v>73</v>
      </c>
      <c r="E351" s="29">
        <v>13.3</v>
      </c>
      <c r="F351" s="28">
        <v>1015.6</v>
      </c>
      <c r="G351" s="29">
        <v>2.2222222222222223</v>
      </c>
      <c r="H351" s="29">
        <v>3.1111111111111107</v>
      </c>
      <c r="I351" s="26">
        <v>277</v>
      </c>
      <c r="J351" s="29">
        <v>2</v>
      </c>
      <c r="K351" s="29">
        <v>713.1</v>
      </c>
      <c r="L351" s="29">
        <v>2</v>
      </c>
    </row>
    <row r="352" spans="1:12">
      <c r="A352" t="s">
        <v>1370</v>
      </c>
      <c r="B352">
        <v>2</v>
      </c>
      <c r="C352" s="29">
        <v>18.5</v>
      </c>
      <c r="D352" s="27">
        <v>76</v>
      </c>
      <c r="E352" s="29">
        <v>13.8</v>
      </c>
      <c r="F352" s="28">
        <v>1015.6</v>
      </c>
      <c r="G352" s="29">
        <v>2.3055555555555558</v>
      </c>
      <c r="H352" s="29">
        <v>3.2777777777777777</v>
      </c>
      <c r="I352" s="26">
        <v>312</v>
      </c>
      <c r="J352" s="29">
        <v>3</v>
      </c>
      <c r="K352" s="29">
        <v>714.1</v>
      </c>
      <c r="L352" s="29">
        <v>1</v>
      </c>
    </row>
    <row r="353" spans="1:12">
      <c r="A353" t="s">
        <v>1370</v>
      </c>
      <c r="B353">
        <v>3</v>
      </c>
      <c r="C353" s="29">
        <v>20.7</v>
      </c>
      <c r="D353" s="27">
        <v>73</v>
      </c>
      <c r="E353" s="29">
        <v>14.9</v>
      </c>
      <c r="F353" s="28">
        <v>1016</v>
      </c>
      <c r="G353" s="29">
        <v>1.8333333333333333</v>
      </c>
      <c r="H353" s="29">
        <v>2.6111111111111112</v>
      </c>
      <c r="I353" s="26">
        <v>288</v>
      </c>
      <c r="J353" s="29">
        <v>3</v>
      </c>
      <c r="K353" s="29">
        <v>714.1</v>
      </c>
      <c r="L353" s="29">
        <v>0</v>
      </c>
    </row>
    <row r="354" spans="1:12">
      <c r="A354" t="s">
        <v>1370</v>
      </c>
      <c r="B354">
        <v>4</v>
      </c>
      <c r="C354" s="29">
        <v>18.8</v>
      </c>
      <c r="D354" s="27">
        <v>82</v>
      </c>
      <c r="E354" s="29">
        <v>15.6</v>
      </c>
      <c r="F354" s="28">
        <v>1017.9</v>
      </c>
      <c r="G354" s="29">
        <v>2.2222222222222223</v>
      </c>
      <c r="H354" s="29">
        <v>3.1388888888888888</v>
      </c>
      <c r="I354" s="26">
        <v>317</v>
      </c>
      <c r="J354" s="29">
        <v>3</v>
      </c>
      <c r="K354" s="29">
        <v>714.1</v>
      </c>
      <c r="L354" s="29">
        <v>0</v>
      </c>
    </row>
    <row r="355" spans="1:12">
      <c r="A355" t="s">
        <v>1370</v>
      </c>
      <c r="B355">
        <v>5</v>
      </c>
      <c r="C355" s="29">
        <v>19.2</v>
      </c>
      <c r="D355" s="27">
        <v>81</v>
      </c>
      <c r="E355" s="29">
        <v>15.7</v>
      </c>
      <c r="F355" s="28">
        <v>1016.6</v>
      </c>
      <c r="G355" s="29">
        <v>2.1388888888888888</v>
      </c>
      <c r="H355" s="29">
        <v>2.9722222222222219</v>
      </c>
      <c r="I355" s="26">
        <v>288</v>
      </c>
      <c r="J355" s="29">
        <v>3</v>
      </c>
      <c r="K355" s="29">
        <v>714.1</v>
      </c>
      <c r="L355" s="29">
        <v>0</v>
      </c>
    </row>
    <row r="356" spans="1:12">
      <c r="A356" t="s">
        <v>1370</v>
      </c>
      <c r="B356">
        <v>6</v>
      </c>
      <c r="C356" s="29">
        <v>19.100000000000001</v>
      </c>
      <c r="D356" s="27">
        <v>81</v>
      </c>
      <c r="E356" s="29">
        <v>15.6</v>
      </c>
      <c r="F356" s="28">
        <v>1015.2</v>
      </c>
      <c r="G356" s="29">
        <v>2.4444444444444446</v>
      </c>
      <c r="H356" s="29">
        <v>3.3888888888888884</v>
      </c>
      <c r="I356" s="26">
        <v>277</v>
      </c>
      <c r="J356" s="29">
        <v>5</v>
      </c>
      <c r="K356" s="29">
        <v>716.1</v>
      </c>
      <c r="L356" s="29">
        <v>2</v>
      </c>
    </row>
    <row r="357" spans="1:12">
      <c r="A357" t="s">
        <v>1370</v>
      </c>
      <c r="B357">
        <v>7</v>
      </c>
      <c r="C357" s="29">
        <v>18.100000000000001</v>
      </c>
      <c r="D357" s="27">
        <v>66</v>
      </c>
      <c r="E357" s="29">
        <v>10.9</v>
      </c>
      <c r="F357" s="28">
        <v>1019.4</v>
      </c>
      <c r="G357" s="29">
        <v>2.75</v>
      </c>
      <c r="H357" s="29">
        <v>3.8333333333333335</v>
      </c>
      <c r="I357" s="26">
        <v>327</v>
      </c>
      <c r="J357" s="29">
        <v>5</v>
      </c>
      <c r="K357" s="29">
        <v>716.1</v>
      </c>
      <c r="L357" s="29">
        <v>0</v>
      </c>
    </row>
    <row r="358" spans="1:12">
      <c r="A358" t="s">
        <v>1370</v>
      </c>
      <c r="B358">
        <v>8</v>
      </c>
      <c r="C358" s="29">
        <v>18.5</v>
      </c>
      <c r="D358" s="27">
        <v>71</v>
      </c>
      <c r="E358" s="29">
        <v>12.7</v>
      </c>
      <c r="F358" s="28">
        <v>1019.4</v>
      </c>
      <c r="G358" s="29">
        <v>2.25</v>
      </c>
      <c r="H358" s="29">
        <v>3.2499999999999996</v>
      </c>
      <c r="I358" s="26">
        <v>326</v>
      </c>
      <c r="J358" s="29">
        <v>5</v>
      </c>
      <c r="K358" s="29">
        <v>716.1</v>
      </c>
      <c r="L358" s="29">
        <v>0</v>
      </c>
    </row>
    <row r="359" spans="1:12">
      <c r="A359" t="s">
        <v>1370</v>
      </c>
      <c r="B359">
        <v>9</v>
      </c>
      <c r="C359" s="29">
        <v>20.8</v>
      </c>
      <c r="D359" s="27">
        <v>63</v>
      </c>
      <c r="E359" s="29">
        <v>12.2</v>
      </c>
      <c r="F359" s="28">
        <v>1015</v>
      </c>
      <c r="G359" s="29">
        <v>1.7222222222222223</v>
      </c>
      <c r="H359" s="29">
        <v>2.4166666666666665</v>
      </c>
      <c r="I359" s="26">
        <v>309</v>
      </c>
      <c r="J359" s="29">
        <v>5</v>
      </c>
      <c r="K359" s="29">
        <v>716.1</v>
      </c>
      <c r="L359" s="29">
        <v>0</v>
      </c>
    </row>
    <row r="360" spans="1:12">
      <c r="A360" t="s">
        <v>1370</v>
      </c>
      <c r="B360">
        <v>10</v>
      </c>
      <c r="C360" s="29">
        <v>21.9</v>
      </c>
      <c r="D360" s="27">
        <v>53</v>
      </c>
      <c r="E360" s="29">
        <v>10.6</v>
      </c>
      <c r="F360" s="28">
        <v>1015.1</v>
      </c>
      <c r="G360" s="29">
        <v>1.6111111111111109</v>
      </c>
      <c r="H360" s="29">
        <v>2.2222222222222223</v>
      </c>
      <c r="I360" s="26">
        <v>331</v>
      </c>
      <c r="J360" s="29">
        <v>5</v>
      </c>
      <c r="K360" s="29">
        <v>716.1</v>
      </c>
      <c r="L360" s="29">
        <v>0</v>
      </c>
    </row>
    <row r="361" spans="1:12">
      <c r="A361" t="s">
        <v>1370</v>
      </c>
      <c r="B361">
        <v>11</v>
      </c>
      <c r="C361" s="29">
        <v>21.9</v>
      </c>
      <c r="D361" s="27">
        <v>52</v>
      </c>
      <c r="E361" s="29">
        <v>9.9</v>
      </c>
      <c r="F361" s="28">
        <v>1015.9</v>
      </c>
      <c r="G361" s="29">
        <v>1.5833333333333333</v>
      </c>
      <c r="H361" s="29">
        <v>2.2222222222222223</v>
      </c>
      <c r="I361" s="26">
        <v>324</v>
      </c>
      <c r="J361" s="29">
        <v>5</v>
      </c>
      <c r="K361" s="29">
        <v>716.1</v>
      </c>
      <c r="L361" s="29">
        <v>0</v>
      </c>
    </row>
    <row r="362" spans="1:12">
      <c r="A362" t="s">
        <v>1370</v>
      </c>
      <c r="B362">
        <v>12</v>
      </c>
      <c r="C362" s="29">
        <v>20</v>
      </c>
      <c r="D362" s="27">
        <v>67</v>
      </c>
      <c r="E362" s="29">
        <v>12.9</v>
      </c>
      <c r="F362" s="28">
        <v>1015.6</v>
      </c>
      <c r="G362" s="29">
        <v>1.5833333333333333</v>
      </c>
      <c r="H362" s="29">
        <v>2.2222222222222223</v>
      </c>
      <c r="I362" s="26">
        <v>272</v>
      </c>
      <c r="J362" s="29">
        <v>5</v>
      </c>
      <c r="K362" s="29">
        <v>716.1</v>
      </c>
      <c r="L362" s="29">
        <v>0</v>
      </c>
    </row>
    <row r="363" spans="1:12">
      <c r="A363" t="s">
        <v>1370</v>
      </c>
      <c r="B363">
        <v>13</v>
      </c>
      <c r="C363" s="29">
        <v>19.2</v>
      </c>
      <c r="D363" s="27">
        <v>76</v>
      </c>
      <c r="E363" s="29">
        <v>14.4</v>
      </c>
      <c r="F363" s="28">
        <v>1017</v>
      </c>
      <c r="G363" s="29">
        <v>2.6111111111111112</v>
      </c>
      <c r="H363" s="29">
        <v>3.7222222222222223</v>
      </c>
      <c r="I363" s="26">
        <v>300</v>
      </c>
      <c r="J363" s="29">
        <v>5</v>
      </c>
      <c r="K363" s="29">
        <v>716.1</v>
      </c>
      <c r="L363" s="29">
        <v>0</v>
      </c>
    </row>
    <row r="364" spans="1:12">
      <c r="A364" t="s">
        <v>1370</v>
      </c>
      <c r="B364">
        <v>14</v>
      </c>
      <c r="C364" s="29">
        <v>20.399999999999999</v>
      </c>
      <c r="D364" s="27">
        <v>77</v>
      </c>
      <c r="E364" s="29">
        <v>15.8</v>
      </c>
      <c r="F364" s="28">
        <v>1016.3</v>
      </c>
      <c r="G364" s="29">
        <v>2.1388888888888888</v>
      </c>
      <c r="H364" s="29">
        <v>3.1111111111111107</v>
      </c>
      <c r="I364" s="26">
        <v>298</v>
      </c>
      <c r="J364" s="29">
        <v>5</v>
      </c>
      <c r="K364" s="29">
        <v>716.1</v>
      </c>
      <c r="L364" s="2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L364"/>
  <sheetViews>
    <sheetView zoomScale="85" zoomScaleNormal="85" workbookViewId="0"/>
  </sheetViews>
  <sheetFormatPr defaultRowHeight="12.75"/>
  <cols>
    <col min="1" max="1" width="10.5703125" bestFit="1" customWidth="1"/>
    <col min="2" max="2" width="8.5703125" bestFit="1" customWidth="1"/>
    <col min="3" max="3" width="7.7109375" customWidth="1"/>
    <col min="4" max="4" width="9.5703125" customWidth="1"/>
    <col min="5" max="5" width="6.7109375" customWidth="1"/>
    <col min="6" max="6" width="5.42578125" customWidth="1"/>
    <col min="7" max="7" width="10.28515625" customWidth="1"/>
    <col min="8" max="8" width="13.7109375" customWidth="1"/>
    <col min="9" max="9" width="10.28515625" customWidth="1"/>
    <col min="10" max="10" width="7.5703125" customWidth="1"/>
    <col min="11" max="11" width="7.7109375" customWidth="1"/>
  </cols>
  <sheetData>
    <row r="1" spans="1:12" ht="66.75" customHeight="1">
      <c r="A1" s="15" t="s">
        <v>0</v>
      </c>
      <c r="B1" s="16" t="s">
        <v>1</v>
      </c>
      <c r="C1" s="16" t="s">
        <v>301</v>
      </c>
      <c r="D1" s="16" t="s">
        <v>294</v>
      </c>
      <c r="E1" s="16" t="s">
        <v>302</v>
      </c>
      <c r="F1" s="16" t="s">
        <v>303</v>
      </c>
      <c r="G1" s="16" t="s">
        <v>304</v>
      </c>
      <c r="H1" s="16" t="s">
        <v>305</v>
      </c>
      <c r="I1" s="16" t="s">
        <v>306</v>
      </c>
      <c r="J1" s="16" t="s">
        <v>9</v>
      </c>
      <c r="K1" s="16" t="s">
        <v>10</v>
      </c>
      <c r="L1" s="16" t="s">
        <v>427</v>
      </c>
    </row>
    <row r="2" spans="1:12">
      <c r="A2" s="4">
        <v>41472</v>
      </c>
      <c r="C2" s="32">
        <v>1.1111111111111112</v>
      </c>
      <c r="D2" s="29"/>
      <c r="E2" s="35">
        <v>306</v>
      </c>
      <c r="F2" s="32">
        <v>0</v>
      </c>
      <c r="G2" s="33">
        <v>0</v>
      </c>
      <c r="H2" s="32">
        <v>18.3</v>
      </c>
      <c r="I2" s="34">
        <v>1018</v>
      </c>
      <c r="J2" s="36" t="s">
        <v>429</v>
      </c>
    </row>
    <row r="3" spans="1:12">
      <c r="A3" s="4">
        <v>41473</v>
      </c>
      <c r="C3" s="32">
        <v>0.69444444444444442</v>
      </c>
      <c r="D3" s="29"/>
      <c r="E3" s="35">
        <v>251</v>
      </c>
      <c r="F3" s="32">
        <v>0</v>
      </c>
      <c r="G3" s="33">
        <v>27</v>
      </c>
      <c r="H3" s="32">
        <v>17.899999999999999</v>
      </c>
      <c r="I3" s="34">
        <v>1016.7</v>
      </c>
      <c r="J3" s="36" t="s">
        <v>429</v>
      </c>
    </row>
    <row r="4" spans="1:12">
      <c r="A4" s="4">
        <v>41474</v>
      </c>
      <c r="C4" s="32">
        <v>0.77777777777777768</v>
      </c>
      <c r="D4" s="29"/>
      <c r="E4" s="35">
        <v>225</v>
      </c>
      <c r="F4" s="32">
        <v>0</v>
      </c>
      <c r="G4" s="33">
        <v>86</v>
      </c>
      <c r="H4" s="32">
        <v>17.3</v>
      </c>
      <c r="I4" s="34">
        <v>1014.5</v>
      </c>
      <c r="J4" s="36" t="s">
        <v>429</v>
      </c>
    </row>
    <row r="5" spans="1:12">
      <c r="A5" s="4">
        <v>41475</v>
      </c>
      <c r="C5" s="32">
        <v>1.8055555555555556</v>
      </c>
      <c r="D5" s="29"/>
      <c r="E5" s="35">
        <v>293</v>
      </c>
      <c r="F5" s="32">
        <v>0</v>
      </c>
      <c r="G5" s="33">
        <v>63</v>
      </c>
      <c r="H5" s="32">
        <v>21.2</v>
      </c>
      <c r="I5" s="34">
        <v>1013.9</v>
      </c>
      <c r="J5" s="36" t="s">
        <v>429</v>
      </c>
    </row>
    <row r="6" spans="1:12">
      <c r="A6" s="4">
        <v>41476</v>
      </c>
      <c r="C6" s="32">
        <v>1.5277777777777777</v>
      </c>
      <c r="D6" s="29"/>
      <c r="E6" s="35">
        <v>300</v>
      </c>
      <c r="F6" s="32">
        <v>0</v>
      </c>
      <c r="G6" s="33">
        <v>65</v>
      </c>
      <c r="H6" s="32">
        <v>20.399999999999999</v>
      </c>
      <c r="I6" s="34">
        <v>1015.3</v>
      </c>
      <c r="J6" s="36" t="s">
        <v>429</v>
      </c>
    </row>
    <row r="7" spans="1:12">
      <c r="A7" s="4">
        <v>41477</v>
      </c>
      <c r="C7" s="32">
        <v>1.5</v>
      </c>
      <c r="D7" s="29"/>
      <c r="E7" s="35">
        <v>318</v>
      </c>
      <c r="F7" s="32">
        <v>0</v>
      </c>
      <c r="G7" s="33">
        <v>71</v>
      </c>
      <c r="H7" s="32">
        <v>20.100000000000001</v>
      </c>
      <c r="I7" s="34">
        <v>1015.6</v>
      </c>
      <c r="J7" s="36" t="s">
        <v>429</v>
      </c>
    </row>
    <row r="8" spans="1:12">
      <c r="A8" s="4">
        <v>41478</v>
      </c>
      <c r="C8" s="32">
        <v>1.4722222222222221</v>
      </c>
      <c r="D8" s="29"/>
      <c r="E8" s="35">
        <v>308</v>
      </c>
      <c r="F8" s="32">
        <v>0</v>
      </c>
      <c r="G8" s="33">
        <v>68</v>
      </c>
      <c r="H8" s="32">
        <v>20.399999999999999</v>
      </c>
      <c r="I8" s="34">
        <v>1015.8</v>
      </c>
      <c r="J8" s="36" t="s">
        <v>429</v>
      </c>
    </row>
    <row r="9" spans="1:12">
      <c r="A9" s="4">
        <v>41479</v>
      </c>
      <c r="C9" s="32">
        <v>1.3333333333333333</v>
      </c>
      <c r="D9" s="29"/>
      <c r="E9" s="35">
        <v>301</v>
      </c>
      <c r="F9" s="32">
        <v>0</v>
      </c>
      <c r="G9" s="33">
        <v>71</v>
      </c>
      <c r="H9" s="32">
        <v>21.8</v>
      </c>
      <c r="I9" s="34">
        <v>1016.7</v>
      </c>
      <c r="J9" s="36" t="s">
        <v>429</v>
      </c>
    </row>
    <row r="10" spans="1:12">
      <c r="A10" s="4">
        <v>41480</v>
      </c>
      <c r="C10" s="32">
        <v>1.5833333333333333</v>
      </c>
      <c r="D10" s="29"/>
      <c r="E10" s="35">
        <v>294</v>
      </c>
      <c r="F10" s="32">
        <v>0</v>
      </c>
      <c r="G10" s="33">
        <v>75</v>
      </c>
      <c r="H10" s="32">
        <v>21.6</v>
      </c>
      <c r="I10" s="34">
        <v>1015.8</v>
      </c>
      <c r="J10" s="36" t="s">
        <v>430</v>
      </c>
    </row>
    <row r="11" spans="1:12">
      <c r="A11" s="4">
        <v>41481</v>
      </c>
      <c r="C11" s="32">
        <v>1.3611111111111112</v>
      </c>
      <c r="D11" s="29"/>
      <c r="E11" s="35">
        <v>289</v>
      </c>
      <c r="F11" s="32">
        <v>0</v>
      </c>
      <c r="G11" s="33">
        <v>70</v>
      </c>
      <c r="H11" s="32">
        <v>19.600000000000001</v>
      </c>
      <c r="I11" s="34">
        <v>1012.4</v>
      </c>
      <c r="J11" s="36" t="s">
        <v>430</v>
      </c>
    </row>
    <row r="12" spans="1:12">
      <c r="A12" s="4">
        <v>41482</v>
      </c>
      <c r="C12" s="32">
        <v>2.3333333333333335</v>
      </c>
      <c r="D12" s="29"/>
      <c r="E12" s="35">
        <v>226</v>
      </c>
      <c r="F12" s="32">
        <v>0</v>
      </c>
      <c r="G12" s="33">
        <v>64</v>
      </c>
      <c r="H12" s="32">
        <v>20.100000000000001</v>
      </c>
      <c r="I12" s="34">
        <v>1010.9</v>
      </c>
      <c r="J12" s="36" t="s">
        <v>430</v>
      </c>
    </row>
    <row r="13" spans="1:12">
      <c r="A13" s="4">
        <v>41483</v>
      </c>
      <c r="C13" s="32">
        <v>2.1388888888888888</v>
      </c>
      <c r="D13" s="29"/>
      <c r="E13" s="35">
        <v>221</v>
      </c>
      <c r="F13" s="32">
        <v>0</v>
      </c>
      <c r="G13" s="33">
        <v>68</v>
      </c>
      <c r="H13" s="32">
        <v>20.3</v>
      </c>
      <c r="I13" s="34">
        <v>1015.5</v>
      </c>
      <c r="J13" s="36" t="s">
        <v>430</v>
      </c>
    </row>
    <row r="14" spans="1:12">
      <c r="A14" s="4">
        <v>41484</v>
      </c>
      <c r="C14" s="32">
        <v>1.3055555555555556</v>
      </c>
      <c r="D14" s="29"/>
      <c r="E14" s="35">
        <v>299</v>
      </c>
      <c r="F14" s="32">
        <v>0</v>
      </c>
      <c r="G14" s="33">
        <v>71</v>
      </c>
      <c r="H14" s="32">
        <v>20.5</v>
      </c>
      <c r="I14" s="34">
        <v>1022.2</v>
      </c>
      <c r="J14" s="36" t="s">
        <v>430</v>
      </c>
    </row>
    <row r="15" spans="1:12">
      <c r="A15" s="4">
        <v>41485</v>
      </c>
      <c r="C15" s="32">
        <v>1.3888888888888888</v>
      </c>
      <c r="D15" s="29"/>
      <c r="E15" s="35">
        <v>327</v>
      </c>
      <c r="F15" s="32">
        <v>0</v>
      </c>
      <c r="G15" s="33">
        <v>68</v>
      </c>
      <c r="H15" s="32">
        <v>21.6</v>
      </c>
      <c r="I15" s="34">
        <v>1020.7</v>
      </c>
      <c r="J15" s="36" t="s">
        <v>430</v>
      </c>
    </row>
    <row r="16" spans="1:12">
      <c r="A16" s="4">
        <v>41486</v>
      </c>
      <c r="C16" s="32">
        <v>1.3055555555555556</v>
      </c>
      <c r="D16" s="29"/>
      <c r="E16" s="35">
        <v>319</v>
      </c>
      <c r="F16" s="32">
        <v>0</v>
      </c>
      <c r="G16" s="33">
        <v>74</v>
      </c>
      <c r="H16" s="32">
        <v>21.3</v>
      </c>
      <c r="I16" s="34">
        <v>1015.1</v>
      </c>
      <c r="J16" s="36" t="s">
        <v>430</v>
      </c>
    </row>
    <row r="17" spans="1:10">
      <c r="A17" s="4">
        <v>41487</v>
      </c>
      <c r="C17" s="32">
        <v>1.1944444444444444</v>
      </c>
      <c r="D17" s="29"/>
      <c r="E17" s="35">
        <v>286</v>
      </c>
      <c r="F17" s="32">
        <v>0</v>
      </c>
      <c r="G17" s="33">
        <v>68</v>
      </c>
      <c r="H17" s="32">
        <v>21.8</v>
      </c>
      <c r="I17" s="34">
        <v>1012.1</v>
      </c>
      <c r="J17" s="36" t="s">
        <v>430</v>
      </c>
    </row>
    <row r="18" spans="1:10">
      <c r="A18" s="4">
        <v>41488</v>
      </c>
      <c r="C18" s="32">
        <v>1.7777777777777779</v>
      </c>
      <c r="D18" s="29"/>
      <c r="E18" s="35">
        <v>269</v>
      </c>
      <c r="F18" s="32">
        <v>0</v>
      </c>
      <c r="G18" s="33">
        <v>69</v>
      </c>
      <c r="H18" s="32">
        <v>21.1</v>
      </c>
      <c r="I18" s="34">
        <v>1016.4</v>
      </c>
      <c r="J18" s="36" t="s">
        <v>430</v>
      </c>
    </row>
    <row r="19" spans="1:10">
      <c r="A19" s="4">
        <v>41489</v>
      </c>
      <c r="C19" s="32">
        <v>2.0555555555555558</v>
      </c>
      <c r="D19" s="29"/>
      <c r="E19" s="35">
        <v>327</v>
      </c>
      <c r="F19" s="32">
        <v>0</v>
      </c>
      <c r="G19" s="33">
        <v>68</v>
      </c>
      <c r="H19" s="32">
        <v>19.899999999999999</v>
      </c>
      <c r="I19" s="34">
        <v>1019.9</v>
      </c>
      <c r="J19" s="36" t="s">
        <v>430</v>
      </c>
    </row>
    <row r="20" spans="1:10">
      <c r="A20" s="4">
        <v>41490</v>
      </c>
      <c r="C20" s="32">
        <v>1.9722222222222221</v>
      </c>
      <c r="D20" s="29"/>
      <c r="E20" s="35">
        <v>321</v>
      </c>
      <c r="F20" s="32">
        <v>0</v>
      </c>
      <c r="G20" s="33">
        <v>70</v>
      </c>
      <c r="H20" s="32">
        <v>20.3</v>
      </c>
      <c r="I20" s="34">
        <v>1019.2</v>
      </c>
      <c r="J20" s="36" t="s">
        <v>430</v>
      </c>
    </row>
    <row r="21" spans="1:10">
      <c r="A21" s="4">
        <v>41491</v>
      </c>
      <c r="C21" s="32">
        <v>1.8055555555555556</v>
      </c>
      <c r="D21" s="29"/>
      <c r="E21" s="35">
        <v>326</v>
      </c>
      <c r="F21" s="32">
        <v>0</v>
      </c>
      <c r="G21" s="33">
        <v>74</v>
      </c>
      <c r="H21" s="32">
        <v>20.9</v>
      </c>
      <c r="I21" s="34">
        <v>1017</v>
      </c>
      <c r="J21" s="36" t="s">
        <v>430</v>
      </c>
    </row>
    <row r="22" spans="1:10">
      <c r="A22" s="4">
        <v>41492</v>
      </c>
      <c r="C22" s="32">
        <v>2.3055555555555558</v>
      </c>
      <c r="D22" s="29"/>
      <c r="E22" s="35">
        <v>327</v>
      </c>
      <c r="F22" s="32">
        <v>0</v>
      </c>
      <c r="G22" s="33">
        <v>74</v>
      </c>
      <c r="H22" s="32">
        <v>20.6</v>
      </c>
      <c r="I22" s="34">
        <v>1016.2</v>
      </c>
      <c r="J22" s="36" t="s">
        <v>430</v>
      </c>
    </row>
    <row r="23" spans="1:10">
      <c r="A23" s="4">
        <v>41493</v>
      </c>
      <c r="C23" s="32">
        <v>2.1388888888888888</v>
      </c>
      <c r="D23" s="29"/>
      <c r="E23" s="35">
        <v>319</v>
      </c>
      <c r="F23" s="32">
        <v>0</v>
      </c>
      <c r="G23" s="33">
        <v>72</v>
      </c>
      <c r="H23" s="32">
        <v>19.600000000000001</v>
      </c>
      <c r="I23" s="34">
        <v>1015.6</v>
      </c>
      <c r="J23" s="36" t="s">
        <v>430</v>
      </c>
    </row>
    <row r="24" spans="1:10">
      <c r="A24" s="4">
        <v>41494</v>
      </c>
      <c r="C24" s="32">
        <v>2.2222222222222223</v>
      </c>
      <c r="D24" s="29"/>
      <c r="E24" s="35">
        <v>327</v>
      </c>
      <c r="F24" s="32">
        <v>0</v>
      </c>
      <c r="G24" s="33">
        <v>67</v>
      </c>
      <c r="H24" s="32">
        <v>20.6</v>
      </c>
      <c r="I24" s="34">
        <v>1018.5</v>
      </c>
      <c r="J24" s="36" t="s">
        <v>430</v>
      </c>
    </row>
    <row r="25" spans="1:10">
      <c r="A25" s="4">
        <v>41495</v>
      </c>
      <c r="C25" s="32">
        <v>1.5277777777777777</v>
      </c>
      <c r="D25" s="29"/>
      <c r="E25" s="35">
        <v>334</v>
      </c>
      <c r="F25" s="32">
        <v>0</v>
      </c>
      <c r="G25" s="33">
        <v>59</v>
      </c>
      <c r="H25" s="32">
        <v>23.2</v>
      </c>
      <c r="I25" s="34">
        <v>1019.3</v>
      </c>
      <c r="J25" s="36" t="s">
        <v>430</v>
      </c>
    </row>
    <row r="26" spans="1:10">
      <c r="A26" s="4">
        <v>41496</v>
      </c>
      <c r="C26" s="32">
        <v>1.2222222222222223</v>
      </c>
      <c r="D26" s="29"/>
      <c r="E26" s="35">
        <v>311</v>
      </c>
      <c r="F26" s="32">
        <v>0</v>
      </c>
      <c r="G26" s="33">
        <v>57.999999999999993</v>
      </c>
      <c r="H26" s="32">
        <v>24.5</v>
      </c>
      <c r="I26" s="34">
        <v>1016.5</v>
      </c>
      <c r="J26" s="36" t="s">
        <v>430</v>
      </c>
    </row>
    <row r="27" spans="1:10">
      <c r="A27" s="4">
        <v>41497</v>
      </c>
      <c r="C27" s="32">
        <v>0.86111111111111116</v>
      </c>
      <c r="D27" s="29"/>
      <c r="E27" s="35">
        <v>290</v>
      </c>
      <c r="F27" s="32">
        <v>0</v>
      </c>
      <c r="G27" s="33">
        <v>70</v>
      </c>
      <c r="H27" s="32">
        <v>23.7</v>
      </c>
      <c r="I27" s="34">
        <v>1014.5</v>
      </c>
      <c r="J27" s="36" t="s">
        <v>430</v>
      </c>
    </row>
    <row r="28" spans="1:10">
      <c r="A28" s="4">
        <v>41498</v>
      </c>
      <c r="C28" s="32">
        <v>1.5277777777777777</v>
      </c>
      <c r="D28" s="29"/>
      <c r="E28" s="35">
        <v>251</v>
      </c>
      <c r="F28" s="32">
        <v>0</v>
      </c>
      <c r="G28" s="33">
        <v>71</v>
      </c>
      <c r="H28" s="32">
        <v>22</v>
      </c>
      <c r="I28" s="34">
        <v>1013.8</v>
      </c>
      <c r="J28" s="36" t="s">
        <v>430</v>
      </c>
    </row>
    <row r="29" spans="1:10">
      <c r="A29" s="4">
        <v>41499</v>
      </c>
      <c r="C29" s="32">
        <v>1.3611111111111112</v>
      </c>
      <c r="D29" s="29"/>
      <c r="E29" s="35">
        <v>303</v>
      </c>
      <c r="F29" s="32">
        <v>0</v>
      </c>
      <c r="G29" s="33">
        <v>70</v>
      </c>
      <c r="H29" s="32">
        <v>23.2</v>
      </c>
      <c r="I29" s="34">
        <v>1013.9</v>
      </c>
      <c r="J29" s="36" t="s">
        <v>430</v>
      </c>
    </row>
    <row r="30" spans="1:10">
      <c r="A30" s="4">
        <v>41500</v>
      </c>
      <c r="C30" s="32">
        <v>1.0555555555555556</v>
      </c>
      <c r="D30" s="29"/>
      <c r="E30" s="35">
        <v>296</v>
      </c>
      <c r="F30" s="32">
        <v>0</v>
      </c>
      <c r="G30" s="33">
        <v>70</v>
      </c>
      <c r="H30" s="32">
        <v>23.7</v>
      </c>
      <c r="I30" s="34">
        <v>1014.5</v>
      </c>
      <c r="J30" s="36" t="s">
        <v>430</v>
      </c>
    </row>
    <row r="31" spans="1:10">
      <c r="A31" s="4">
        <v>41501</v>
      </c>
      <c r="C31" s="32">
        <v>1.0833333333333333</v>
      </c>
      <c r="D31" s="29"/>
      <c r="E31" s="35">
        <v>303</v>
      </c>
      <c r="F31" s="32">
        <v>0</v>
      </c>
      <c r="G31" s="33">
        <v>77</v>
      </c>
      <c r="H31" s="32">
        <v>22.2</v>
      </c>
      <c r="I31" s="34">
        <v>1016.3</v>
      </c>
      <c r="J31" s="36" t="s">
        <v>430</v>
      </c>
    </row>
    <row r="32" spans="1:10">
      <c r="A32" s="4">
        <v>41502</v>
      </c>
      <c r="C32" s="32">
        <v>2.5</v>
      </c>
      <c r="D32" s="29"/>
      <c r="E32" s="35">
        <v>321</v>
      </c>
      <c r="F32" s="32">
        <v>0</v>
      </c>
      <c r="G32" s="33">
        <v>84</v>
      </c>
      <c r="H32" s="32">
        <v>19.600000000000001</v>
      </c>
      <c r="I32" s="34">
        <v>1018.7</v>
      </c>
      <c r="J32" s="36" t="s">
        <v>430</v>
      </c>
    </row>
    <row r="33" spans="1:10">
      <c r="A33" s="4">
        <v>41503</v>
      </c>
      <c r="C33" s="32">
        <v>2.5</v>
      </c>
      <c r="D33" s="29"/>
      <c r="E33" s="35">
        <v>317</v>
      </c>
      <c r="F33" s="32">
        <v>0</v>
      </c>
      <c r="G33" s="33">
        <v>77</v>
      </c>
      <c r="H33" s="32">
        <v>21.2</v>
      </c>
      <c r="I33" s="34">
        <v>1017.5</v>
      </c>
      <c r="J33" s="36" t="s">
        <v>430</v>
      </c>
    </row>
    <row r="34" spans="1:10">
      <c r="A34" s="4">
        <v>41504</v>
      </c>
      <c r="C34" s="32">
        <v>1.8888888888888888</v>
      </c>
      <c r="D34" s="29"/>
      <c r="E34" s="35">
        <v>312</v>
      </c>
      <c r="F34" s="32">
        <v>0</v>
      </c>
      <c r="G34" s="33">
        <v>81</v>
      </c>
      <c r="H34" s="32">
        <v>20.6</v>
      </c>
      <c r="I34" s="34">
        <v>1016.4</v>
      </c>
      <c r="J34" s="36" t="s">
        <v>430</v>
      </c>
    </row>
    <row r="35" spans="1:10">
      <c r="A35" s="4">
        <v>41505</v>
      </c>
      <c r="C35" s="32">
        <v>1.4444444444444444</v>
      </c>
      <c r="D35" s="29"/>
      <c r="E35" s="35">
        <v>300</v>
      </c>
      <c r="F35" s="32">
        <v>0</v>
      </c>
      <c r="G35" s="33">
        <v>72</v>
      </c>
      <c r="H35" s="32">
        <v>22.2</v>
      </c>
      <c r="I35" s="34">
        <v>1017.1</v>
      </c>
      <c r="J35" s="36" t="s">
        <v>430</v>
      </c>
    </row>
    <row r="36" spans="1:10">
      <c r="A36" s="4">
        <v>41506</v>
      </c>
      <c r="C36" s="32">
        <v>1.0277777777777779</v>
      </c>
      <c r="D36" s="29"/>
      <c r="E36" s="35">
        <v>296</v>
      </c>
      <c r="F36" s="32">
        <v>0</v>
      </c>
      <c r="G36" s="33">
        <v>62</v>
      </c>
      <c r="H36" s="32">
        <v>23.4</v>
      </c>
      <c r="I36" s="34">
        <v>1015.8</v>
      </c>
      <c r="J36" s="36" t="s">
        <v>430</v>
      </c>
    </row>
    <row r="37" spans="1:10">
      <c r="A37" s="4">
        <v>41507</v>
      </c>
      <c r="C37" s="32">
        <v>1.25</v>
      </c>
      <c r="D37" s="29"/>
      <c r="E37" s="35">
        <v>267</v>
      </c>
      <c r="F37" s="32">
        <v>0</v>
      </c>
      <c r="G37" s="33">
        <v>71</v>
      </c>
      <c r="H37" s="32">
        <v>21.4</v>
      </c>
      <c r="I37" s="34">
        <v>1016.9</v>
      </c>
      <c r="J37" s="36" t="s">
        <v>430</v>
      </c>
    </row>
    <row r="38" spans="1:10">
      <c r="A38" s="4">
        <v>41508</v>
      </c>
      <c r="C38" s="32">
        <v>2.0555555555555558</v>
      </c>
      <c r="D38" s="29"/>
      <c r="E38" s="35">
        <v>328</v>
      </c>
      <c r="F38" s="32">
        <v>0</v>
      </c>
      <c r="G38" s="33">
        <v>69</v>
      </c>
      <c r="H38" s="32">
        <v>21.3</v>
      </c>
      <c r="I38" s="34">
        <v>1016.1</v>
      </c>
      <c r="J38" s="36" t="s">
        <v>430</v>
      </c>
    </row>
    <row r="39" spans="1:10">
      <c r="A39" s="4">
        <v>41509</v>
      </c>
      <c r="C39" s="32">
        <v>3.2499999999999996</v>
      </c>
      <c r="D39" s="29"/>
      <c r="E39" s="35">
        <v>325</v>
      </c>
      <c r="F39" s="32">
        <v>0</v>
      </c>
      <c r="G39" s="33">
        <v>75</v>
      </c>
      <c r="H39" s="32">
        <v>20.399999999999999</v>
      </c>
      <c r="I39" s="34">
        <v>1016.1</v>
      </c>
      <c r="J39" s="36" t="s">
        <v>430</v>
      </c>
    </row>
    <row r="40" spans="1:10">
      <c r="A40" s="4">
        <v>41510</v>
      </c>
      <c r="C40" s="32">
        <v>2.6944444444444442</v>
      </c>
      <c r="D40" s="29"/>
      <c r="E40" s="35">
        <v>312</v>
      </c>
      <c r="F40" s="32">
        <v>0</v>
      </c>
      <c r="G40" s="33">
        <v>73</v>
      </c>
      <c r="H40" s="32">
        <v>20.3</v>
      </c>
      <c r="I40" s="34">
        <v>1014.7</v>
      </c>
      <c r="J40" s="36" t="s">
        <v>430</v>
      </c>
    </row>
    <row r="41" spans="1:10">
      <c r="A41" s="4">
        <v>41511</v>
      </c>
      <c r="C41" s="32">
        <v>1.5833333333333333</v>
      </c>
      <c r="D41" s="29"/>
      <c r="E41" s="35">
        <v>309</v>
      </c>
      <c r="F41" s="32">
        <v>0</v>
      </c>
      <c r="G41" s="33">
        <v>66</v>
      </c>
      <c r="H41" s="32">
        <v>20</v>
      </c>
      <c r="I41" s="34">
        <v>1011</v>
      </c>
      <c r="J41" s="36" t="s">
        <v>430</v>
      </c>
    </row>
    <row r="42" spans="1:10">
      <c r="A42" s="4">
        <v>41512</v>
      </c>
      <c r="C42" s="32">
        <v>0.94444444444444442</v>
      </c>
      <c r="D42" s="29"/>
      <c r="E42" s="35">
        <v>278</v>
      </c>
      <c r="F42" s="32">
        <v>0</v>
      </c>
      <c r="G42" s="33">
        <v>67</v>
      </c>
      <c r="H42" s="32">
        <v>19.7</v>
      </c>
      <c r="I42" s="34">
        <v>1007.8</v>
      </c>
      <c r="J42" s="36" t="s">
        <v>430</v>
      </c>
    </row>
    <row r="43" spans="1:10">
      <c r="A43" s="4">
        <v>41513</v>
      </c>
      <c r="C43" s="32">
        <v>1.2222222222222223</v>
      </c>
      <c r="D43" s="29"/>
      <c r="E43" s="35">
        <v>319</v>
      </c>
      <c r="F43" s="32">
        <v>0</v>
      </c>
      <c r="G43" s="33">
        <v>57.999999999999993</v>
      </c>
      <c r="H43" s="32">
        <v>21.5</v>
      </c>
      <c r="I43" s="34">
        <v>1010.3</v>
      </c>
      <c r="J43" s="36" t="s">
        <v>430</v>
      </c>
    </row>
    <row r="44" spans="1:10">
      <c r="A44" s="4">
        <v>41514</v>
      </c>
      <c r="C44" s="32">
        <v>1</v>
      </c>
      <c r="D44" s="29"/>
      <c r="E44" s="35">
        <v>291</v>
      </c>
      <c r="F44" s="32">
        <v>0</v>
      </c>
      <c r="G44" s="33">
        <v>60</v>
      </c>
      <c r="H44" s="32">
        <v>21.4</v>
      </c>
      <c r="I44" s="34">
        <v>1012.1</v>
      </c>
      <c r="J44" s="36" t="s">
        <v>430</v>
      </c>
    </row>
    <row r="45" spans="1:10">
      <c r="A45" s="4">
        <v>41515</v>
      </c>
      <c r="C45" s="32">
        <v>1.25</v>
      </c>
      <c r="D45" s="29"/>
      <c r="E45" s="35">
        <v>16</v>
      </c>
      <c r="F45" s="32">
        <v>0</v>
      </c>
      <c r="G45" s="33">
        <v>56.000000000000007</v>
      </c>
      <c r="H45" s="32">
        <v>21.2</v>
      </c>
      <c r="I45" s="34">
        <v>1014.3</v>
      </c>
      <c r="J45" s="36" t="s">
        <v>430</v>
      </c>
    </row>
    <row r="46" spans="1:10">
      <c r="A46" s="4">
        <v>41516</v>
      </c>
      <c r="C46" s="32">
        <v>1.0277777777777779</v>
      </c>
      <c r="D46" s="29"/>
      <c r="E46" s="35">
        <v>321</v>
      </c>
      <c r="F46" s="32">
        <v>0</v>
      </c>
      <c r="G46" s="33">
        <v>50</v>
      </c>
      <c r="H46" s="32">
        <v>21.8</v>
      </c>
      <c r="I46" s="34">
        <v>1017.1</v>
      </c>
      <c r="J46" s="36" t="s">
        <v>430</v>
      </c>
    </row>
    <row r="47" spans="1:10">
      <c r="A47" s="4">
        <v>41517</v>
      </c>
      <c r="C47" s="32">
        <v>0</v>
      </c>
      <c r="D47" s="29"/>
      <c r="E47" s="35">
        <v>207</v>
      </c>
      <c r="F47" s="32">
        <v>0</v>
      </c>
      <c r="G47" s="33">
        <v>56.999999999999993</v>
      </c>
      <c r="H47" s="32">
        <v>17.3</v>
      </c>
      <c r="I47" s="34">
        <v>1019</v>
      </c>
      <c r="J47" s="36" t="s">
        <v>430</v>
      </c>
    </row>
    <row r="48" spans="1:10">
      <c r="A48" s="4">
        <v>41518</v>
      </c>
      <c r="C48" s="32">
        <v>0.86111111111111116</v>
      </c>
      <c r="D48" s="29"/>
      <c r="E48" s="35">
        <v>321</v>
      </c>
      <c r="F48" s="32">
        <v>0</v>
      </c>
      <c r="G48" s="33">
        <v>49</v>
      </c>
      <c r="H48" s="32">
        <v>22.5</v>
      </c>
      <c r="I48" s="34">
        <v>1017.7</v>
      </c>
      <c r="J48" s="36" t="s">
        <v>430</v>
      </c>
    </row>
    <row r="49" spans="1:10">
      <c r="A49" s="4">
        <v>41519</v>
      </c>
      <c r="C49" s="32">
        <v>0.77777777777777768</v>
      </c>
      <c r="D49" s="29"/>
      <c r="E49" s="35">
        <v>314</v>
      </c>
      <c r="F49" s="32">
        <v>0</v>
      </c>
      <c r="G49" s="33">
        <v>48</v>
      </c>
      <c r="H49" s="32">
        <v>22.9</v>
      </c>
      <c r="I49" s="34">
        <v>1018.9</v>
      </c>
      <c r="J49" s="36" t="s">
        <v>430</v>
      </c>
    </row>
    <row r="50" spans="1:10">
      <c r="A50" s="4">
        <v>41520</v>
      </c>
      <c r="C50" s="32">
        <v>1</v>
      </c>
      <c r="D50" s="29"/>
      <c r="E50" s="35">
        <v>320</v>
      </c>
      <c r="F50" s="32">
        <v>0</v>
      </c>
      <c r="G50" s="33">
        <v>53</v>
      </c>
      <c r="H50" s="32">
        <v>22.9</v>
      </c>
      <c r="I50" s="34">
        <v>1018.8</v>
      </c>
      <c r="J50" s="36" t="s">
        <v>430</v>
      </c>
    </row>
    <row r="51" spans="1:10">
      <c r="A51" s="4">
        <v>41521</v>
      </c>
      <c r="C51" s="32">
        <v>0.75</v>
      </c>
      <c r="D51" s="29"/>
      <c r="E51" s="35">
        <v>295</v>
      </c>
      <c r="F51" s="32">
        <v>0</v>
      </c>
      <c r="G51" s="33">
        <v>61</v>
      </c>
      <c r="H51" s="32">
        <v>21.3</v>
      </c>
      <c r="I51" s="34">
        <v>1015.4</v>
      </c>
      <c r="J51" s="36" t="s">
        <v>430</v>
      </c>
    </row>
    <row r="52" spans="1:10">
      <c r="A52" s="4">
        <v>41522</v>
      </c>
      <c r="C52" s="32">
        <v>1.3611111111111112</v>
      </c>
      <c r="D52" s="29"/>
      <c r="E52" s="35">
        <v>282</v>
      </c>
      <c r="F52" s="32">
        <v>2</v>
      </c>
      <c r="G52" s="33">
        <v>76</v>
      </c>
      <c r="H52" s="32">
        <v>20.3</v>
      </c>
      <c r="I52" s="34">
        <v>1013</v>
      </c>
      <c r="J52" s="36" t="s">
        <v>430</v>
      </c>
    </row>
    <row r="53" spans="1:10">
      <c r="A53" s="4">
        <v>41523</v>
      </c>
      <c r="C53" s="32">
        <v>1.25</v>
      </c>
      <c r="D53" s="29"/>
      <c r="E53" s="35">
        <v>306</v>
      </c>
      <c r="F53" s="32">
        <v>0</v>
      </c>
      <c r="G53" s="33">
        <v>75</v>
      </c>
      <c r="H53" s="32">
        <v>19.600000000000001</v>
      </c>
      <c r="I53" s="34">
        <v>1012.7</v>
      </c>
      <c r="J53" s="36" t="s">
        <v>430</v>
      </c>
    </row>
    <row r="54" spans="1:10">
      <c r="A54" s="4">
        <v>41524</v>
      </c>
      <c r="C54" s="32">
        <v>1.4444444444444444</v>
      </c>
      <c r="D54" s="29"/>
      <c r="E54" s="35">
        <v>286</v>
      </c>
      <c r="F54" s="32">
        <v>0</v>
      </c>
      <c r="G54" s="33">
        <v>75</v>
      </c>
      <c r="H54" s="32">
        <v>17.5</v>
      </c>
      <c r="I54" s="34">
        <v>1013.8</v>
      </c>
      <c r="J54" s="36" t="s">
        <v>430</v>
      </c>
    </row>
    <row r="55" spans="1:10">
      <c r="A55" s="4">
        <v>41525</v>
      </c>
      <c r="C55" s="32">
        <v>1.9722222222222221</v>
      </c>
      <c r="D55" s="29"/>
      <c r="E55" s="35">
        <v>290</v>
      </c>
      <c r="F55" s="32">
        <v>0</v>
      </c>
      <c r="G55" s="33">
        <v>64</v>
      </c>
      <c r="H55" s="32">
        <v>18.399999999999999</v>
      </c>
      <c r="I55" s="34">
        <v>1019.1</v>
      </c>
      <c r="J55" s="36" t="s">
        <v>430</v>
      </c>
    </row>
    <row r="56" spans="1:10">
      <c r="A56" s="4">
        <v>41526</v>
      </c>
      <c r="C56" s="32">
        <v>3.083333333333333</v>
      </c>
      <c r="D56" s="29"/>
      <c r="E56" s="35">
        <v>292</v>
      </c>
      <c r="F56" s="32">
        <v>0</v>
      </c>
      <c r="G56" s="33">
        <v>43</v>
      </c>
      <c r="H56" s="32">
        <v>23</v>
      </c>
      <c r="I56" s="34">
        <v>1020</v>
      </c>
      <c r="J56" s="36" t="s">
        <v>430</v>
      </c>
    </row>
    <row r="57" spans="1:10">
      <c r="A57" s="4">
        <v>41527</v>
      </c>
      <c r="C57" s="32">
        <v>3.083333333333333</v>
      </c>
      <c r="D57" s="29"/>
      <c r="E57" s="35">
        <v>292</v>
      </c>
      <c r="F57" s="32">
        <v>0</v>
      </c>
      <c r="G57" s="33">
        <v>43</v>
      </c>
      <c r="H57" s="32">
        <v>23</v>
      </c>
      <c r="I57" s="34">
        <v>1020</v>
      </c>
      <c r="J57" s="36" t="s">
        <v>430</v>
      </c>
    </row>
    <row r="58" spans="1:10">
      <c r="A58" s="4">
        <v>41528</v>
      </c>
      <c r="C58" s="32">
        <v>2.6388888888888888</v>
      </c>
      <c r="D58" s="29"/>
      <c r="E58" s="35">
        <v>292</v>
      </c>
      <c r="F58" s="32">
        <v>0</v>
      </c>
      <c r="G58" s="33">
        <v>44</v>
      </c>
      <c r="H58" s="32">
        <v>22.7</v>
      </c>
      <c r="I58" s="34">
        <v>1019.1</v>
      </c>
      <c r="J58" s="36" t="s">
        <v>430</v>
      </c>
    </row>
    <row r="59" spans="1:10">
      <c r="A59" s="4">
        <v>41529</v>
      </c>
      <c r="C59" s="32">
        <v>1.1944444444444444</v>
      </c>
      <c r="D59" s="29"/>
      <c r="E59" s="35">
        <v>349</v>
      </c>
      <c r="F59" s="32">
        <v>0</v>
      </c>
      <c r="G59" s="33">
        <v>42</v>
      </c>
      <c r="H59" s="32">
        <v>23.5</v>
      </c>
      <c r="I59" s="34">
        <v>1016.1</v>
      </c>
      <c r="J59" s="36" t="s">
        <v>430</v>
      </c>
    </row>
    <row r="60" spans="1:10">
      <c r="A60" s="4">
        <v>41530</v>
      </c>
      <c r="C60" s="32">
        <v>0.86111111111111116</v>
      </c>
      <c r="D60" s="29"/>
      <c r="E60" s="35">
        <v>291</v>
      </c>
      <c r="F60" s="32">
        <v>0</v>
      </c>
      <c r="G60" s="33">
        <v>41</v>
      </c>
      <c r="H60" s="32">
        <v>22.2</v>
      </c>
      <c r="I60" s="34">
        <v>1018.1</v>
      </c>
      <c r="J60" s="36" t="s">
        <v>430</v>
      </c>
    </row>
    <row r="61" spans="1:10">
      <c r="A61" s="4">
        <v>41531</v>
      </c>
      <c r="C61" s="32">
        <v>1.4722222222222221</v>
      </c>
      <c r="D61" s="29"/>
      <c r="E61" s="35">
        <v>312</v>
      </c>
      <c r="F61" s="32">
        <v>0</v>
      </c>
      <c r="G61" s="33">
        <v>67</v>
      </c>
      <c r="H61" s="32">
        <v>18.600000000000001</v>
      </c>
      <c r="I61" s="34">
        <v>1017.9</v>
      </c>
      <c r="J61" s="36" t="s">
        <v>429</v>
      </c>
    </row>
    <row r="62" spans="1:10">
      <c r="A62" s="4">
        <v>41532</v>
      </c>
      <c r="C62" s="32">
        <v>1.3888888888888888</v>
      </c>
      <c r="D62" s="29"/>
      <c r="E62" s="35">
        <v>295</v>
      </c>
      <c r="F62" s="32">
        <v>0</v>
      </c>
      <c r="G62" s="33">
        <v>75</v>
      </c>
      <c r="H62" s="32">
        <v>19.7</v>
      </c>
      <c r="I62" s="34">
        <v>1015.5</v>
      </c>
      <c r="J62" s="36" t="s">
        <v>429</v>
      </c>
    </row>
    <row r="63" spans="1:10">
      <c r="A63" s="4">
        <v>41533</v>
      </c>
      <c r="C63" s="32">
        <v>1.5833333333333333</v>
      </c>
      <c r="D63" s="29"/>
      <c r="E63" s="35">
        <v>295</v>
      </c>
      <c r="F63" s="32">
        <v>0</v>
      </c>
      <c r="G63" s="33">
        <v>78</v>
      </c>
      <c r="H63" s="32">
        <v>18</v>
      </c>
      <c r="I63" s="34">
        <v>1014.2</v>
      </c>
      <c r="J63" s="36" t="s">
        <v>429</v>
      </c>
    </row>
    <row r="64" spans="1:10">
      <c r="A64" s="4">
        <v>41534</v>
      </c>
      <c r="C64" s="32">
        <v>1.7222222222222223</v>
      </c>
      <c r="D64" s="29"/>
      <c r="E64" s="35">
        <v>290</v>
      </c>
      <c r="F64" s="32">
        <v>0</v>
      </c>
      <c r="G64" s="33">
        <v>72</v>
      </c>
      <c r="H64" s="32">
        <v>18.7</v>
      </c>
      <c r="I64" s="34">
        <v>1013.9</v>
      </c>
      <c r="J64" s="36" t="s">
        <v>429</v>
      </c>
    </row>
    <row r="65" spans="1:10">
      <c r="A65" s="4">
        <v>41535</v>
      </c>
      <c r="C65" s="32">
        <v>1.8611111111111112</v>
      </c>
      <c r="D65" s="29"/>
      <c r="E65" s="35">
        <v>307</v>
      </c>
      <c r="F65" s="32">
        <v>0</v>
      </c>
      <c r="G65" s="33">
        <v>79</v>
      </c>
      <c r="H65" s="32">
        <v>17.600000000000001</v>
      </c>
      <c r="I65" s="34">
        <v>1015.2</v>
      </c>
      <c r="J65" s="36" t="s">
        <v>429</v>
      </c>
    </row>
    <row r="66" spans="1:10">
      <c r="A66" s="4">
        <v>41536</v>
      </c>
      <c r="C66" s="32">
        <v>1.3055555555555556</v>
      </c>
      <c r="D66" s="29"/>
      <c r="E66" s="35">
        <v>313</v>
      </c>
      <c r="F66" s="32">
        <v>0</v>
      </c>
      <c r="G66" s="33">
        <v>72</v>
      </c>
      <c r="H66" s="32">
        <v>20.100000000000001</v>
      </c>
      <c r="I66" s="34">
        <v>1015.1</v>
      </c>
      <c r="J66" s="36" t="s">
        <v>429</v>
      </c>
    </row>
    <row r="67" spans="1:10">
      <c r="A67" s="4">
        <v>41537</v>
      </c>
      <c r="C67" s="32">
        <v>1.1111111111111112</v>
      </c>
      <c r="D67" s="29"/>
      <c r="E67" s="35">
        <v>332</v>
      </c>
      <c r="F67" s="32">
        <v>0</v>
      </c>
      <c r="G67" s="33">
        <v>61</v>
      </c>
      <c r="H67" s="32">
        <v>21.2</v>
      </c>
      <c r="I67" s="34">
        <v>1015.4</v>
      </c>
      <c r="J67" s="36" t="s">
        <v>429</v>
      </c>
    </row>
    <row r="68" spans="1:10">
      <c r="A68" s="4">
        <v>41538</v>
      </c>
      <c r="C68" s="32">
        <v>1</v>
      </c>
      <c r="D68" s="29"/>
      <c r="E68" s="35">
        <v>184</v>
      </c>
      <c r="F68" s="32">
        <v>0</v>
      </c>
      <c r="G68" s="33">
        <v>49</v>
      </c>
      <c r="H68" s="32">
        <v>23.2</v>
      </c>
      <c r="I68" s="34">
        <v>1017.1</v>
      </c>
      <c r="J68" s="36" t="s">
        <v>429</v>
      </c>
    </row>
    <row r="69" spans="1:10">
      <c r="A69" s="4">
        <v>41539</v>
      </c>
      <c r="C69" s="32">
        <v>1.1388888888888888</v>
      </c>
      <c r="D69" s="29"/>
      <c r="E69" s="35">
        <v>118</v>
      </c>
      <c r="F69" s="32">
        <v>0</v>
      </c>
      <c r="G69" s="33">
        <v>48</v>
      </c>
      <c r="H69" s="32">
        <v>22.7</v>
      </c>
      <c r="I69" s="34">
        <v>1017.6</v>
      </c>
      <c r="J69" s="36" t="s">
        <v>429</v>
      </c>
    </row>
    <row r="70" spans="1:10">
      <c r="A70" s="4">
        <v>41540</v>
      </c>
      <c r="C70" s="32">
        <v>1.2777777777777777</v>
      </c>
      <c r="D70" s="29"/>
      <c r="E70" s="35">
        <v>208</v>
      </c>
      <c r="F70" s="32">
        <v>0</v>
      </c>
      <c r="G70" s="33">
        <v>57.999999999999993</v>
      </c>
      <c r="H70" s="32">
        <v>21.7</v>
      </c>
      <c r="I70" s="34">
        <v>1015.4</v>
      </c>
      <c r="J70" s="36" t="s">
        <v>429</v>
      </c>
    </row>
    <row r="71" spans="1:10">
      <c r="A71" s="4">
        <v>41541</v>
      </c>
      <c r="C71" s="32">
        <v>1.3055555555555556</v>
      </c>
      <c r="D71" s="29"/>
      <c r="E71" s="35">
        <v>203</v>
      </c>
      <c r="F71" s="32">
        <v>0</v>
      </c>
      <c r="G71" s="33">
        <v>70</v>
      </c>
      <c r="H71" s="32">
        <v>21.5</v>
      </c>
      <c r="I71" s="34">
        <v>1013.3</v>
      </c>
      <c r="J71" s="36" t="s">
        <v>429</v>
      </c>
    </row>
    <row r="72" spans="1:10">
      <c r="A72" s="4">
        <v>41542</v>
      </c>
      <c r="C72" s="32">
        <v>1.1944444444444444</v>
      </c>
      <c r="D72" s="29"/>
      <c r="E72" s="35">
        <v>172</v>
      </c>
      <c r="F72" s="32">
        <v>4</v>
      </c>
      <c r="G72" s="33">
        <v>87</v>
      </c>
      <c r="H72" s="32">
        <v>18.899999999999999</v>
      </c>
      <c r="I72" s="34">
        <v>1011</v>
      </c>
      <c r="J72" s="36" t="s">
        <v>429</v>
      </c>
    </row>
    <row r="73" spans="1:10">
      <c r="A73" s="4">
        <v>41543</v>
      </c>
      <c r="C73" s="32">
        <v>3.3055555555555554</v>
      </c>
      <c r="D73" s="29"/>
      <c r="E73" s="35">
        <v>166</v>
      </c>
      <c r="F73" s="32">
        <v>0</v>
      </c>
      <c r="G73" s="33">
        <v>75</v>
      </c>
      <c r="H73" s="32">
        <v>19.899999999999999</v>
      </c>
      <c r="I73" s="34">
        <v>1009.1</v>
      </c>
      <c r="J73" s="36" t="s">
        <v>429</v>
      </c>
    </row>
    <row r="74" spans="1:10">
      <c r="A74" s="4">
        <v>41544</v>
      </c>
      <c r="C74" s="32">
        <v>4.1944444444444446</v>
      </c>
      <c r="D74" s="29"/>
      <c r="E74" s="35">
        <v>172</v>
      </c>
      <c r="F74" s="32">
        <v>3</v>
      </c>
      <c r="G74" s="33">
        <v>80</v>
      </c>
      <c r="H74" s="32">
        <v>20.399999999999999</v>
      </c>
      <c r="I74" s="34">
        <v>1004.7</v>
      </c>
      <c r="J74" s="36" t="s">
        <v>429</v>
      </c>
    </row>
    <row r="75" spans="1:10">
      <c r="A75" s="4">
        <v>41545</v>
      </c>
      <c r="C75" s="32">
        <v>3.8333333333333335</v>
      </c>
      <c r="D75" s="29"/>
      <c r="E75" s="35">
        <v>211</v>
      </c>
      <c r="F75" s="32">
        <v>15.4</v>
      </c>
      <c r="G75" s="33">
        <v>85</v>
      </c>
      <c r="H75" s="32">
        <v>19.399999999999999</v>
      </c>
      <c r="I75" s="34">
        <v>1004.2</v>
      </c>
      <c r="J75" s="36" t="s">
        <v>429</v>
      </c>
    </row>
    <row r="76" spans="1:10">
      <c r="A76" s="4">
        <v>41546</v>
      </c>
      <c r="C76" s="32">
        <v>2.3333333333333335</v>
      </c>
      <c r="D76" s="29"/>
      <c r="E76" s="35">
        <v>195</v>
      </c>
      <c r="F76" s="32">
        <v>4</v>
      </c>
      <c r="G76" s="33">
        <v>92</v>
      </c>
      <c r="H76" s="32">
        <v>19</v>
      </c>
      <c r="I76" s="34">
        <v>1008.3</v>
      </c>
      <c r="J76" s="36" t="s">
        <v>429</v>
      </c>
    </row>
    <row r="77" spans="1:10">
      <c r="A77" s="4">
        <v>41547</v>
      </c>
      <c r="C77" s="32">
        <v>2.5833333333333335</v>
      </c>
      <c r="D77" s="29"/>
      <c r="E77" s="35">
        <v>225</v>
      </c>
      <c r="F77" s="32">
        <v>0</v>
      </c>
      <c r="G77" s="33">
        <v>97</v>
      </c>
      <c r="H77" s="32">
        <v>19.600000000000001</v>
      </c>
      <c r="I77" s="34">
        <v>1008</v>
      </c>
      <c r="J77" s="36" t="s">
        <v>429</v>
      </c>
    </row>
    <row r="78" spans="1:10">
      <c r="A78" s="4">
        <v>41548</v>
      </c>
      <c r="C78" s="32">
        <v>2.4444444444444446</v>
      </c>
      <c r="D78" s="29"/>
      <c r="E78" s="35">
        <v>194</v>
      </c>
      <c r="F78" s="32">
        <v>12.3</v>
      </c>
      <c r="G78" s="33">
        <v>94</v>
      </c>
      <c r="H78" s="32">
        <v>20</v>
      </c>
      <c r="I78" s="34">
        <v>1007.8</v>
      </c>
      <c r="J78" s="36" t="s">
        <v>429</v>
      </c>
    </row>
    <row r="79" spans="1:10">
      <c r="A79" s="4">
        <v>41549</v>
      </c>
      <c r="C79" s="32">
        <v>1.8055555555555556</v>
      </c>
      <c r="D79" s="29"/>
      <c r="E79" s="35">
        <v>169</v>
      </c>
      <c r="F79" s="32">
        <v>1</v>
      </c>
      <c r="G79" s="33">
        <v>91</v>
      </c>
      <c r="H79" s="32">
        <v>19.2</v>
      </c>
      <c r="I79" s="34">
        <v>1006.2</v>
      </c>
      <c r="J79" s="36" t="s">
        <v>429</v>
      </c>
    </row>
    <row r="80" spans="1:10">
      <c r="A80" s="4">
        <v>41550</v>
      </c>
      <c r="C80" s="32">
        <v>2.5555555555555554</v>
      </c>
      <c r="D80" s="29"/>
      <c r="E80" s="35">
        <v>202</v>
      </c>
      <c r="F80" s="32">
        <v>1</v>
      </c>
      <c r="G80" s="33">
        <v>78</v>
      </c>
      <c r="H80" s="32">
        <v>19.899999999999999</v>
      </c>
      <c r="I80" s="34">
        <v>1008</v>
      </c>
      <c r="J80" s="36" t="s">
        <v>429</v>
      </c>
    </row>
    <row r="81" spans="1:10">
      <c r="A81" s="4">
        <v>41551</v>
      </c>
      <c r="C81" s="32">
        <v>0.88888888888888895</v>
      </c>
      <c r="D81" s="29"/>
      <c r="E81" s="35">
        <v>235</v>
      </c>
      <c r="F81" s="32">
        <v>0</v>
      </c>
      <c r="G81" s="33">
        <v>83</v>
      </c>
      <c r="H81" s="32">
        <v>18.100000000000001</v>
      </c>
      <c r="I81" s="34">
        <v>1015.9</v>
      </c>
      <c r="J81" s="36" t="s">
        <v>429</v>
      </c>
    </row>
    <row r="82" spans="1:10">
      <c r="A82" s="4">
        <v>41552</v>
      </c>
      <c r="C82" s="32">
        <v>1.1388888888888888</v>
      </c>
      <c r="D82" s="29"/>
      <c r="E82" s="35">
        <v>333</v>
      </c>
      <c r="F82" s="32">
        <v>0</v>
      </c>
      <c r="G82" s="33">
        <v>86</v>
      </c>
      <c r="H82" s="32">
        <v>17.5</v>
      </c>
      <c r="I82" s="34">
        <v>1021.3</v>
      </c>
      <c r="J82" s="36" t="s">
        <v>429</v>
      </c>
    </row>
    <row r="83" spans="1:10">
      <c r="A83" s="4">
        <v>41553</v>
      </c>
      <c r="C83" s="32">
        <v>1.0277777777777779</v>
      </c>
      <c r="D83" s="29"/>
      <c r="E83" s="35">
        <v>325</v>
      </c>
      <c r="F83" s="32">
        <v>0</v>
      </c>
      <c r="G83" s="33">
        <v>78</v>
      </c>
      <c r="H83" s="32">
        <v>18.8</v>
      </c>
      <c r="I83" s="34">
        <v>1019.8</v>
      </c>
      <c r="J83" s="36" t="s">
        <v>429</v>
      </c>
    </row>
    <row r="84" spans="1:10">
      <c r="A84" s="4">
        <v>41554</v>
      </c>
      <c r="C84" s="32">
        <v>0.83333333333333326</v>
      </c>
      <c r="D84" s="29"/>
      <c r="E84" s="35">
        <v>337</v>
      </c>
      <c r="F84" s="32">
        <v>0</v>
      </c>
      <c r="G84" s="33">
        <v>73</v>
      </c>
      <c r="H84" s="32">
        <v>17.899999999999999</v>
      </c>
      <c r="I84" s="34">
        <v>1018.2</v>
      </c>
      <c r="J84" s="36" t="s">
        <v>429</v>
      </c>
    </row>
    <row r="85" spans="1:10">
      <c r="A85" s="4">
        <v>41555</v>
      </c>
      <c r="C85" s="32">
        <v>0.66666666666666663</v>
      </c>
      <c r="D85" s="29"/>
      <c r="E85" s="35">
        <v>342</v>
      </c>
      <c r="F85" s="32">
        <v>0</v>
      </c>
      <c r="G85" s="33">
        <v>72</v>
      </c>
      <c r="H85" s="32">
        <v>17.5</v>
      </c>
      <c r="I85" s="34">
        <v>1018</v>
      </c>
      <c r="J85" s="36" t="s">
        <v>429</v>
      </c>
    </row>
    <row r="86" spans="1:10">
      <c r="A86" s="4">
        <v>41556</v>
      </c>
      <c r="C86" s="32">
        <v>0.88888888888888895</v>
      </c>
      <c r="D86" s="29"/>
      <c r="E86" s="35">
        <v>20</v>
      </c>
      <c r="F86" s="32">
        <v>0</v>
      </c>
      <c r="G86" s="33">
        <v>67</v>
      </c>
      <c r="H86" s="32">
        <v>18.7</v>
      </c>
      <c r="I86" s="34">
        <v>1016.1</v>
      </c>
      <c r="J86" s="36" t="s">
        <v>429</v>
      </c>
    </row>
    <row r="87" spans="1:10">
      <c r="A87" s="4">
        <v>41557</v>
      </c>
      <c r="C87" s="32">
        <v>0.52777777777777779</v>
      </c>
      <c r="D87" s="29"/>
      <c r="E87" s="35">
        <v>260</v>
      </c>
      <c r="F87" s="32">
        <v>0</v>
      </c>
      <c r="G87" s="33">
        <v>67</v>
      </c>
      <c r="H87" s="32">
        <v>18.3</v>
      </c>
      <c r="I87" s="34">
        <v>1013.7</v>
      </c>
      <c r="J87" s="36" t="s">
        <v>429</v>
      </c>
    </row>
    <row r="88" spans="1:10">
      <c r="A88" s="4">
        <v>41558</v>
      </c>
      <c r="C88" s="32">
        <v>0.88888888888888895</v>
      </c>
      <c r="D88" s="29"/>
      <c r="E88" s="35">
        <v>258</v>
      </c>
      <c r="F88" s="32">
        <v>0</v>
      </c>
      <c r="G88" s="33">
        <v>78</v>
      </c>
      <c r="H88" s="32">
        <v>16.600000000000001</v>
      </c>
      <c r="I88" s="34">
        <v>1012.4</v>
      </c>
      <c r="J88" s="36" t="s">
        <v>429</v>
      </c>
    </row>
    <row r="89" spans="1:10">
      <c r="A89" s="4">
        <v>41559</v>
      </c>
      <c r="C89" s="32">
        <v>0.80555555555555547</v>
      </c>
      <c r="D89" s="29"/>
      <c r="E89" s="35">
        <v>244</v>
      </c>
      <c r="F89" s="32">
        <v>0</v>
      </c>
      <c r="G89" s="33">
        <v>71</v>
      </c>
      <c r="H89" s="32">
        <v>16.899999999999999</v>
      </c>
      <c r="I89" s="34">
        <v>1015.1</v>
      </c>
      <c r="J89" s="36" t="s">
        <v>429</v>
      </c>
    </row>
    <row r="90" spans="1:10">
      <c r="A90" s="4">
        <v>41560</v>
      </c>
      <c r="C90" s="32">
        <v>1.0833333333333333</v>
      </c>
      <c r="D90" s="29"/>
      <c r="E90" s="35">
        <v>202</v>
      </c>
      <c r="F90" s="32">
        <v>0</v>
      </c>
      <c r="G90" s="33">
        <v>79</v>
      </c>
      <c r="H90" s="32">
        <v>16.3</v>
      </c>
      <c r="I90" s="34">
        <v>1018.9</v>
      </c>
      <c r="J90" s="36" t="s">
        <v>429</v>
      </c>
    </row>
    <row r="91" spans="1:10">
      <c r="A91" s="4">
        <v>41561</v>
      </c>
      <c r="C91" s="32">
        <v>1.1944444444444444</v>
      </c>
      <c r="D91" s="29"/>
      <c r="E91" s="35">
        <v>191</v>
      </c>
      <c r="F91" s="32">
        <v>0</v>
      </c>
      <c r="G91" s="33">
        <v>84</v>
      </c>
      <c r="H91" s="32">
        <v>17.600000000000001</v>
      </c>
      <c r="I91" s="34">
        <v>1017.9</v>
      </c>
      <c r="J91" s="36" t="s">
        <v>429</v>
      </c>
    </row>
    <row r="92" spans="1:10">
      <c r="A92" s="4">
        <v>41562</v>
      </c>
      <c r="C92" s="32">
        <v>1.25</v>
      </c>
      <c r="D92" s="32"/>
      <c r="E92" s="35">
        <v>208</v>
      </c>
      <c r="F92" s="32">
        <v>0</v>
      </c>
      <c r="G92" s="33">
        <v>86</v>
      </c>
      <c r="H92" s="32">
        <v>19</v>
      </c>
      <c r="I92" s="34">
        <v>1018.7</v>
      </c>
      <c r="J92" s="36" t="s">
        <v>429</v>
      </c>
    </row>
    <row r="93" spans="1:10">
      <c r="A93" s="4">
        <v>41563</v>
      </c>
      <c r="C93" s="32">
        <v>0.75</v>
      </c>
      <c r="D93" s="29"/>
      <c r="E93" s="35">
        <v>205</v>
      </c>
      <c r="F93" s="32">
        <v>0</v>
      </c>
      <c r="G93" s="33">
        <v>85</v>
      </c>
      <c r="H93" s="32">
        <v>19.100000000000001</v>
      </c>
      <c r="I93" s="34">
        <v>1019.8</v>
      </c>
      <c r="J93" s="36" t="s">
        <v>429</v>
      </c>
    </row>
    <row r="94" spans="1:10">
      <c r="A94" s="4">
        <v>41564</v>
      </c>
      <c r="C94" s="32">
        <v>0.44444444444444448</v>
      </c>
      <c r="D94" s="29"/>
      <c r="E94" s="35">
        <v>265</v>
      </c>
      <c r="F94" s="32">
        <v>0</v>
      </c>
      <c r="G94" s="33">
        <v>86</v>
      </c>
      <c r="H94" s="32">
        <v>18.8</v>
      </c>
      <c r="I94" s="34">
        <v>1014.8</v>
      </c>
      <c r="J94" s="36" t="s">
        <v>429</v>
      </c>
    </row>
    <row r="95" spans="1:10">
      <c r="A95" s="4">
        <v>41565</v>
      </c>
      <c r="C95" s="32">
        <v>2.2222222222222223</v>
      </c>
      <c r="D95" s="29"/>
      <c r="E95" s="35">
        <v>171</v>
      </c>
      <c r="F95" s="32">
        <v>19.7</v>
      </c>
      <c r="G95" s="33">
        <v>90</v>
      </c>
      <c r="H95" s="32">
        <v>18.100000000000001</v>
      </c>
      <c r="I95" s="34">
        <v>1010</v>
      </c>
      <c r="J95" s="36" t="s">
        <v>429</v>
      </c>
    </row>
    <row r="96" spans="1:10">
      <c r="A96" s="4">
        <v>41566</v>
      </c>
      <c r="C96" s="32">
        <v>2.0277777777777777</v>
      </c>
      <c r="D96" s="29"/>
      <c r="E96" s="35">
        <v>193</v>
      </c>
      <c r="F96" s="32">
        <v>1</v>
      </c>
      <c r="G96" s="33">
        <v>86</v>
      </c>
      <c r="H96" s="32">
        <v>17.899999999999999</v>
      </c>
      <c r="I96" s="34">
        <v>1012</v>
      </c>
      <c r="J96" s="36" t="s">
        <v>429</v>
      </c>
    </row>
    <row r="97" spans="1:10">
      <c r="A97" s="4">
        <v>41567</v>
      </c>
      <c r="C97" s="32">
        <v>1.2777777777777777</v>
      </c>
      <c r="D97" s="29"/>
      <c r="E97" s="35">
        <v>173</v>
      </c>
      <c r="F97" s="32">
        <v>3</v>
      </c>
      <c r="G97" s="33">
        <v>87</v>
      </c>
      <c r="H97" s="32">
        <v>17.5</v>
      </c>
      <c r="I97" s="34">
        <v>1015</v>
      </c>
      <c r="J97" s="36" t="s">
        <v>429</v>
      </c>
    </row>
    <row r="98" spans="1:10">
      <c r="A98" s="4">
        <v>41568</v>
      </c>
      <c r="C98" s="32">
        <v>4.3055555555555554</v>
      </c>
      <c r="D98" s="29"/>
      <c r="E98" s="35">
        <v>168</v>
      </c>
      <c r="F98" s="32">
        <v>1</v>
      </c>
      <c r="G98" s="33">
        <v>80</v>
      </c>
      <c r="H98" s="32">
        <v>19.399999999999999</v>
      </c>
      <c r="I98" s="34">
        <v>1009.8</v>
      </c>
      <c r="J98" s="36" t="s">
        <v>429</v>
      </c>
    </row>
    <row r="99" spans="1:10">
      <c r="A99" s="4">
        <v>41569</v>
      </c>
      <c r="C99" s="32">
        <v>3.4444444444444446</v>
      </c>
      <c r="D99" s="29"/>
      <c r="E99" s="35">
        <v>201</v>
      </c>
      <c r="F99" s="32">
        <v>12.4</v>
      </c>
      <c r="G99" s="33">
        <v>85</v>
      </c>
      <c r="H99" s="32">
        <v>18.600000000000001</v>
      </c>
      <c r="I99" s="34">
        <v>1004.3</v>
      </c>
      <c r="J99" s="36" t="s">
        <v>429</v>
      </c>
    </row>
    <row r="100" spans="1:10">
      <c r="A100" s="4">
        <v>41570</v>
      </c>
      <c r="C100" s="32">
        <v>2.5555555555555554</v>
      </c>
      <c r="D100" s="29"/>
      <c r="E100" s="35">
        <v>164</v>
      </c>
      <c r="F100" s="32">
        <v>0</v>
      </c>
      <c r="G100" s="33">
        <v>87</v>
      </c>
      <c r="H100" s="32">
        <v>18</v>
      </c>
      <c r="I100" s="34">
        <v>1010.2</v>
      </c>
      <c r="J100" s="36" t="s">
        <v>429</v>
      </c>
    </row>
    <row r="101" spans="1:10">
      <c r="A101" s="4">
        <v>41571</v>
      </c>
      <c r="C101" s="32">
        <v>2.7777777777777777</v>
      </c>
      <c r="D101" s="29"/>
      <c r="E101" s="35">
        <v>186</v>
      </c>
      <c r="F101" s="32">
        <v>35.9</v>
      </c>
      <c r="G101" s="33">
        <v>91</v>
      </c>
      <c r="H101" s="32">
        <v>18.7</v>
      </c>
      <c r="I101" s="34">
        <v>1005.7</v>
      </c>
      <c r="J101" s="36" t="s">
        <v>429</v>
      </c>
    </row>
    <row r="102" spans="1:10">
      <c r="A102" s="4">
        <v>41572</v>
      </c>
      <c r="C102" s="32">
        <v>1.4166666666666665</v>
      </c>
      <c r="D102" s="29"/>
      <c r="E102" s="35">
        <v>155</v>
      </c>
      <c r="F102" s="32">
        <v>36</v>
      </c>
      <c r="G102" s="33">
        <v>94</v>
      </c>
      <c r="H102" s="32">
        <v>16.5</v>
      </c>
      <c r="I102" s="34">
        <v>1007.3</v>
      </c>
      <c r="J102" s="36" t="s">
        <v>429</v>
      </c>
    </row>
    <row r="103" spans="1:10">
      <c r="A103" s="4">
        <v>41573</v>
      </c>
      <c r="C103" s="32">
        <v>0.75</v>
      </c>
      <c r="D103" s="29"/>
      <c r="E103" s="35">
        <v>126</v>
      </c>
      <c r="F103" s="32">
        <v>0</v>
      </c>
      <c r="G103" s="33">
        <v>87</v>
      </c>
      <c r="H103" s="32">
        <v>15.6</v>
      </c>
      <c r="I103" s="34">
        <v>1015.9</v>
      </c>
      <c r="J103" s="36" t="s">
        <v>429</v>
      </c>
    </row>
    <row r="104" spans="1:10">
      <c r="A104" s="4">
        <v>41574</v>
      </c>
      <c r="C104" s="32">
        <v>0.69444444444444442</v>
      </c>
      <c r="D104" s="29"/>
      <c r="E104" s="35">
        <v>171</v>
      </c>
      <c r="F104" s="32">
        <v>0</v>
      </c>
      <c r="G104" s="33">
        <v>81</v>
      </c>
      <c r="H104" s="32">
        <v>15.6</v>
      </c>
      <c r="I104" s="34">
        <v>1020</v>
      </c>
      <c r="J104" s="36" t="s">
        <v>429</v>
      </c>
    </row>
    <row r="105" spans="1:10">
      <c r="A105" s="4">
        <v>41575</v>
      </c>
      <c r="C105" s="32">
        <v>0.91666666666666663</v>
      </c>
      <c r="D105" s="29"/>
      <c r="E105" s="35">
        <v>340</v>
      </c>
      <c r="F105" s="32">
        <v>8.3000000000000007</v>
      </c>
      <c r="G105" s="33">
        <v>92</v>
      </c>
      <c r="H105" s="32">
        <v>13.5</v>
      </c>
      <c r="I105" s="34">
        <v>1017.9</v>
      </c>
      <c r="J105" s="36" t="s">
        <v>429</v>
      </c>
    </row>
    <row r="106" spans="1:10">
      <c r="A106" s="4">
        <v>41576</v>
      </c>
      <c r="C106" s="32">
        <v>1.4444444444444444</v>
      </c>
      <c r="D106" s="29"/>
      <c r="E106" s="35">
        <v>351</v>
      </c>
      <c r="F106" s="32">
        <v>0</v>
      </c>
      <c r="G106" s="33">
        <v>76</v>
      </c>
      <c r="H106" s="32">
        <v>12.2</v>
      </c>
      <c r="I106" s="34">
        <v>1021</v>
      </c>
      <c r="J106" s="36" t="s">
        <v>429</v>
      </c>
    </row>
    <row r="107" spans="1:10">
      <c r="A107" s="4">
        <v>41577</v>
      </c>
      <c r="C107" s="32">
        <v>0.80555555555555547</v>
      </c>
      <c r="D107" s="29"/>
      <c r="E107" s="35">
        <v>342</v>
      </c>
      <c r="F107" s="32">
        <v>0</v>
      </c>
      <c r="G107" s="33">
        <v>76</v>
      </c>
      <c r="H107" s="32">
        <v>11</v>
      </c>
      <c r="I107" s="34">
        <v>1021</v>
      </c>
      <c r="J107" s="36" t="s">
        <v>429</v>
      </c>
    </row>
    <row r="108" spans="1:10">
      <c r="A108" s="4">
        <v>41578</v>
      </c>
      <c r="C108" s="32">
        <v>0.58333333333333337</v>
      </c>
      <c r="D108" s="29"/>
      <c r="E108" s="35">
        <v>337</v>
      </c>
      <c r="F108" s="32">
        <v>0</v>
      </c>
      <c r="G108" s="33">
        <v>76</v>
      </c>
      <c r="H108" s="32">
        <v>11.1</v>
      </c>
      <c r="I108" s="34">
        <v>1021.1</v>
      </c>
      <c r="J108" s="36" t="s">
        <v>429</v>
      </c>
    </row>
    <row r="109" spans="1:10">
      <c r="A109" s="4">
        <v>41579</v>
      </c>
      <c r="C109" s="32">
        <v>0.86111111111111116</v>
      </c>
      <c r="D109" s="29"/>
      <c r="E109" s="35">
        <v>182</v>
      </c>
      <c r="F109" s="32">
        <v>0</v>
      </c>
      <c r="G109" s="33">
        <v>89</v>
      </c>
      <c r="H109" s="32">
        <v>14.3</v>
      </c>
      <c r="I109" s="34">
        <v>1019.8</v>
      </c>
      <c r="J109" s="36" t="s">
        <v>429</v>
      </c>
    </row>
    <row r="110" spans="1:10">
      <c r="A110" s="4">
        <v>41580</v>
      </c>
      <c r="C110" s="32">
        <v>1.3333333333333333</v>
      </c>
      <c r="D110" s="29"/>
      <c r="E110" s="35">
        <v>215</v>
      </c>
      <c r="F110" s="32">
        <v>1</v>
      </c>
      <c r="G110" s="33">
        <v>86</v>
      </c>
      <c r="H110" s="32">
        <v>16.8</v>
      </c>
      <c r="I110" s="34">
        <v>1017</v>
      </c>
      <c r="J110" s="36" t="s">
        <v>429</v>
      </c>
    </row>
    <row r="111" spans="1:10">
      <c r="A111" s="4">
        <v>41581</v>
      </c>
      <c r="C111" s="32">
        <v>0.91666666666666663</v>
      </c>
      <c r="D111" s="29"/>
      <c r="E111" s="35">
        <v>322</v>
      </c>
      <c r="F111" s="32">
        <v>0</v>
      </c>
      <c r="G111" s="33">
        <v>81</v>
      </c>
      <c r="H111" s="32">
        <v>15.4</v>
      </c>
      <c r="I111" s="34">
        <v>1019.2</v>
      </c>
      <c r="J111" s="36" t="s">
        <v>429</v>
      </c>
    </row>
    <row r="112" spans="1:10">
      <c r="A112" s="4">
        <v>41582</v>
      </c>
      <c r="C112" s="32">
        <v>2.3611111111111112</v>
      </c>
      <c r="D112" s="29"/>
      <c r="E112" s="35">
        <v>256</v>
      </c>
      <c r="F112" s="32">
        <v>0</v>
      </c>
      <c r="G112" s="33">
        <v>85</v>
      </c>
      <c r="H112" s="32">
        <v>16.2</v>
      </c>
      <c r="I112" s="34">
        <v>1017.9</v>
      </c>
      <c r="J112" s="36" t="s">
        <v>429</v>
      </c>
    </row>
    <row r="113" spans="1:10">
      <c r="A113" s="4">
        <v>41583</v>
      </c>
      <c r="C113" s="32">
        <v>1</v>
      </c>
      <c r="D113" s="29"/>
      <c r="E113" s="35">
        <v>296</v>
      </c>
      <c r="F113" s="32">
        <v>0</v>
      </c>
      <c r="G113" s="33">
        <v>94</v>
      </c>
      <c r="H113" s="32">
        <v>16.600000000000001</v>
      </c>
      <c r="I113" s="34">
        <v>1020.2</v>
      </c>
      <c r="J113" s="36" t="s">
        <v>429</v>
      </c>
    </row>
    <row r="114" spans="1:10">
      <c r="A114" s="4">
        <v>41584</v>
      </c>
      <c r="C114" s="32">
        <v>0.66666666666666663</v>
      </c>
      <c r="D114" s="29"/>
      <c r="E114" s="35">
        <v>210</v>
      </c>
      <c r="F114" s="32">
        <v>0</v>
      </c>
      <c r="G114" s="33">
        <v>87</v>
      </c>
      <c r="H114" s="32">
        <v>16.399999999999999</v>
      </c>
      <c r="I114" s="34">
        <v>1019</v>
      </c>
      <c r="J114" s="36" t="s">
        <v>429</v>
      </c>
    </row>
    <row r="115" spans="1:10">
      <c r="A115" s="4">
        <v>41585</v>
      </c>
      <c r="C115" s="32">
        <v>1.5555555555555554</v>
      </c>
      <c r="D115" s="29"/>
      <c r="E115" s="35">
        <v>192</v>
      </c>
      <c r="F115" s="32">
        <v>0</v>
      </c>
      <c r="G115" s="33">
        <v>81</v>
      </c>
      <c r="H115" s="32">
        <v>16.8</v>
      </c>
      <c r="I115" s="34">
        <v>1017.4</v>
      </c>
      <c r="J115" s="36" t="s">
        <v>429</v>
      </c>
    </row>
    <row r="116" spans="1:10">
      <c r="A116" s="4">
        <v>41586</v>
      </c>
      <c r="C116" s="32">
        <v>1.6388888888888888</v>
      </c>
      <c r="D116" s="29"/>
      <c r="E116" s="35">
        <v>281</v>
      </c>
      <c r="F116" s="32">
        <v>5</v>
      </c>
      <c r="G116" s="33">
        <v>85</v>
      </c>
      <c r="H116" s="32">
        <v>15.4</v>
      </c>
      <c r="I116" s="34">
        <v>1019.2</v>
      </c>
      <c r="J116" s="36" t="s">
        <v>429</v>
      </c>
    </row>
    <row r="117" spans="1:10">
      <c r="A117" s="4">
        <v>41587</v>
      </c>
      <c r="C117" s="32">
        <v>0.58333333333333337</v>
      </c>
      <c r="D117" s="29"/>
      <c r="E117" s="35">
        <v>252</v>
      </c>
      <c r="F117" s="32">
        <v>0</v>
      </c>
      <c r="G117" s="33">
        <v>88</v>
      </c>
      <c r="H117" s="32">
        <v>12.8</v>
      </c>
      <c r="I117" s="34">
        <v>1025.0999999999999</v>
      </c>
      <c r="J117" s="36" t="s">
        <v>429</v>
      </c>
    </row>
    <row r="118" spans="1:10">
      <c r="A118" s="4">
        <v>41588</v>
      </c>
      <c r="C118" s="32">
        <v>1.8333333333333333</v>
      </c>
      <c r="D118" s="29"/>
      <c r="E118" s="35">
        <v>341</v>
      </c>
      <c r="F118" s="32">
        <v>1</v>
      </c>
      <c r="G118" s="33">
        <v>87</v>
      </c>
      <c r="H118" s="32">
        <v>15.2</v>
      </c>
      <c r="I118" s="34">
        <v>1027.2</v>
      </c>
      <c r="J118" s="36" t="s">
        <v>429</v>
      </c>
    </row>
    <row r="119" spans="1:10">
      <c r="A119" s="4">
        <v>41589</v>
      </c>
      <c r="C119" s="32">
        <v>1.6111111111111109</v>
      </c>
      <c r="D119" s="29"/>
      <c r="E119" s="35">
        <v>336</v>
      </c>
      <c r="F119" s="32">
        <v>0</v>
      </c>
      <c r="G119" s="33">
        <v>84</v>
      </c>
      <c r="H119" s="32">
        <v>13.2</v>
      </c>
      <c r="I119" s="34">
        <v>1023.9</v>
      </c>
      <c r="J119" s="36" t="s">
        <v>429</v>
      </c>
    </row>
    <row r="120" spans="1:10">
      <c r="A120" s="4">
        <v>41590</v>
      </c>
      <c r="C120" s="32">
        <v>0.77777777777777768</v>
      </c>
      <c r="D120" s="29"/>
      <c r="E120" s="35">
        <v>311</v>
      </c>
      <c r="F120" s="32">
        <v>0</v>
      </c>
      <c r="G120" s="33">
        <v>86</v>
      </c>
      <c r="H120" s="32">
        <v>12</v>
      </c>
      <c r="I120" s="34">
        <v>1020.2</v>
      </c>
      <c r="J120" s="36" t="s">
        <v>429</v>
      </c>
    </row>
    <row r="121" spans="1:10">
      <c r="A121" s="4">
        <v>41591</v>
      </c>
      <c r="C121" s="32">
        <v>0.91666666666666663</v>
      </c>
      <c r="D121" s="29"/>
      <c r="E121" s="35">
        <v>3</v>
      </c>
      <c r="F121" s="32">
        <v>0</v>
      </c>
      <c r="G121" s="33">
        <v>82</v>
      </c>
      <c r="H121" s="32">
        <v>13.1</v>
      </c>
      <c r="I121" s="34">
        <v>1019.2</v>
      </c>
      <c r="J121" s="36" t="s">
        <v>429</v>
      </c>
    </row>
    <row r="122" spans="1:10">
      <c r="A122" s="4">
        <v>41592</v>
      </c>
      <c r="C122" s="32">
        <v>1.1111111111111112</v>
      </c>
      <c r="D122" s="29"/>
      <c r="E122" s="35">
        <v>8</v>
      </c>
      <c r="F122" s="32">
        <v>0</v>
      </c>
      <c r="G122" s="33">
        <v>73</v>
      </c>
      <c r="H122" s="32">
        <v>12.2</v>
      </c>
      <c r="I122" s="34">
        <v>1023.8</v>
      </c>
      <c r="J122" s="36" t="s">
        <v>429</v>
      </c>
    </row>
    <row r="123" spans="1:10">
      <c r="A123" s="4">
        <v>41593</v>
      </c>
      <c r="C123" s="32">
        <v>1.6944444444444442</v>
      </c>
      <c r="D123" s="29"/>
      <c r="E123" s="35">
        <v>2</v>
      </c>
      <c r="F123" s="32">
        <v>0</v>
      </c>
      <c r="G123" s="33">
        <v>71</v>
      </c>
      <c r="H123" s="32">
        <v>9.6</v>
      </c>
      <c r="I123" s="34">
        <v>1020.8</v>
      </c>
      <c r="J123" s="36" t="s">
        <v>429</v>
      </c>
    </row>
    <row r="124" spans="1:10">
      <c r="A124" s="4">
        <v>41594</v>
      </c>
      <c r="C124" s="32">
        <v>1.4722222222222221</v>
      </c>
      <c r="D124" s="29"/>
      <c r="E124" s="35">
        <v>25</v>
      </c>
      <c r="F124" s="32">
        <v>0</v>
      </c>
      <c r="G124" s="33">
        <v>65</v>
      </c>
      <c r="H124" s="32">
        <v>9.1</v>
      </c>
      <c r="I124" s="34">
        <v>1016</v>
      </c>
      <c r="J124" s="36" t="s">
        <v>429</v>
      </c>
    </row>
    <row r="125" spans="1:10">
      <c r="A125" s="4">
        <v>41595</v>
      </c>
      <c r="C125" s="32">
        <v>0.72222222222222221</v>
      </c>
      <c r="D125" s="29"/>
      <c r="E125" s="35">
        <v>271</v>
      </c>
      <c r="F125" s="32">
        <v>0</v>
      </c>
      <c r="G125" s="33">
        <v>71</v>
      </c>
      <c r="H125" s="32">
        <v>9</v>
      </c>
      <c r="I125" s="34">
        <v>1013.8</v>
      </c>
      <c r="J125" s="36" t="s">
        <v>429</v>
      </c>
    </row>
    <row r="126" spans="1:10">
      <c r="A126" s="4">
        <v>41596</v>
      </c>
      <c r="C126" s="32">
        <v>1.0833333333333333</v>
      </c>
      <c r="D126" s="29"/>
      <c r="E126" s="35">
        <v>325</v>
      </c>
      <c r="F126" s="32">
        <v>0</v>
      </c>
      <c r="G126" s="33">
        <v>82</v>
      </c>
      <c r="H126" s="32">
        <v>9.1</v>
      </c>
      <c r="I126" s="34">
        <v>1010.7</v>
      </c>
      <c r="J126" s="36" t="s">
        <v>429</v>
      </c>
    </row>
    <row r="127" spans="1:10">
      <c r="A127" s="4">
        <v>41597</v>
      </c>
      <c r="C127" s="32">
        <v>1.4166666666666665</v>
      </c>
      <c r="D127" s="29"/>
      <c r="E127" s="35">
        <v>337</v>
      </c>
      <c r="F127" s="32">
        <v>0</v>
      </c>
      <c r="G127" s="33">
        <v>83</v>
      </c>
      <c r="H127" s="32">
        <v>9.6999999999999993</v>
      </c>
      <c r="I127" s="34">
        <v>1013.3</v>
      </c>
      <c r="J127" s="36" t="s">
        <v>429</v>
      </c>
    </row>
    <row r="128" spans="1:10">
      <c r="A128" s="4">
        <v>41598</v>
      </c>
      <c r="C128" s="32">
        <v>0.52777777777777779</v>
      </c>
      <c r="D128" s="29"/>
      <c r="E128" s="35">
        <v>336</v>
      </c>
      <c r="F128" s="32">
        <v>0</v>
      </c>
      <c r="G128" s="33">
        <v>77</v>
      </c>
      <c r="H128" s="32">
        <v>6.6</v>
      </c>
      <c r="I128" s="34">
        <v>1017.3</v>
      </c>
      <c r="J128" s="36" t="s">
        <v>429</v>
      </c>
    </row>
    <row r="129" spans="1:10">
      <c r="A129" s="4">
        <v>41599</v>
      </c>
      <c r="C129" s="32">
        <v>0.3611111111111111</v>
      </c>
      <c r="D129" s="29"/>
      <c r="E129" s="35">
        <v>129</v>
      </c>
      <c r="F129" s="32">
        <v>0</v>
      </c>
      <c r="G129" s="33">
        <v>81</v>
      </c>
      <c r="H129" s="32">
        <v>7.8</v>
      </c>
      <c r="I129" s="34">
        <v>1013.3</v>
      </c>
      <c r="J129" s="36" t="s">
        <v>429</v>
      </c>
    </row>
    <row r="130" spans="1:10">
      <c r="A130" s="4">
        <v>41600</v>
      </c>
      <c r="C130" s="32">
        <v>1.6111111111111109</v>
      </c>
      <c r="D130" s="29"/>
      <c r="E130" s="35">
        <v>84</v>
      </c>
      <c r="F130" s="32">
        <v>9</v>
      </c>
      <c r="G130" s="33">
        <v>91</v>
      </c>
      <c r="H130" s="32">
        <v>10.1</v>
      </c>
      <c r="I130" s="34">
        <v>1008.1</v>
      </c>
      <c r="J130" s="36" t="s">
        <v>429</v>
      </c>
    </row>
    <row r="131" spans="1:10">
      <c r="A131" s="4">
        <v>41601</v>
      </c>
      <c r="C131" s="32">
        <v>1.6666666666666665</v>
      </c>
      <c r="D131" s="29"/>
      <c r="E131" s="35">
        <v>80</v>
      </c>
      <c r="F131" s="32">
        <v>0</v>
      </c>
      <c r="G131" s="33">
        <v>69</v>
      </c>
      <c r="H131" s="32">
        <v>8.4</v>
      </c>
      <c r="I131" s="34">
        <v>1010.8</v>
      </c>
      <c r="J131" s="36" t="s">
        <v>429</v>
      </c>
    </row>
    <row r="132" spans="1:10">
      <c r="A132" s="4">
        <v>41602</v>
      </c>
      <c r="C132" s="32">
        <v>1</v>
      </c>
      <c r="D132" s="29"/>
      <c r="E132" s="35">
        <v>5</v>
      </c>
      <c r="F132" s="32">
        <v>0</v>
      </c>
      <c r="G132" s="33">
        <v>75</v>
      </c>
      <c r="H132" s="32">
        <v>6.1</v>
      </c>
      <c r="I132" s="34">
        <v>1015.4</v>
      </c>
      <c r="J132" s="36" t="s">
        <v>429</v>
      </c>
    </row>
    <row r="133" spans="1:10">
      <c r="A133" s="4">
        <v>41603</v>
      </c>
      <c r="C133" s="32">
        <v>0.97222222222222221</v>
      </c>
      <c r="D133" s="29"/>
      <c r="E133" s="35">
        <v>358</v>
      </c>
      <c r="F133" s="32">
        <v>0</v>
      </c>
      <c r="G133" s="33">
        <v>71</v>
      </c>
      <c r="H133" s="32">
        <v>6.7</v>
      </c>
      <c r="I133" s="34">
        <v>1019.7</v>
      </c>
      <c r="J133" s="36" t="s">
        <v>429</v>
      </c>
    </row>
    <row r="134" spans="1:10">
      <c r="A134" s="4">
        <v>41604</v>
      </c>
      <c r="C134" s="32">
        <v>0.77777777777777768</v>
      </c>
      <c r="D134" s="29"/>
      <c r="E134" s="35">
        <v>62</v>
      </c>
      <c r="F134" s="32">
        <v>0</v>
      </c>
      <c r="G134" s="33">
        <v>69</v>
      </c>
      <c r="H134" s="32">
        <v>6.4</v>
      </c>
      <c r="I134" s="34">
        <v>1019.2</v>
      </c>
      <c r="J134" s="36" t="s">
        <v>429</v>
      </c>
    </row>
    <row r="135" spans="1:10">
      <c r="A135" s="4">
        <v>41605</v>
      </c>
      <c r="C135" s="32">
        <v>1.6111111111111109</v>
      </c>
      <c r="D135" s="29"/>
      <c r="E135" s="35">
        <v>76</v>
      </c>
      <c r="F135" s="32">
        <v>0</v>
      </c>
      <c r="G135" s="33">
        <v>61</v>
      </c>
      <c r="H135" s="32">
        <v>6.4</v>
      </c>
      <c r="I135" s="34">
        <v>1018</v>
      </c>
      <c r="J135" s="36" t="s">
        <v>429</v>
      </c>
    </row>
    <row r="136" spans="1:10">
      <c r="A136" s="4">
        <v>41606</v>
      </c>
      <c r="C136" s="32">
        <v>2.1944444444444446</v>
      </c>
      <c r="D136" s="29"/>
      <c r="E136" s="35">
        <v>77</v>
      </c>
      <c r="F136" s="32">
        <v>0</v>
      </c>
      <c r="G136" s="33">
        <v>60</v>
      </c>
      <c r="H136" s="32">
        <v>6.9</v>
      </c>
      <c r="I136" s="34">
        <v>1019.9</v>
      </c>
      <c r="J136" s="36" t="s">
        <v>429</v>
      </c>
    </row>
    <row r="137" spans="1:10">
      <c r="A137" s="4">
        <v>41607</v>
      </c>
      <c r="C137" s="32">
        <v>0.88888888888888895</v>
      </c>
      <c r="D137" s="29"/>
      <c r="E137" s="35">
        <v>43</v>
      </c>
      <c r="F137" s="32">
        <v>0</v>
      </c>
      <c r="G137" s="33">
        <v>63</v>
      </c>
      <c r="H137" s="32">
        <v>7.7</v>
      </c>
      <c r="I137" s="34">
        <v>1022.8</v>
      </c>
      <c r="J137" s="36" t="s">
        <v>429</v>
      </c>
    </row>
    <row r="138" spans="1:10">
      <c r="A138" s="4">
        <v>41608</v>
      </c>
      <c r="C138" s="32">
        <v>0.77777777777777768</v>
      </c>
      <c r="D138" s="29"/>
      <c r="E138" s="35">
        <v>338</v>
      </c>
      <c r="F138" s="32">
        <v>0</v>
      </c>
      <c r="G138" s="33">
        <v>75</v>
      </c>
      <c r="H138" s="32">
        <v>5.8</v>
      </c>
      <c r="I138" s="34">
        <v>1018.3</v>
      </c>
      <c r="J138" s="36" t="s">
        <v>429</v>
      </c>
    </row>
    <row r="139" spans="1:10">
      <c r="A139" s="4">
        <v>41609</v>
      </c>
      <c r="C139" s="32">
        <v>0.66666666666666663</v>
      </c>
      <c r="D139" s="29"/>
      <c r="E139" s="35">
        <v>96</v>
      </c>
      <c r="F139" s="32">
        <v>0</v>
      </c>
      <c r="G139" s="33">
        <v>69</v>
      </c>
      <c r="H139" s="32">
        <v>6</v>
      </c>
      <c r="I139" s="34">
        <v>1016.2</v>
      </c>
      <c r="J139" s="36" t="s">
        <v>429</v>
      </c>
    </row>
    <row r="140" spans="1:10">
      <c r="A140" s="4">
        <v>41610</v>
      </c>
      <c r="C140" s="32">
        <v>0.69444444444444442</v>
      </c>
      <c r="D140" s="29"/>
      <c r="E140" s="35">
        <v>59</v>
      </c>
      <c r="F140" s="32">
        <v>0</v>
      </c>
      <c r="G140" s="33">
        <v>65</v>
      </c>
      <c r="H140" s="32">
        <v>5.9</v>
      </c>
      <c r="I140" s="34">
        <v>1016.9</v>
      </c>
      <c r="J140" s="36" t="s">
        <v>429</v>
      </c>
    </row>
    <row r="141" spans="1:10">
      <c r="A141" s="4">
        <v>41611</v>
      </c>
      <c r="C141" s="32">
        <v>1.0277777777777779</v>
      </c>
      <c r="D141" s="29"/>
      <c r="E141" s="35">
        <v>93</v>
      </c>
      <c r="F141" s="32">
        <v>0</v>
      </c>
      <c r="G141" s="33">
        <v>61</v>
      </c>
      <c r="H141" s="32">
        <v>6.9</v>
      </c>
      <c r="I141" s="34">
        <v>1020.1</v>
      </c>
      <c r="J141" s="36" t="s">
        <v>429</v>
      </c>
    </row>
    <row r="142" spans="1:10">
      <c r="A142" s="4">
        <v>41612</v>
      </c>
      <c r="C142" s="32">
        <v>0.72222222222222221</v>
      </c>
      <c r="D142" s="29"/>
      <c r="E142" s="35">
        <v>74</v>
      </c>
      <c r="F142" s="32">
        <v>0</v>
      </c>
      <c r="G142" s="33">
        <v>63</v>
      </c>
      <c r="H142" s="32">
        <v>9.6</v>
      </c>
      <c r="I142" s="34">
        <v>1022.5</v>
      </c>
      <c r="J142" s="36" t="s">
        <v>429</v>
      </c>
    </row>
    <row r="143" spans="1:10">
      <c r="A143" s="4">
        <v>41613</v>
      </c>
      <c r="C143" s="32">
        <v>0.47222222222222221</v>
      </c>
      <c r="D143" s="29"/>
      <c r="E143" s="35">
        <v>98</v>
      </c>
      <c r="F143" s="32">
        <v>0</v>
      </c>
      <c r="G143" s="33">
        <v>72</v>
      </c>
      <c r="H143" s="32">
        <v>9.3000000000000007</v>
      </c>
      <c r="I143" s="34">
        <v>1023.7</v>
      </c>
      <c r="J143" s="36" t="s">
        <v>429</v>
      </c>
    </row>
    <row r="144" spans="1:10">
      <c r="A144" s="4">
        <v>41614</v>
      </c>
      <c r="C144" s="32">
        <v>1</v>
      </c>
      <c r="D144" s="29"/>
      <c r="E144" s="35">
        <v>77</v>
      </c>
      <c r="F144" s="32">
        <v>0</v>
      </c>
      <c r="G144" s="33">
        <v>67</v>
      </c>
      <c r="H144" s="32">
        <v>8.6</v>
      </c>
      <c r="I144" s="34">
        <v>1021.3</v>
      </c>
      <c r="J144" s="36" t="s">
        <v>429</v>
      </c>
    </row>
    <row r="145" spans="1:10">
      <c r="A145" s="4">
        <v>41615</v>
      </c>
      <c r="C145" s="32">
        <v>0.75</v>
      </c>
      <c r="D145" s="29"/>
      <c r="E145" s="35">
        <v>111</v>
      </c>
      <c r="F145" s="32">
        <v>0</v>
      </c>
      <c r="G145" s="33">
        <v>66</v>
      </c>
      <c r="H145" s="32">
        <v>7.8</v>
      </c>
      <c r="I145" s="34">
        <v>1021</v>
      </c>
      <c r="J145" s="36" t="s">
        <v>429</v>
      </c>
    </row>
    <row r="146" spans="1:10">
      <c r="A146" s="4">
        <v>41616</v>
      </c>
      <c r="C146" s="32">
        <v>0.52777777777777779</v>
      </c>
      <c r="D146" s="29"/>
      <c r="E146" s="35">
        <v>129</v>
      </c>
      <c r="F146" s="32">
        <v>0</v>
      </c>
      <c r="G146" s="33">
        <v>76</v>
      </c>
      <c r="H146" s="32">
        <v>6.2</v>
      </c>
      <c r="I146" s="34">
        <v>1022.3</v>
      </c>
      <c r="J146" s="36" t="s">
        <v>429</v>
      </c>
    </row>
    <row r="147" spans="1:10">
      <c r="A147" s="4">
        <v>41617</v>
      </c>
      <c r="C147" s="32">
        <v>1.2222222222222223</v>
      </c>
      <c r="D147" s="29"/>
      <c r="E147" s="35">
        <v>105</v>
      </c>
      <c r="F147" s="32">
        <v>0</v>
      </c>
      <c r="G147" s="33">
        <v>68</v>
      </c>
      <c r="H147" s="32">
        <v>7.7</v>
      </c>
      <c r="I147" s="34">
        <v>1023.9</v>
      </c>
      <c r="J147" s="36" t="s">
        <v>429</v>
      </c>
    </row>
    <row r="148" spans="1:10">
      <c r="A148" s="4">
        <v>41618</v>
      </c>
      <c r="C148" s="32">
        <v>3.0555555555555554</v>
      </c>
      <c r="D148" s="29"/>
      <c r="E148" s="35">
        <v>104</v>
      </c>
      <c r="F148" s="32">
        <v>0</v>
      </c>
      <c r="G148" s="33">
        <v>55.000000000000007</v>
      </c>
      <c r="H148" s="32">
        <v>10.9</v>
      </c>
      <c r="I148" s="34">
        <v>1021.7</v>
      </c>
      <c r="J148" s="36" t="s">
        <v>429</v>
      </c>
    </row>
    <row r="149" spans="1:10">
      <c r="A149" s="4">
        <v>41619</v>
      </c>
      <c r="C149" s="32">
        <v>4.1944444444444446</v>
      </c>
      <c r="D149" s="29"/>
      <c r="E149" s="35">
        <v>113</v>
      </c>
      <c r="F149" s="32">
        <v>0</v>
      </c>
      <c r="G149" s="33">
        <v>51</v>
      </c>
      <c r="H149" s="32">
        <v>12.7</v>
      </c>
      <c r="I149" s="34">
        <v>1020.3</v>
      </c>
      <c r="J149" s="36" t="s">
        <v>429</v>
      </c>
    </row>
    <row r="150" spans="1:10">
      <c r="A150" s="4">
        <v>41620</v>
      </c>
      <c r="C150" s="32">
        <v>2.6388888888888888</v>
      </c>
      <c r="D150" s="29"/>
      <c r="E150" s="35">
        <v>103</v>
      </c>
      <c r="F150" s="32">
        <v>0</v>
      </c>
      <c r="G150" s="33">
        <v>52</v>
      </c>
      <c r="H150" s="32">
        <v>14</v>
      </c>
      <c r="I150" s="34">
        <v>1023</v>
      </c>
      <c r="J150" s="36" t="s">
        <v>429</v>
      </c>
    </row>
    <row r="151" spans="1:10">
      <c r="A151" s="4">
        <v>41621</v>
      </c>
      <c r="C151" s="32">
        <v>1.0277777777777779</v>
      </c>
      <c r="D151" s="29"/>
      <c r="E151" s="35">
        <v>83</v>
      </c>
      <c r="F151" s="32">
        <v>1</v>
      </c>
      <c r="G151" s="33">
        <v>84</v>
      </c>
      <c r="H151" s="32">
        <v>13.4</v>
      </c>
      <c r="I151" s="34">
        <v>1024.3</v>
      </c>
      <c r="J151" s="36" t="s">
        <v>429</v>
      </c>
    </row>
    <row r="152" spans="1:10">
      <c r="A152" s="4">
        <v>41622</v>
      </c>
      <c r="C152" s="32">
        <v>1.0277777777777779</v>
      </c>
      <c r="D152" s="29"/>
      <c r="E152" s="35">
        <v>81</v>
      </c>
      <c r="F152" s="32">
        <v>0</v>
      </c>
      <c r="G152" s="33">
        <v>78</v>
      </c>
      <c r="H152" s="32">
        <v>12.1</v>
      </c>
      <c r="I152" s="34">
        <v>1027.0999999999999</v>
      </c>
      <c r="J152" s="36" t="s">
        <v>429</v>
      </c>
    </row>
    <row r="153" spans="1:10">
      <c r="A153" s="4">
        <v>41623</v>
      </c>
      <c r="C153" s="32">
        <v>1.8055555555555556</v>
      </c>
      <c r="D153" s="29"/>
      <c r="E153" s="35">
        <v>98</v>
      </c>
      <c r="F153" s="32">
        <v>0</v>
      </c>
      <c r="G153" s="33">
        <v>65</v>
      </c>
      <c r="H153" s="32">
        <v>12.7</v>
      </c>
      <c r="I153" s="34">
        <v>1027.2</v>
      </c>
      <c r="J153" s="36" t="s">
        <v>429</v>
      </c>
    </row>
    <row r="154" spans="1:10">
      <c r="A154" s="4">
        <v>41624</v>
      </c>
      <c r="C154" s="32">
        <v>1.0277777777777779</v>
      </c>
      <c r="D154" s="29"/>
      <c r="E154" s="35">
        <v>142</v>
      </c>
      <c r="F154" s="32">
        <v>0</v>
      </c>
      <c r="G154" s="33">
        <v>73</v>
      </c>
      <c r="H154" s="32">
        <v>10.8</v>
      </c>
      <c r="I154" s="34">
        <v>1023.1</v>
      </c>
      <c r="J154" s="36" t="s">
        <v>429</v>
      </c>
    </row>
    <row r="155" spans="1:10">
      <c r="A155" s="4">
        <v>41625</v>
      </c>
      <c r="C155" s="32">
        <v>0.80555555555555547</v>
      </c>
      <c r="D155" s="29"/>
      <c r="E155" s="35">
        <v>182</v>
      </c>
      <c r="F155" s="32">
        <v>2</v>
      </c>
      <c r="G155" s="33">
        <v>89</v>
      </c>
      <c r="H155" s="32">
        <v>11.2</v>
      </c>
      <c r="I155" s="34">
        <v>1022.9</v>
      </c>
      <c r="J155" s="36" t="s">
        <v>429</v>
      </c>
    </row>
    <row r="156" spans="1:10">
      <c r="A156" s="4">
        <v>41626</v>
      </c>
      <c r="C156" s="32">
        <v>1.7777777777777779</v>
      </c>
      <c r="D156" s="29"/>
      <c r="E156" s="35">
        <v>186</v>
      </c>
      <c r="F156" s="32">
        <v>2</v>
      </c>
      <c r="G156" s="33">
        <v>94</v>
      </c>
      <c r="H156" s="32">
        <v>10.1</v>
      </c>
      <c r="I156" s="34">
        <v>1022.5</v>
      </c>
      <c r="J156" s="36" t="s">
        <v>429</v>
      </c>
    </row>
    <row r="157" spans="1:10">
      <c r="A157" s="4">
        <v>41627</v>
      </c>
      <c r="C157" s="32">
        <v>2.8611111111111112</v>
      </c>
      <c r="D157" s="29"/>
      <c r="E157" s="35">
        <v>266</v>
      </c>
      <c r="F157" s="32">
        <v>35.9</v>
      </c>
      <c r="G157" s="33">
        <v>90</v>
      </c>
      <c r="H157" s="32">
        <v>11.6</v>
      </c>
      <c r="I157" s="34">
        <v>1018.3</v>
      </c>
      <c r="J157" s="36" t="s">
        <v>429</v>
      </c>
    </row>
    <row r="158" spans="1:10">
      <c r="A158" s="4">
        <v>41628</v>
      </c>
      <c r="C158" s="32">
        <v>0.75</v>
      </c>
      <c r="D158" s="29"/>
      <c r="E158" s="35">
        <v>342</v>
      </c>
      <c r="F158" s="32">
        <v>0</v>
      </c>
      <c r="G158" s="33">
        <v>80</v>
      </c>
      <c r="H158" s="32">
        <v>6.9</v>
      </c>
      <c r="I158" s="34">
        <v>1028.3</v>
      </c>
      <c r="J158" s="36" t="s">
        <v>429</v>
      </c>
    </row>
    <row r="159" spans="1:10">
      <c r="A159" s="4">
        <v>41629</v>
      </c>
      <c r="C159" s="32">
        <v>0.47222222222222221</v>
      </c>
      <c r="D159" s="29"/>
      <c r="E159" s="35">
        <v>131</v>
      </c>
      <c r="F159" s="32">
        <v>0</v>
      </c>
      <c r="G159" s="33">
        <v>81</v>
      </c>
      <c r="H159" s="32">
        <v>5.4</v>
      </c>
      <c r="I159" s="34">
        <v>1029.4000000000001</v>
      </c>
      <c r="J159" s="36" t="s">
        <v>429</v>
      </c>
    </row>
    <row r="160" spans="1:10">
      <c r="A160" s="4">
        <v>41630</v>
      </c>
      <c r="C160" s="32">
        <v>0.69444444444444442</v>
      </c>
      <c r="D160" s="29"/>
      <c r="E160" s="35">
        <v>97</v>
      </c>
      <c r="F160" s="32">
        <v>1</v>
      </c>
      <c r="G160" s="33">
        <v>80</v>
      </c>
      <c r="H160" s="32">
        <v>7.4</v>
      </c>
      <c r="I160" s="34">
        <v>1028</v>
      </c>
      <c r="J160" s="36" t="s">
        <v>429</v>
      </c>
    </row>
    <row r="161" spans="1:10">
      <c r="A161" s="4">
        <v>41631</v>
      </c>
      <c r="C161" s="32">
        <v>2.7222222222222223</v>
      </c>
      <c r="D161" s="29"/>
      <c r="E161" s="35">
        <v>156</v>
      </c>
      <c r="F161" s="32">
        <v>7</v>
      </c>
      <c r="G161" s="33">
        <v>95</v>
      </c>
      <c r="H161" s="32">
        <v>11.2</v>
      </c>
      <c r="I161" s="34">
        <v>1020.8</v>
      </c>
      <c r="J161" s="36" t="s">
        <v>429</v>
      </c>
    </row>
    <row r="162" spans="1:10">
      <c r="A162" s="4">
        <v>41632</v>
      </c>
      <c r="C162" s="32">
        <v>8.1388888888888893</v>
      </c>
      <c r="D162" s="29"/>
      <c r="E162" s="35">
        <v>205</v>
      </c>
      <c r="F162" s="32">
        <v>48.2</v>
      </c>
      <c r="G162" s="33">
        <v>96</v>
      </c>
      <c r="H162" s="32">
        <v>14.2</v>
      </c>
      <c r="I162" s="34">
        <v>1005.1</v>
      </c>
      <c r="J162" s="36" t="s">
        <v>429</v>
      </c>
    </row>
    <row r="163" spans="1:10">
      <c r="A163" s="4">
        <v>41633</v>
      </c>
      <c r="C163" s="32">
        <v>0.80555555555555547</v>
      </c>
      <c r="D163" s="29"/>
      <c r="E163" s="35">
        <v>229</v>
      </c>
      <c r="F163" s="32">
        <v>24.9</v>
      </c>
      <c r="G163" s="33">
        <v>88</v>
      </c>
      <c r="H163" s="32">
        <v>10.6</v>
      </c>
      <c r="I163" s="34">
        <v>1002.8</v>
      </c>
      <c r="J163" s="36" t="s">
        <v>429</v>
      </c>
    </row>
    <row r="164" spans="1:10">
      <c r="A164" s="4">
        <v>41634</v>
      </c>
      <c r="C164" s="32">
        <v>0</v>
      </c>
      <c r="D164" s="29"/>
      <c r="E164" s="35">
        <v>0</v>
      </c>
      <c r="F164" s="32">
        <v>1</v>
      </c>
      <c r="G164" s="33">
        <v>86</v>
      </c>
      <c r="H164" s="32">
        <v>12.4</v>
      </c>
      <c r="I164" s="34">
        <v>1014.9</v>
      </c>
      <c r="J164" s="36" t="s">
        <v>429</v>
      </c>
    </row>
    <row r="165" spans="1:10">
      <c r="A165" s="4">
        <v>41635</v>
      </c>
      <c r="C165" s="32">
        <v>0</v>
      </c>
      <c r="D165" s="29"/>
      <c r="E165" s="35">
        <v>0</v>
      </c>
      <c r="F165" s="32">
        <v>13.3</v>
      </c>
      <c r="G165" s="33">
        <v>93</v>
      </c>
      <c r="H165" s="32">
        <v>14.4</v>
      </c>
      <c r="I165" s="34">
        <v>1011.3</v>
      </c>
      <c r="J165" s="36" t="s">
        <v>429</v>
      </c>
    </row>
    <row r="166" spans="1:10">
      <c r="A166" s="4">
        <v>41636</v>
      </c>
      <c r="C166" s="32">
        <v>0</v>
      </c>
      <c r="D166" s="29"/>
      <c r="E166" s="35">
        <v>0</v>
      </c>
      <c r="F166" s="32">
        <v>0</v>
      </c>
      <c r="G166" s="33">
        <v>69</v>
      </c>
      <c r="H166" s="32">
        <v>10.1</v>
      </c>
      <c r="I166" s="34">
        <v>1018</v>
      </c>
      <c r="J166" s="36" t="s">
        <v>429</v>
      </c>
    </row>
    <row r="167" spans="1:10">
      <c r="A167" s="4">
        <v>41637</v>
      </c>
      <c r="C167" s="32">
        <v>0</v>
      </c>
      <c r="D167" s="29"/>
      <c r="E167" s="35">
        <v>0</v>
      </c>
      <c r="F167" s="32">
        <v>1</v>
      </c>
      <c r="G167" s="33">
        <v>84</v>
      </c>
      <c r="H167" s="32">
        <v>7.6</v>
      </c>
      <c r="I167" s="34">
        <v>1026.2</v>
      </c>
      <c r="J167" s="36" t="s">
        <v>429</v>
      </c>
    </row>
    <row r="168" spans="1:10">
      <c r="A168" s="4">
        <v>41638</v>
      </c>
      <c r="C168" s="32">
        <v>0</v>
      </c>
      <c r="D168" s="29"/>
      <c r="E168" s="35">
        <v>0</v>
      </c>
      <c r="F168" s="32">
        <v>2</v>
      </c>
      <c r="G168" s="33">
        <v>83</v>
      </c>
      <c r="H168" s="32">
        <v>8.6</v>
      </c>
      <c r="I168" s="34">
        <v>1023.5</v>
      </c>
      <c r="J168" s="36" t="s">
        <v>429</v>
      </c>
    </row>
    <row r="169" spans="1:10">
      <c r="A169" s="4">
        <v>41639</v>
      </c>
      <c r="C169" s="32">
        <v>0</v>
      </c>
      <c r="D169" s="29"/>
      <c r="E169" s="35">
        <v>0</v>
      </c>
      <c r="F169" s="32">
        <v>16.399999999999999</v>
      </c>
      <c r="G169" s="33">
        <v>89</v>
      </c>
      <c r="H169" s="32">
        <v>12.6</v>
      </c>
      <c r="I169" s="34">
        <v>1017.2</v>
      </c>
      <c r="J169" s="36" t="s">
        <v>429</v>
      </c>
    </row>
    <row r="170" spans="1:10">
      <c r="A170" s="4">
        <v>41640</v>
      </c>
      <c r="C170" s="29">
        <v>0</v>
      </c>
      <c r="D170" s="29"/>
      <c r="E170" s="26">
        <v>0</v>
      </c>
      <c r="F170" s="29">
        <v>33.200000000000003</v>
      </c>
      <c r="G170" s="27">
        <v>96</v>
      </c>
      <c r="H170" s="29">
        <v>13.8</v>
      </c>
      <c r="I170" s="28">
        <v>1013.5</v>
      </c>
      <c r="J170" s="36" t="s">
        <v>429</v>
      </c>
    </row>
    <row r="171" spans="1:10">
      <c r="A171" s="4">
        <v>41641</v>
      </c>
      <c r="C171" s="29">
        <v>0</v>
      </c>
      <c r="D171" s="29"/>
      <c r="E171" s="26">
        <v>0</v>
      </c>
      <c r="F171" s="29">
        <v>29.9</v>
      </c>
      <c r="G171" s="27">
        <v>97</v>
      </c>
      <c r="H171" s="29">
        <v>15.1</v>
      </c>
      <c r="I171" s="28">
        <v>1010.8</v>
      </c>
      <c r="J171" s="36" t="s">
        <v>429</v>
      </c>
    </row>
    <row r="172" spans="1:10">
      <c r="A172" s="4">
        <v>41642</v>
      </c>
      <c r="C172" s="29">
        <v>0</v>
      </c>
      <c r="D172" s="29"/>
      <c r="E172" s="26">
        <v>0</v>
      </c>
      <c r="F172" s="29">
        <v>17.600000000000001</v>
      </c>
      <c r="G172" s="27">
        <v>98</v>
      </c>
      <c r="H172" s="29">
        <v>13.5</v>
      </c>
      <c r="I172" s="28">
        <v>1015.4</v>
      </c>
      <c r="J172" s="36" t="s">
        <v>429</v>
      </c>
    </row>
    <row r="173" spans="1:10">
      <c r="A173" s="4">
        <v>41643</v>
      </c>
      <c r="C173" s="29">
        <v>0</v>
      </c>
      <c r="D173" s="29"/>
      <c r="E173" s="26">
        <v>0</v>
      </c>
      <c r="F173" s="29">
        <v>17.899999999999999</v>
      </c>
      <c r="G173" s="27">
        <v>83</v>
      </c>
      <c r="H173" s="29">
        <v>10.9</v>
      </c>
      <c r="I173" s="28">
        <v>1014.9</v>
      </c>
      <c r="J173" s="36" t="s">
        <v>429</v>
      </c>
    </row>
    <row r="174" spans="1:10">
      <c r="A174" s="4">
        <v>41644</v>
      </c>
      <c r="C174" s="29">
        <v>0</v>
      </c>
      <c r="D174" s="29"/>
      <c r="E174" s="26">
        <v>0</v>
      </c>
      <c r="F174" s="29">
        <v>0</v>
      </c>
      <c r="G174" s="27">
        <v>80</v>
      </c>
      <c r="H174" s="29">
        <v>13.9</v>
      </c>
      <c r="I174" s="28">
        <v>1018.9</v>
      </c>
      <c r="J174" s="36" t="s">
        <v>429</v>
      </c>
    </row>
    <row r="175" spans="1:10">
      <c r="A175" s="4">
        <v>41645</v>
      </c>
      <c r="C175" s="29">
        <v>0</v>
      </c>
      <c r="D175" s="29"/>
      <c r="E175" s="26">
        <v>0</v>
      </c>
      <c r="F175" s="29">
        <v>32</v>
      </c>
      <c r="G175" s="27">
        <v>92</v>
      </c>
      <c r="H175" s="29">
        <v>13.9</v>
      </c>
      <c r="I175" s="28">
        <v>1013.3</v>
      </c>
      <c r="J175" s="36" t="s">
        <v>429</v>
      </c>
    </row>
    <row r="176" spans="1:10">
      <c r="A176" s="4">
        <v>41646</v>
      </c>
      <c r="C176" s="29">
        <v>0</v>
      </c>
      <c r="D176" s="29"/>
      <c r="E176" s="26">
        <v>0</v>
      </c>
      <c r="F176" s="29">
        <v>7.3</v>
      </c>
      <c r="G176" s="27">
        <v>94</v>
      </c>
      <c r="H176" s="29">
        <v>13.7</v>
      </c>
      <c r="I176" s="28">
        <v>1013.8</v>
      </c>
      <c r="J176" s="36" t="s">
        <v>429</v>
      </c>
    </row>
    <row r="177" spans="1:10">
      <c r="A177" s="4">
        <v>41647</v>
      </c>
      <c r="C177" s="29">
        <v>0</v>
      </c>
      <c r="D177" s="29"/>
      <c r="E177" s="26">
        <v>0</v>
      </c>
      <c r="F177" s="29">
        <v>0</v>
      </c>
      <c r="G177" s="27">
        <v>78</v>
      </c>
      <c r="H177" s="29">
        <v>13.7</v>
      </c>
      <c r="I177" s="28">
        <v>1013.4</v>
      </c>
      <c r="J177" s="36" t="s">
        <v>429</v>
      </c>
    </row>
    <row r="178" spans="1:10">
      <c r="A178" s="4">
        <v>41648</v>
      </c>
      <c r="C178" s="29">
        <v>0</v>
      </c>
      <c r="D178" s="29"/>
      <c r="E178" s="26">
        <v>0</v>
      </c>
      <c r="F178" s="29">
        <v>0</v>
      </c>
      <c r="G178" s="27">
        <v>57.999999999999993</v>
      </c>
      <c r="H178" s="29">
        <v>14.5</v>
      </c>
      <c r="I178" s="28">
        <v>1013.5</v>
      </c>
      <c r="J178" s="36" t="s">
        <v>429</v>
      </c>
    </row>
    <row r="179" spans="1:10">
      <c r="A179" s="4">
        <v>41649</v>
      </c>
      <c r="C179" s="29">
        <v>0</v>
      </c>
      <c r="D179" s="29"/>
      <c r="E179" s="26">
        <v>0</v>
      </c>
      <c r="F179" s="29">
        <v>0</v>
      </c>
      <c r="G179" s="27">
        <v>81</v>
      </c>
      <c r="H179" s="29">
        <v>11.6</v>
      </c>
      <c r="I179" s="28">
        <v>1012.3</v>
      </c>
      <c r="J179" s="36" t="s">
        <v>429</v>
      </c>
    </row>
    <row r="180" spans="1:10">
      <c r="A180" s="4">
        <v>41650</v>
      </c>
      <c r="C180" s="29">
        <v>0</v>
      </c>
      <c r="D180" s="29"/>
      <c r="E180" s="26">
        <v>0</v>
      </c>
      <c r="F180" s="29">
        <v>0</v>
      </c>
      <c r="G180" s="27">
        <v>88</v>
      </c>
      <c r="H180" s="29">
        <v>10.4</v>
      </c>
      <c r="I180" s="28">
        <v>1014.6</v>
      </c>
      <c r="J180" s="36" t="s">
        <v>429</v>
      </c>
    </row>
    <row r="181" spans="1:10">
      <c r="A181" s="4">
        <v>41651</v>
      </c>
      <c r="C181" s="29">
        <v>0</v>
      </c>
      <c r="D181" s="29"/>
      <c r="E181" s="26">
        <v>0</v>
      </c>
      <c r="F181" s="29">
        <v>4</v>
      </c>
      <c r="G181" s="27">
        <v>92</v>
      </c>
      <c r="H181" s="29">
        <v>11.1</v>
      </c>
      <c r="I181" s="28">
        <v>1019.2</v>
      </c>
      <c r="J181" s="36" t="s">
        <v>429</v>
      </c>
    </row>
    <row r="182" spans="1:10">
      <c r="A182" s="4">
        <v>41652</v>
      </c>
      <c r="C182" s="29">
        <v>0</v>
      </c>
      <c r="D182" s="29"/>
      <c r="E182" s="26">
        <v>0</v>
      </c>
      <c r="F182" s="29">
        <v>1</v>
      </c>
      <c r="G182" s="27">
        <v>87</v>
      </c>
      <c r="H182" s="29">
        <v>9.6999999999999993</v>
      </c>
      <c r="I182" s="28">
        <v>1020.7</v>
      </c>
      <c r="J182" s="36" t="s">
        <v>429</v>
      </c>
    </row>
    <row r="183" spans="1:10">
      <c r="A183" s="4">
        <v>41653</v>
      </c>
      <c r="C183" s="29">
        <v>0</v>
      </c>
      <c r="E183" s="26">
        <v>0</v>
      </c>
      <c r="F183" s="29">
        <v>4</v>
      </c>
      <c r="G183" s="27">
        <v>94</v>
      </c>
      <c r="H183" s="29">
        <v>13.1</v>
      </c>
      <c r="I183" s="28">
        <v>1018.5</v>
      </c>
      <c r="J183" s="36" t="s">
        <v>429</v>
      </c>
    </row>
    <row r="184" spans="1:10">
      <c r="A184" s="4">
        <v>41654</v>
      </c>
      <c r="C184" s="29">
        <v>0</v>
      </c>
      <c r="E184" s="26">
        <v>358</v>
      </c>
      <c r="F184" s="29">
        <v>9.3000000000000007</v>
      </c>
      <c r="G184" s="27">
        <v>97</v>
      </c>
      <c r="H184" s="29">
        <v>12.1</v>
      </c>
      <c r="I184" s="28">
        <v>1013.4</v>
      </c>
      <c r="J184" s="36" t="s">
        <v>429</v>
      </c>
    </row>
    <row r="185" spans="1:10">
      <c r="A185" s="4">
        <v>41655</v>
      </c>
      <c r="C185" s="29">
        <v>0</v>
      </c>
      <c r="E185" s="26">
        <v>316</v>
      </c>
      <c r="F185" s="29">
        <v>7.3</v>
      </c>
      <c r="G185" s="27">
        <v>85</v>
      </c>
      <c r="H185" s="29">
        <v>9.9</v>
      </c>
      <c r="I185" s="28">
        <v>1008.3</v>
      </c>
      <c r="J185" s="36" t="s">
        <v>429</v>
      </c>
    </row>
    <row r="186" spans="1:10">
      <c r="A186" s="4">
        <v>41656</v>
      </c>
      <c r="C186" s="29">
        <v>0</v>
      </c>
      <c r="E186" s="26">
        <v>87</v>
      </c>
      <c r="F186" s="29">
        <v>19.7</v>
      </c>
      <c r="G186" s="27">
        <v>87</v>
      </c>
      <c r="H186" s="29">
        <v>9</v>
      </c>
      <c r="I186" s="28">
        <v>994.9</v>
      </c>
      <c r="J186" s="36" t="s">
        <v>429</v>
      </c>
    </row>
    <row r="187" spans="1:10">
      <c r="A187" s="4">
        <v>41657</v>
      </c>
      <c r="C187" s="29">
        <v>0</v>
      </c>
      <c r="E187" s="26">
        <v>99</v>
      </c>
      <c r="F187" s="29">
        <v>16.3</v>
      </c>
      <c r="G187" s="27">
        <v>91</v>
      </c>
      <c r="H187" s="29">
        <v>9.1999999999999993</v>
      </c>
      <c r="I187" s="28">
        <v>994.4</v>
      </c>
      <c r="J187" s="36" t="s">
        <v>430</v>
      </c>
    </row>
    <row r="188" spans="1:10">
      <c r="A188" s="4">
        <v>41658</v>
      </c>
      <c r="C188" s="29">
        <v>0</v>
      </c>
      <c r="E188" s="26">
        <v>91</v>
      </c>
      <c r="F188" s="29">
        <v>7</v>
      </c>
      <c r="G188" s="27">
        <v>83</v>
      </c>
      <c r="H188" s="29">
        <v>8.6999999999999993</v>
      </c>
      <c r="I188" s="28">
        <v>1005.6</v>
      </c>
      <c r="J188" s="36" t="s">
        <v>430</v>
      </c>
    </row>
    <row r="189" spans="1:10">
      <c r="A189" s="4">
        <v>41659</v>
      </c>
      <c r="C189" s="29">
        <v>0</v>
      </c>
      <c r="E189" s="26">
        <v>90</v>
      </c>
      <c r="F189" s="29">
        <v>1</v>
      </c>
      <c r="G189" s="27">
        <v>87</v>
      </c>
      <c r="H189" s="29">
        <v>9.1999999999999993</v>
      </c>
      <c r="I189" s="28">
        <v>1016.3</v>
      </c>
      <c r="J189" s="36" t="s">
        <v>430</v>
      </c>
    </row>
    <row r="190" spans="1:10">
      <c r="A190" s="4">
        <v>41660</v>
      </c>
      <c r="C190" s="29">
        <v>0</v>
      </c>
      <c r="E190" s="26">
        <v>90</v>
      </c>
      <c r="F190" s="29">
        <v>5.3</v>
      </c>
      <c r="G190" s="27">
        <v>97</v>
      </c>
      <c r="H190" s="29">
        <v>11.1</v>
      </c>
      <c r="I190" s="28">
        <v>1013.8</v>
      </c>
      <c r="J190" s="36" t="s">
        <v>430</v>
      </c>
    </row>
    <row r="191" spans="1:10">
      <c r="A191" s="4">
        <v>41661</v>
      </c>
      <c r="C191" s="29">
        <v>0</v>
      </c>
      <c r="E191" s="26">
        <v>90</v>
      </c>
      <c r="F191" s="29">
        <v>3</v>
      </c>
      <c r="G191" s="27">
        <v>86</v>
      </c>
      <c r="H191" s="29">
        <v>11.1</v>
      </c>
      <c r="I191" s="28">
        <v>1016.8</v>
      </c>
      <c r="J191" s="36" t="s">
        <v>430</v>
      </c>
    </row>
    <row r="192" spans="1:10">
      <c r="A192" s="4">
        <v>41662</v>
      </c>
      <c r="C192" s="29">
        <v>0</v>
      </c>
      <c r="E192" s="26">
        <v>90</v>
      </c>
      <c r="F192" s="29">
        <v>0</v>
      </c>
      <c r="G192" s="27">
        <v>83</v>
      </c>
      <c r="H192" s="29">
        <v>8.6999999999999993</v>
      </c>
      <c r="I192" s="28">
        <v>1025.9000000000001</v>
      </c>
      <c r="J192" s="36" t="s">
        <v>430</v>
      </c>
    </row>
    <row r="193" spans="1:10">
      <c r="A193" s="4">
        <v>41663</v>
      </c>
      <c r="C193" s="29">
        <v>0</v>
      </c>
      <c r="E193" s="26">
        <v>90</v>
      </c>
      <c r="F193" s="29">
        <v>0</v>
      </c>
      <c r="G193" s="27">
        <v>93</v>
      </c>
      <c r="H193" s="29">
        <v>9.3000000000000007</v>
      </c>
      <c r="I193" s="28">
        <v>1029.0999999999999</v>
      </c>
      <c r="J193" s="36" t="s">
        <v>430</v>
      </c>
    </row>
    <row r="194" spans="1:10">
      <c r="A194" s="4">
        <v>41664</v>
      </c>
      <c r="C194" s="29">
        <v>0</v>
      </c>
      <c r="E194" s="26">
        <v>90</v>
      </c>
      <c r="F194" s="29">
        <v>0</v>
      </c>
      <c r="G194" s="27">
        <v>94</v>
      </c>
      <c r="H194" s="29">
        <v>12.6</v>
      </c>
      <c r="I194" s="28">
        <v>1027.9000000000001</v>
      </c>
      <c r="J194" s="36" t="s">
        <v>430</v>
      </c>
    </row>
    <row r="195" spans="1:10">
      <c r="A195" s="4">
        <v>41665</v>
      </c>
      <c r="C195" s="29">
        <v>0</v>
      </c>
      <c r="E195" s="26">
        <v>90</v>
      </c>
      <c r="F195" s="29">
        <v>4</v>
      </c>
      <c r="G195" s="27">
        <v>97</v>
      </c>
      <c r="H195" s="29">
        <v>12.7</v>
      </c>
      <c r="I195" s="28">
        <v>1022.8</v>
      </c>
      <c r="J195" s="36" t="s">
        <v>430</v>
      </c>
    </row>
    <row r="196" spans="1:10">
      <c r="A196" s="4">
        <v>41666</v>
      </c>
      <c r="C196" s="29">
        <v>0</v>
      </c>
      <c r="E196" s="26">
        <v>90</v>
      </c>
      <c r="F196" s="29">
        <v>2</v>
      </c>
      <c r="G196" s="27">
        <v>81</v>
      </c>
      <c r="H196" s="29">
        <v>11.2</v>
      </c>
      <c r="I196" s="28">
        <v>1019.3</v>
      </c>
      <c r="J196" s="36" t="s">
        <v>430</v>
      </c>
    </row>
    <row r="197" spans="1:10">
      <c r="A197" s="4">
        <v>41667</v>
      </c>
      <c r="C197" s="29">
        <v>0</v>
      </c>
      <c r="E197" s="26">
        <v>90</v>
      </c>
      <c r="F197" s="29">
        <v>3</v>
      </c>
      <c r="G197" s="27">
        <v>80</v>
      </c>
      <c r="H197" s="29">
        <v>11.2</v>
      </c>
      <c r="I197" s="28">
        <v>1009.6</v>
      </c>
      <c r="J197" s="36" t="s">
        <v>430</v>
      </c>
    </row>
    <row r="198" spans="1:10">
      <c r="A198" s="4">
        <v>41668</v>
      </c>
      <c r="C198" s="29">
        <v>0</v>
      </c>
      <c r="E198" s="26">
        <v>90</v>
      </c>
      <c r="F198" s="29">
        <v>11.6</v>
      </c>
      <c r="G198" s="27">
        <v>80</v>
      </c>
      <c r="H198" s="29">
        <v>9.4</v>
      </c>
      <c r="I198" s="28">
        <v>1003.7</v>
      </c>
      <c r="J198" s="36" t="s">
        <v>430</v>
      </c>
    </row>
    <row r="199" spans="1:10">
      <c r="A199" s="4">
        <v>41669</v>
      </c>
      <c r="C199" s="29">
        <v>0</v>
      </c>
      <c r="E199" s="26">
        <v>75</v>
      </c>
      <c r="F199" s="29">
        <v>3</v>
      </c>
      <c r="G199" s="27">
        <v>87</v>
      </c>
      <c r="H199" s="29">
        <v>9.1</v>
      </c>
      <c r="I199" s="28">
        <v>1012.8</v>
      </c>
      <c r="J199" s="36" t="s">
        <v>430</v>
      </c>
    </row>
    <row r="200" spans="1:10">
      <c r="A200" s="4">
        <v>41670</v>
      </c>
      <c r="C200" s="29">
        <v>0</v>
      </c>
      <c r="E200" s="26">
        <v>45</v>
      </c>
      <c r="F200" s="29">
        <v>4</v>
      </c>
      <c r="G200" s="27">
        <v>97</v>
      </c>
      <c r="H200" s="29">
        <v>12.6</v>
      </c>
      <c r="I200" s="28">
        <v>1012.3</v>
      </c>
      <c r="J200" s="36" t="s">
        <v>430</v>
      </c>
    </row>
    <row r="201" spans="1:10">
      <c r="A201" s="4">
        <v>41671</v>
      </c>
      <c r="C201" s="29">
        <v>0</v>
      </c>
      <c r="E201" s="26">
        <v>45</v>
      </c>
      <c r="F201" s="29">
        <v>10.6</v>
      </c>
      <c r="G201" s="27">
        <v>78</v>
      </c>
      <c r="H201" s="29">
        <v>10.7</v>
      </c>
      <c r="I201" s="28">
        <v>1015</v>
      </c>
      <c r="J201" s="36" t="s">
        <v>430</v>
      </c>
    </row>
    <row r="202" spans="1:10">
      <c r="A202" s="4">
        <v>41672</v>
      </c>
      <c r="C202" s="29">
        <v>1.0555555555555556</v>
      </c>
      <c r="E202" s="26">
        <v>157</v>
      </c>
      <c r="F202" s="29">
        <v>3</v>
      </c>
      <c r="G202" s="27">
        <v>77</v>
      </c>
      <c r="H202" s="29">
        <v>9</v>
      </c>
      <c r="I202" s="28">
        <v>1017.2</v>
      </c>
      <c r="J202" s="36" t="s">
        <v>430</v>
      </c>
    </row>
    <row r="203" spans="1:10">
      <c r="A203" s="4">
        <v>41673</v>
      </c>
      <c r="C203" s="29">
        <v>3.3055555555555554</v>
      </c>
      <c r="E203" s="26">
        <v>221</v>
      </c>
      <c r="F203" s="29">
        <v>15.3</v>
      </c>
      <c r="G203" s="27">
        <v>79</v>
      </c>
      <c r="H203" s="29">
        <v>9.5</v>
      </c>
      <c r="I203" s="28">
        <v>1009.5</v>
      </c>
      <c r="J203" s="36" t="s">
        <v>430</v>
      </c>
    </row>
    <row r="204" spans="1:10">
      <c r="A204" s="4">
        <v>41674</v>
      </c>
      <c r="C204" s="29">
        <v>4.0555555555555554</v>
      </c>
      <c r="E204" s="26">
        <v>202</v>
      </c>
      <c r="F204" s="29">
        <v>25</v>
      </c>
      <c r="G204" s="27">
        <v>93</v>
      </c>
      <c r="H204" s="29">
        <v>10.9</v>
      </c>
      <c r="I204" s="28">
        <v>1006.6</v>
      </c>
      <c r="J204" s="36" t="s">
        <v>430</v>
      </c>
    </row>
    <row r="205" spans="1:10">
      <c r="A205" s="4">
        <v>41675</v>
      </c>
      <c r="C205" s="29">
        <v>2.8611111111111112</v>
      </c>
      <c r="E205" s="26">
        <v>207</v>
      </c>
      <c r="F205" s="29">
        <v>0</v>
      </c>
      <c r="G205" s="27">
        <v>79</v>
      </c>
      <c r="H205" s="29">
        <v>12.7</v>
      </c>
      <c r="I205" s="28">
        <v>1009</v>
      </c>
      <c r="J205" s="36" t="s">
        <v>430</v>
      </c>
    </row>
    <row r="206" spans="1:10">
      <c r="A206" s="4">
        <v>41676</v>
      </c>
      <c r="C206" s="29">
        <v>4.5277777777777777</v>
      </c>
      <c r="E206" s="26">
        <v>210</v>
      </c>
      <c r="F206" s="29">
        <v>18.7</v>
      </c>
      <c r="G206" s="27">
        <v>84</v>
      </c>
      <c r="H206" s="29">
        <v>12.8</v>
      </c>
      <c r="I206" s="28">
        <v>1005.5</v>
      </c>
      <c r="J206" s="36" t="s">
        <v>430</v>
      </c>
    </row>
    <row r="207" spans="1:10">
      <c r="A207" s="4">
        <v>41677</v>
      </c>
      <c r="C207" s="29">
        <v>2.6666666666666665</v>
      </c>
      <c r="E207" s="26">
        <v>204</v>
      </c>
      <c r="F207" s="29">
        <v>2</v>
      </c>
      <c r="G207" s="27">
        <v>85</v>
      </c>
      <c r="H207" s="29">
        <v>10.9</v>
      </c>
      <c r="I207" s="28">
        <v>1014.3</v>
      </c>
      <c r="J207" s="36" t="s">
        <v>430</v>
      </c>
    </row>
    <row r="208" spans="1:10">
      <c r="A208" s="4">
        <v>41678</v>
      </c>
      <c r="C208" s="29">
        <v>2.9444444444444442</v>
      </c>
      <c r="E208" s="26">
        <v>236</v>
      </c>
      <c r="F208" s="29">
        <v>9.3000000000000007</v>
      </c>
      <c r="G208" s="27">
        <v>82</v>
      </c>
      <c r="H208" s="29">
        <v>11.8</v>
      </c>
      <c r="I208" s="28">
        <v>1009.9</v>
      </c>
      <c r="J208" s="36" t="s">
        <v>430</v>
      </c>
    </row>
    <row r="209" spans="1:10">
      <c r="A209" s="4">
        <v>41679</v>
      </c>
      <c r="C209" s="29">
        <v>5.2222222222222223</v>
      </c>
      <c r="E209" s="26">
        <v>220</v>
      </c>
      <c r="F209" s="29">
        <v>11.3</v>
      </c>
      <c r="G209" s="27">
        <v>87</v>
      </c>
      <c r="H209" s="29">
        <v>10.7</v>
      </c>
      <c r="I209" s="28">
        <v>1000.2</v>
      </c>
      <c r="J209" s="36" t="s">
        <v>430</v>
      </c>
    </row>
    <row r="210" spans="1:10">
      <c r="A210" s="4">
        <v>41680</v>
      </c>
      <c r="C210" s="29">
        <v>2.7777777777777777</v>
      </c>
      <c r="E210" s="26">
        <v>289</v>
      </c>
      <c r="F210" s="29">
        <v>2</v>
      </c>
      <c r="G210" s="27">
        <v>64</v>
      </c>
      <c r="H210" s="29">
        <v>9.1999999999999993</v>
      </c>
      <c r="I210" s="28">
        <v>1014.8</v>
      </c>
      <c r="J210" s="36" t="s">
        <v>430</v>
      </c>
    </row>
    <row r="211" spans="1:10">
      <c r="A211" s="4">
        <v>41681</v>
      </c>
      <c r="C211" s="29">
        <v>2.5277777777777777</v>
      </c>
      <c r="E211" s="26">
        <v>220</v>
      </c>
      <c r="F211" s="29">
        <v>33.9</v>
      </c>
      <c r="G211" s="27">
        <v>94</v>
      </c>
      <c r="H211" s="29">
        <v>11.1</v>
      </c>
      <c r="I211" s="28">
        <v>1012.9</v>
      </c>
      <c r="J211" s="36" t="s">
        <v>430</v>
      </c>
    </row>
    <row r="212" spans="1:10">
      <c r="A212" s="4">
        <v>41682</v>
      </c>
      <c r="C212" s="29">
        <v>1.9166666666666667</v>
      </c>
      <c r="E212" s="26">
        <v>212</v>
      </c>
      <c r="F212" s="29">
        <v>9</v>
      </c>
      <c r="G212" s="27">
        <v>98</v>
      </c>
      <c r="H212" s="29">
        <v>11.4</v>
      </c>
      <c r="I212" s="28">
        <v>1015.5</v>
      </c>
      <c r="J212" s="36" t="s">
        <v>430</v>
      </c>
    </row>
    <row r="213" spans="1:10">
      <c r="A213" s="4">
        <v>41683</v>
      </c>
      <c r="C213" s="29">
        <v>2.833333333333333</v>
      </c>
      <c r="E213" s="26">
        <v>223</v>
      </c>
      <c r="F213" s="29">
        <v>10.3</v>
      </c>
      <c r="G213" s="27">
        <v>94</v>
      </c>
      <c r="H213" s="29">
        <v>14.9</v>
      </c>
      <c r="I213" s="28">
        <v>1015.9</v>
      </c>
      <c r="J213" s="36" t="s">
        <v>430</v>
      </c>
    </row>
    <row r="214" spans="1:10">
      <c r="A214" s="4">
        <v>41684</v>
      </c>
      <c r="C214" s="29">
        <v>3.5833333333333335</v>
      </c>
      <c r="E214" s="26">
        <v>201</v>
      </c>
      <c r="F214" s="29">
        <v>10</v>
      </c>
      <c r="G214" s="27">
        <v>89</v>
      </c>
      <c r="H214" s="29">
        <v>13.4</v>
      </c>
      <c r="I214" s="28">
        <v>1007.5</v>
      </c>
      <c r="J214" s="36" t="s">
        <v>430</v>
      </c>
    </row>
    <row r="215" spans="1:10">
      <c r="A215" s="4">
        <v>41685</v>
      </c>
      <c r="C215" s="29">
        <v>0.91666666666666663</v>
      </c>
      <c r="E215" s="26">
        <v>290</v>
      </c>
      <c r="F215" s="29">
        <v>1</v>
      </c>
      <c r="G215" s="27">
        <v>82</v>
      </c>
      <c r="H215" s="29">
        <v>9.4</v>
      </c>
      <c r="I215" s="28">
        <v>1011.1</v>
      </c>
      <c r="J215" s="36" t="s">
        <v>430</v>
      </c>
    </row>
    <row r="216" spans="1:10">
      <c r="A216" s="4">
        <v>41686</v>
      </c>
      <c r="C216" s="29">
        <v>0.25</v>
      </c>
      <c r="E216" s="26">
        <v>129</v>
      </c>
      <c r="F216" s="29">
        <v>0</v>
      </c>
      <c r="G216" s="27">
        <v>96</v>
      </c>
      <c r="H216" s="29">
        <v>4.2</v>
      </c>
      <c r="I216" s="28">
        <v>1016.6</v>
      </c>
      <c r="J216" s="36" t="s">
        <v>430</v>
      </c>
    </row>
    <row r="217" spans="1:10">
      <c r="A217" s="4">
        <v>41687</v>
      </c>
      <c r="C217" s="29">
        <v>2</v>
      </c>
      <c r="E217" s="26">
        <v>154</v>
      </c>
      <c r="F217" s="29">
        <v>3</v>
      </c>
      <c r="G217" s="27">
        <v>79</v>
      </c>
      <c r="H217" s="29">
        <v>8.6</v>
      </c>
      <c r="I217" s="28">
        <v>1008.5</v>
      </c>
      <c r="J217" s="36" t="s">
        <v>430</v>
      </c>
    </row>
    <row r="218" spans="1:10">
      <c r="A218" s="4">
        <v>41688</v>
      </c>
      <c r="C218" s="29">
        <v>1.0833333333333333</v>
      </c>
      <c r="E218" s="26">
        <v>320</v>
      </c>
      <c r="F218" s="29">
        <v>0</v>
      </c>
      <c r="G218" s="27">
        <v>85</v>
      </c>
      <c r="H218" s="29">
        <v>8.8000000000000007</v>
      </c>
      <c r="I218" s="28">
        <v>1015</v>
      </c>
      <c r="J218" s="36" t="s">
        <v>430</v>
      </c>
    </row>
    <row r="219" spans="1:10">
      <c r="A219" s="4">
        <v>41689</v>
      </c>
      <c r="C219" s="29">
        <v>0.61111111111111116</v>
      </c>
      <c r="E219" s="26">
        <v>283</v>
      </c>
      <c r="F219" s="29">
        <v>1</v>
      </c>
      <c r="G219" s="27">
        <v>84</v>
      </c>
      <c r="H219" s="29">
        <v>11.7</v>
      </c>
      <c r="I219" s="28">
        <v>1021.1</v>
      </c>
      <c r="J219" s="36" t="s">
        <v>430</v>
      </c>
    </row>
    <row r="220" spans="1:10">
      <c r="A220" s="4">
        <v>41690</v>
      </c>
      <c r="C220" s="29">
        <v>1.6111111111111109</v>
      </c>
      <c r="E220" s="26">
        <v>239</v>
      </c>
      <c r="F220" s="29">
        <v>4</v>
      </c>
      <c r="G220" s="27">
        <v>95</v>
      </c>
      <c r="H220" s="29">
        <v>12.1</v>
      </c>
      <c r="I220" s="28">
        <v>1020.1</v>
      </c>
      <c r="J220" s="36" t="s">
        <v>430</v>
      </c>
    </row>
    <row r="221" spans="1:10">
      <c r="A221" s="4">
        <v>41691</v>
      </c>
      <c r="C221" s="29">
        <v>1.0555555555555556</v>
      </c>
      <c r="E221" s="26">
        <v>305</v>
      </c>
      <c r="F221" s="29">
        <v>0</v>
      </c>
      <c r="G221" s="27">
        <v>71</v>
      </c>
      <c r="H221" s="29">
        <v>9.9</v>
      </c>
      <c r="I221" s="28">
        <v>1021.6</v>
      </c>
      <c r="J221" s="36" t="s">
        <v>430</v>
      </c>
    </row>
    <row r="222" spans="1:10">
      <c r="A222" s="4">
        <v>41692</v>
      </c>
      <c r="C222" s="29">
        <v>0.88888888888888895</v>
      </c>
      <c r="E222" s="26">
        <v>212</v>
      </c>
      <c r="F222" s="29">
        <v>2</v>
      </c>
      <c r="G222" s="27">
        <v>79</v>
      </c>
      <c r="H222" s="29">
        <v>11.5</v>
      </c>
      <c r="I222" s="28">
        <v>1021.4</v>
      </c>
      <c r="J222" s="36" t="s">
        <v>430</v>
      </c>
    </row>
    <row r="223" spans="1:10">
      <c r="A223" s="4">
        <v>41693</v>
      </c>
      <c r="C223" s="29">
        <v>3</v>
      </c>
      <c r="E223" s="26">
        <v>154</v>
      </c>
      <c r="F223" s="29">
        <v>5</v>
      </c>
      <c r="G223" s="27">
        <v>71</v>
      </c>
      <c r="H223" s="29">
        <v>11.8</v>
      </c>
      <c r="I223" s="28">
        <v>1010.6</v>
      </c>
      <c r="J223" s="36" t="s">
        <v>430</v>
      </c>
    </row>
    <row r="224" spans="1:10">
      <c r="A224" s="4">
        <v>41694</v>
      </c>
      <c r="C224" s="29">
        <v>1.8611111111111112</v>
      </c>
      <c r="E224" s="26">
        <v>248</v>
      </c>
      <c r="F224" s="29">
        <v>12.3</v>
      </c>
      <c r="G224" s="27">
        <v>78</v>
      </c>
      <c r="H224" s="29">
        <v>10.7</v>
      </c>
      <c r="I224" s="28">
        <v>1013.7</v>
      </c>
      <c r="J224" s="36" t="s">
        <v>430</v>
      </c>
    </row>
    <row r="225" spans="1:10">
      <c r="A225" s="4">
        <v>41695</v>
      </c>
      <c r="C225" s="29">
        <v>2.1666666666666665</v>
      </c>
      <c r="E225" s="26">
        <v>242</v>
      </c>
      <c r="F225" s="29">
        <v>1</v>
      </c>
      <c r="G225" s="27">
        <v>80</v>
      </c>
      <c r="H225" s="29">
        <v>12.5</v>
      </c>
      <c r="I225" s="28">
        <v>1019.7</v>
      </c>
      <c r="J225" s="36" t="s">
        <v>430</v>
      </c>
    </row>
    <row r="226" spans="1:10">
      <c r="A226" s="4">
        <v>41696</v>
      </c>
      <c r="C226" s="29">
        <v>1.25</v>
      </c>
      <c r="E226" s="26">
        <v>292</v>
      </c>
      <c r="F226" s="29">
        <v>0</v>
      </c>
      <c r="G226" s="27">
        <v>71</v>
      </c>
      <c r="H226" s="29">
        <v>11.8</v>
      </c>
      <c r="I226" s="28">
        <v>1026.0999999999999</v>
      </c>
      <c r="J226" s="36" t="s">
        <v>430</v>
      </c>
    </row>
    <row r="227" spans="1:10">
      <c r="A227" s="4">
        <v>41697</v>
      </c>
      <c r="C227" s="29">
        <v>1.0277777777777779</v>
      </c>
      <c r="E227" s="26">
        <v>233</v>
      </c>
      <c r="F227" s="29">
        <v>3</v>
      </c>
      <c r="G227" s="27">
        <v>94</v>
      </c>
      <c r="H227" s="29">
        <v>11.9</v>
      </c>
      <c r="I227" s="28">
        <v>1027.5999999999999</v>
      </c>
      <c r="J227" s="36" t="s">
        <v>430</v>
      </c>
    </row>
    <row r="228" spans="1:10">
      <c r="A228" s="4">
        <v>41698</v>
      </c>
      <c r="C228" s="29">
        <v>1.3055555555555556</v>
      </c>
      <c r="E228" s="26">
        <v>276</v>
      </c>
      <c r="F228" s="29">
        <v>0</v>
      </c>
      <c r="G228" s="27">
        <v>87</v>
      </c>
      <c r="H228" s="29">
        <v>11.7</v>
      </c>
      <c r="I228" s="28">
        <v>1024.0999999999999</v>
      </c>
      <c r="J228" s="36" t="s">
        <v>430</v>
      </c>
    </row>
    <row r="229" spans="1:10">
      <c r="A229" s="4">
        <v>41699</v>
      </c>
      <c r="C229" s="29">
        <v>3.9444444444444442</v>
      </c>
      <c r="E229" s="26">
        <v>260</v>
      </c>
      <c r="F229" s="29">
        <v>8.3000000000000007</v>
      </c>
      <c r="G229" s="27">
        <v>97</v>
      </c>
      <c r="H229" s="29">
        <v>12.9</v>
      </c>
      <c r="I229" s="28">
        <v>1012.4</v>
      </c>
      <c r="J229" s="36" t="s">
        <v>430</v>
      </c>
    </row>
    <row r="230" spans="1:10">
      <c r="A230" s="4">
        <v>41700</v>
      </c>
      <c r="C230" s="29">
        <v>3.1111111111111107</v>
      </c>
      <c r="E230" s="26">
        <v>269</v>
      </c>
      <c r="F230" s="29">
        <v>7</v>
      </c>
      <c r="G230" s="27">
        <v>98</v>
      </c>
      <c r="H230" s="29">
        <v>12.7</v>
      </c>
      <c r="I230" s="28">
        <v>1010.5</v>
      </c>
      <c r="J230" s="36" t="s">
        <v>430</v>
      </c>
    </row>
    <row r="231" spans="1:10">
      <c r="A231" s="4">
        <v>41701</v>
      </c>
      <c r="C231" s="29">
        <v>2.9722222222222219</v>
      </c>
      <c r="E231" s="26">
        <v>290</v>
      </c>
      <c r="F231" s="29">
        <v>1</v>
      </c>
      <c r="G231" s="27">
        <v>70</v>
      </c>
      <c r="H231" s="29">
        <v>11.4</v>
      </c>
      <c r="I231" s="28">
        <v>1015.3</v>
      </c>
      <c r="J231" s="36" t="s">
        <v>430</v>
      </c>
    </row>
    <row r="232" spans="1:10">
      <c r="A232" s="4">
        <v>41702</v>
      </c>
      <c r="C232" s="29">
        <v>1.9166666666666667</v>
      </c>
      <c r="E232" s="26">
        <v>261</v>
      </c>
      <c r="F232" s="29">
        <v>4</v>
      </c>
      <c r="G232" s="27">
        <v>80</v>
      </c>
      <c r="H232" s="29">
        <v>11.4</v>
      </c>
      <c r="I232" s="28">
        <v>1018.9</v>
      </c>
      <c r="J232" s="36" t="s">
        <v>430</v>
      </c>
    </row>
    <row r="233" spans="1:10">
      <c r="A233" s="4">
        <v>41703</v>
      </c>
      <c r="C233" s="29">
        <v>2.7222222222222223</v>
      </c>
      <c r="E233" s="26">
        <v>326</v>
      </c>
      <c r="F233" s="29">
        <v>3</v>
      </c>
      <c r="G233" s="27">
        <v>84</v>
      </c>
      <c r="H233" s="29">
        <v>12.7</v>
      </c>
      <c r="I233" s="28">
        <v>1018.7</v>
      </c>
      <c r="J233" s="36" t="s">
        <v>430</v>
      </c>
    </row>
    <row r="234" spans="1:10">
      <c r="A234" s="4">
        <v>41704</v>
      </c>
      <c r="C234" s="29">
        <v>0.88888888888888895</v>
      </c>
      <c r="E234" s="26">
        <v>332</v>
      </c>
      <c r="F234" s="29">
        <v>0</v>
      </c>
      <c r="G234" s="27">
        <v>82</v>
      </c>
      <c r="H234" s="29">
        <v>13.4</v>
      </c>
      <c r="I234" s="28">
        <v>1018.1</v>
      </c>
      <c r="J234" s="36" t="s">
        <v>430</v>
      </c>
    </row>
    <row r="235" spans="1:10">
      <c r="A235" s="4">
        <v>41705</v>
      </c>
      <c r="C235" s="29">
        <v>0.94444444444444442</v>
      </c>
      <c r="E235" s="26">
        <v>44</v>
      </c>
      <c r="F235" s="29">
        <v>0</v>
      </c>
      <c r="G235" s="27">
        <v>77</v>
      </c>
      <c r="H235" s="29">
        <v>14.5</v>
      </c>
      <c r="I235" s="28">
        <v>1017.7</v>
      </c>
      <c r="J235" s="36" t="s">
        <v>430</v>
      </c>
    </row>
    <row r="236" spans="1:10">
      <c r="A236" s="4">
        <v>41706</v>
      </c>
      <c r="C236" s="29">
        <v>2.8888888888888888</v>
      </c>
      <c r="E236" s="26">
        <v>109</v>
      </c>
      <c r="F236" s="29">
        <v>0</v>
      </c>
      <c r="G236" s="27">
        <v>54</v>
      </c>
      <c r="H236" s="29">
        <v>17.100000000000001</v>
      </c>
      <c r="I236" s="28">
        <v>1014.9</v>
      </c>
      <c r="J236" s="36" t="s">
        <v>430</v>
      </c>
    </row>
    <row r="237" spans="1:10">
      <c r="A237" s="4">
        <v>41707</v>
      </c>
      <c r="C237" s="29">
        <v>2.8888888888888888</v>
      </c>
      <c r="E237" s="26">
        <v>109</v>
      </c>
      <c r="F237" s="29">
        <v>0</v>
      </c>
      <c r="G237" s="27">
        <v>54</v>
      </c>
      <c r="H237" s="29">
        <v>17.100000000000001</v>
      </c>
      <c r="I237" s="28">
        <v>1014.9</v>
      </c>
      <c r="J237" s="36" t="s">
        <v>430</v>
      </c>
    </row>
    <row r="238" spans="1:10">
      <c r="A238" s="4">
        <v>41708</v>
      </c>
      <c r="C238" s="29">
        <v>2.1111111111111112</v>
      </c>
      <c r="E238" s="26">
        <v>90</v>
      </c>
      <c r="F238" s="29">
        <v>0</v>
      </c>
      <c r="G238" s="27">
        <v>37</v>
      </c>
      <c r="H238" s="29">
        <v>15.9</v>
      </c>
      <c r="I238" s="28">
        <v>1016</v>
      </c>
      <c r="J238" s="36" t="s">
        <v>429</v>
      </c>
    </row>
    <row r="239" spans="1:10">
      <c r="A239" s="4">
        <v>41709</v>
      </c>
      <c r="C239" s="29">
        <v>0.88888888888888895</v>
      </c>
      <c r="E239" s="26">
        <v>74</v>
      </c>
      <c r="F239" s="29">
        <v>0</v>
      </c>
      <c r="G239" s="27">
        <v>51</v>
      </c>
      <c r="H239" s="29">
        <v>13.8</v>
      </c>
      <c r="I239" s="28">
        <v>1015.2</v>
      </c>
      <c r="J239" s="36" t="s">
        <v>429</v>
      </c>
    </row>
    <row r="240" spans="1:10">
      <c r="A240" s="4">
        <v>41710</v>
      </c>
      <c r="C240" s="29">
        <v>1.0833333333333333</v>
      </c>
      <c r="E240" s="26">
        <v>119</v>
      </c>
      <c r="F240" s="29">
        <v>0</v>
      </c>
      <c r="G240" s="27">
        <v>50</v>
      </c>
      <c r="H240" s="29">
        <v>14.2</v>
      </c>
      <c r="I240" s="28">
        <v>1018.8</v>
      </c>
      <c r="J240" s="36" t="s">
        <v>429</v>
      </c>
    </row>
    <row r="241" spans="1:10">
      <c r="A241" s="4">
        <v>41711</v>
      </c>
      <c r="C241" s="29">
        <v>0.80555555555555547</v>
      </c>
      <c r="E241" s="26">
        <v>282</v>
      </c>
      <c r="F241" s="29">
        <v>0</v>
      </c>
      <c r="G241" s="27">
        <v>70</v>
      </c>
      <c r="H241" s="29">
        <v>13.1</v>
      </c>
      <c r="I241" s="28">
        <v>1021</v>
      </c>
      <c r="J241" s="36" t="s">
        <v>429</v>
      </c>
    </row>
    <row r="242" spans="1:10">
      <c r="A242" s="4">
        <v>41712</v>
      </c>
      <c r="C242" s="29">
        <v>0.91666666666666663</v>
      </c>
      <c r="E242" s="26">
        <v>4</v>
      </c>
      <c r="F242" s="29">
        <v>0</v>
      </c>
      <c r="G242" s="27">
        <v>69</v>
      </c>
      <c r="H242" s="29">
        <v>12.9</v>
      </c>
      <c r="I242" s="28">
        <v>1023.7</v>
      </c>
      <c r="J242" s="36" t="s">
        <v>429</v>
      </c>
    </row>
    <row r="243" spans="1:10">
      <c r="A243" s="4">
        <v>41713</v>
      </c>
      <c r="C243" s="29">
        <v>1</v>
      </c>
      <c r="E243" s="26">
        <v>328</v>
      </c>
      <c r="F243" s="29">
        <v>0</v>
      </c>
      <c r="G243" s="27">
        <v>71</v>
      </c>
      <c r="H243" s="29">
        <v>13.7</v>
      </c>
      <c r="I243" s="28">
        <v>1025.3</v>
      </c>
      <c r="J243" s="36" t="s">
        <v>429</v>
      </c>
    </row>
    <row r="244" spans="1:10">
      <c r="A244" s="4">
        <v>41714</v>
      </c>
      <c r="C244" s="29">
        <v>0.80555555555555547</v>
      </c>
      <c r="E244" s="26">
        <v>328</v>
      </c>
      <c r="F244" s="29">
        <v>0</v>
      </c>
      <c r="G244" s="27">
        <v>66</v>
      </c>
      <c r="H244" s="29">
        <v>12.8</v>
      </c>
      <c r="I244" s="28">
        <v>1022</v>
      </c>
      <c r="J244" s="36" t="s">
        <v>429</v>
      </c>
    </row>
    <row r="245" spans="1:10">
      <c r="A245" s="4">
        <v>41715</v>
      </c>
      <c r="C245" s="29">
        <v>1.1944444444444444</v>
      </c>
      <c r="E245" s="26">
        <v>330</v>
      </c>
      <c r="F245" s="29">
        <v>0</v>
      </c>
      <c r="G245" s="27">
        <v>74</v>
      </c>
      <c r="H245" s="29">
        <v>12.4</v>
      </c>
      <c r="I245" s="28">
        <v>1020.4</v>
      </c>
      <c r="J245" s="36" t="s">
        <v>429</v>
      </c>
    </row>
    <row r="246" spans="1:10">
      <c r="A246" s="4">
        <v>41716</v>
      </c>
      <c r="C246" s="29">
        <v>2.5555555555555554</v>
      </c>
      <c r="E246" s="26">
        <v>341</v>
      </c>
      <c r="F246" s="29">
        <v>0</v>
      </c>
      <c r="G246" s="27">
        <v>69</v>
      </c>
      <c r="H246" s="29">
        <v>13.2</v>
      </c>
      <c r="I246" s="28">
        <v>1020</v>
      </c>
      <c r="J246" s="36" t="s">
        <v>429</v>
      </c>
    </row>
    <row r="247" spans="1:10">
      <c r="A247" s="4">
        <v>41717</v>
      </c>
      <c r="C247" s="29">
        <v>0.86111111111111116</v>
      </c>
      <c r="E247" s="26">
        <v>300</v>
      </c>
      <c r="F247" s="29">
        <v>0</v>
      </c>
      <c r="G247" s="27">
        <v>76</v>
      </c>
      <c r="H247" s="29">
        <v>13.7</v>
      </c>
      <c r="I247" s="28">
        <v>1016.9</v>
      </c>
      <c r="J247" s="36" t="s">
        <v>429</v>
      </c>
    </row>
    <row r="248" spans="1:10">
      <c r="A248" s="4">
        <v>41718</v>
      </c>
      <c r="C248" s="29">
        <v>0.86111111111111116</v>
      </c>
      <c r="E248" s="26">
        <v>276</v>
      </c>
      <c r="F248" s="29">
        <v>0</v>
      </c>
      <c r="G248" s="27">
        <v>80</v>
      </c>
      <c r="H248" s="29">
        <v>13.2</v>
      </c>
      <c r="I248" s="28">
        <v>1017.8</v>
      </c>
      <c r="J248" s="36" t="s">
        <v>429</v>
      </c>
    </row>
    <row r="249" spans="1:10">
      <c r="A249" s="4">
        <v>41719</v>
      </c>
      <c r="C249" s="29">
        <v>1.3055555555555556</v>
      </c>
      <c r="E249" s="26">
        <v>219</v>
      </c>
      <c r="F249" s="29">
        <v>5</v>
      </c>
      <c r="G249" s="27">
        <v>87</v>
      </c>
      <c r="H249" s="29">
        <v>12.7</v>
      </c>
      <c r="I249" s="28">
        <v>1018</v>
      </c>
      <c r="J249" s="36" t="s">
        <v>429</v>
      </c>
    </row>
    <row r="250" spans="1:10">
      <c r="A250" s="4">
        <v>41720</v>
      </c>
      <c r="C250" s="29">
        <v>1.5277777777777777</v>
      </c>
      <c r="E250" s="26">
        <v>316</v>
      </c>
      <c r="F250" s="29">
        <v>2</v>
      </c>
      <c r="G250" s="27">
        <v>78</v>
      </c>
      <c r="H250" s="29">
        <v>11.2</v>
      </c>
      <c r="I250" s="28">
        <v>1017.9</v>
      </c>
      <c r="J250" s="36" t="s">
        <v>429</v>
      </c>
    </row>
    <row r="251" spans="1:10">
      <c r="A251" s="4">
        <v>41721</v>
      </c>
      <c r="C251" s="29">
        <v>0.83333333333333326</v>
      </c>
      <c r="E251" s="26">
        <v>330</v>
      </c>
      <c r="F251" s="29">
        <v>0</v>
      </c>
      <c r="G251" s="27">
        <v>67</v>
      </c>
      <c r="H251" s="29">
        <v>10.5</v>
      </c>
      <c r="I251" s="28">
        <v>1019.6</v>
      </c>
      <c r="J251" s="36" t="s">
        <v>429</v>
      </c>
    </row>
    <row r="252" spans="1:10">
      <c r="A252" s="4">
        <v>41722</v>
      </c>
      <c r="C252" s="29">
        <v>2.1388888888888888</v>
      </c>
      <c r="E252" s="26">
        <v>282</v>
      </c>
      <c r="F252" s="29">
        <v>3</v>
      </c>
      <c r="G252" s="27">
        <v>79</v>
      </c>
      <c r="H252" s="29">
        <v>10.7</v>
      </c>
      <c r="I252" s="28">
        <v>1020.2</v>
      </c>
      <c r="J252" s="36" t="s">
        <v>429</v>
      </c>
    </row>
    <row r="253" spans="1:10">
      <c r="A253" s="4">
        <v>41723</v>
      </c>
      <c r="C253" s="29">
        <v>3.0555555555555554</v>
      </c>
      <c r="E253" s="26">
        <v>299</v>
      </c>
      <c r="F253" s="29">
        <v>1</v>
      </c>
      <c r="G253" s="27">
        <v>74</v>
      </c>
      <c r="H253" s="29">
        <v>12.1</v>
      </c>
      <c r="I253" s="28">
        <v>1024.8</v>
      </c>
      <c r="J253" s="36" t="s">
        <v>429</v>
      </c>
    </row>
    <row r="254" spans="1:10">
      <c r="A254" s="4">
        <v>41724</v>
      </c>
      <c r="C254" s="29">
        <v>3.1388888888888888</v>
      </c>
      <c r="E254" s="26">
        <v>330</v>
      </c>
      <c r="F254" s="29">
        <v>1</v>
      </c>
      <c r="G254" s="27">
        <v>67</v>
      </c>
      <c r="H254" s="29">
        <v>10.7</v>
      </c>
      <c r="I254" s="28">
        <v>1020.2</v>
      </c>
      <c r="J254" s="36" t="s">
        <v>429</v>
      </c>
    </row>
    <row r="255" spans="1:10">
      <c r="A255" s="4">
        <v>41725</v>
      </c>
      <c r="C255" s="29">
        <v>2.1388888888888888</v>
      </c>
      <c r="E255" s="26">
        <v>127</v>
      </c>
      <c r="F255" s="29">
        <v>1</v>
      </c>
      <c r="G255" s="27">
        <v>75</v>
      </c>
      <c r="H255" s="29">
        <v>9.6</v>
      </c>
      <c r="I255" s="28">
        <v>1007.6</v>
      </c>
      <c r="J255" s="36" t="s">
        <v>429</v>
      </c>
    </row>
    <row r="256" spans="1:10">
      <c r="A256" s="4">
        <v>41726</v>
      </c>
      <c r="C256" s="29">
        <v>1.4166666666666665</v>
      </c>
      <c r="E256" s="26">
        <v>155</v>
      </c>
      <c r="F256" s="29">
        <v>4</v>
      </c>
      <c r="G256" s="27">
        <v>75</v>
      </c>
      <c r="H256" s="29">
        <v>10.4</v>
      </c>
      <c r="I256" s="28">
        <v>1000.4</v>
      </c>
      <c r="J256" s="36" t="s">
        <v>429</v>
      </c>
    </row>
    <row r="257" spans="1:10">
      <c r="A257" s="4">
        <v>41727</v>
      </c>
      <c r="C257" s="29">
        <v>1</v>
      </c>
      <c r="E257" s="26">
        <v>301</v>
      </c>
      <c r="F257" s="29">
        <v>0</v>
      </c>
      <c r="G257" s="27">
        <v>70</v>
      </c>
      <c r="H257" s="29">
        <v>10.199999999999999</v>
      </c>
      <c r="I257" s="28">
        <v>1002.1</v>
      </c>
      <c r="J257" s="36" t="s">
        <v>429</v>
      </c>
    </row>
    <row r="258" spans="1:10">
      <c r="A258" s="4">
        <v>41728</v>
      </c>
      <c r="C258" s="29">
        <v>2.5555555555555554</v>
      </c>
      <c r="E258" s="26">
        <v>180</v>
      </c>
      <c r="F258" s="29">
        <v>8.4</v>
      </c>
      <c r="G258" s="27">
        <v>79</v>
      </c>
      <c r="H258" s="29">
        <v>11.2</v>
      </c>
      <c r="I258" s="28">
        <v>1005.2</v>
      </c>
      <c r="J258" s="36" t="s">
        <v>429</v>
      </c>
    </row>
    <row r="259" spans="1:10">
      <c r="A259" s="4">
        <v>41729</v>
      </c>
      <c r="C259" s="29">
        <v>3.0555555555555554</v>
      </c>
      <c r="E259" s="26">
        <v>165</v>
      </c>
      <c r="F259" s="29">
        <v>23.7</v>
      </c>
      <c r="G259" s="27">
        <v>87</v>
      </c>
      <c r="H259" s="29">
        <v>13.2</v>
      </c>
      <c r="I259" s="28">
        <v>1004</v>
      </c>
      <c r="J259" s="36" t="s">
        <v>429</v>
      </c>
    </row>
    <row r="260" spans="1:10">
      <c r="A260" s="4">
        <v>41730</v>
      </c>
      <c r="C260" s="32">
        <v>3.75</v>
      </c>
      <c r="E260" s="35">
        <v>173</v>
      </c>
      <c r="F260" s="32">
        <v>45.3</v>
      </c>
      <c r="G260" s="33">
        <v>88</v>
      </c>
      <c r="H260" s="32">
        <v>12.5</v>
      </c>
      <c r="I260" s="34">
        <v>997.6</v>
      </c>
      <c r="J260" s="36" t="s">
        <v>429</v>
      </c>
    </row>
    <row r="261" spans="1:10">
      <c r="A261" s="4">
        <v>41731</v>
      </c>
      <c r="C261" s="29">
        <v>2.0555555555555558</v>
      </c>
      <c r="E261" s="26">
        <v>175</v>
      </c>
      <c r="F261" s="29">
        <v>8.6</v>
      </c>
      <c r="G261" s="27">
        <v>81</v>
      </c>
      <c r="H261" s="29">
        <v>12</v>
      </c>
      <c r="I261" s="28">
        <v>996.5</v>
      </c>
      <c r="J261" s="36" t="s">
        <v>429</v>
      </c>
    </row>
    <row r="262" spans="1:10">
      <c r="A262" s="4">
        <v>41732</v>
      </c>
      <c r="C262" s="29">
        <v>1.4444444444444444</v>
      </c>
      <c r="E262" s="26">
        <v>267</v>
      </c>
      <c r="F262" s="29">
        <v>5</v>
      </c>
      <c r="G262" s="27">
        <v>81</v>
      </c>
      <c r="H262" s="29">
        <v>11.5</v>
      </c>
      <c r="I262" s="28">
        <v>1005.2</v>
      </c>
      <c r="J262" s="36" t="s">
        <v>429</v>
      </c>
    </row>
    <row r="263" spans="1:10">
      <c r="A263" s="4">
        <v>41733</v>
      </c>
      <c r="C263" s="29">
        <v>2.4722222222222223</v>
      </c>
      <c r="E263" s="26">
        <v>202</v>
      </c>
      <c r="F263" s="29">
        <v>27.5</v>
      </c>
      <c r="G263" s="27">
        <v>93</v>
      </c>
      <c r="H263" s="29">
        <v>12.3</v>
      </c>
      <c r="I263" s="28">
        <v>1014.8</v>
      </c>
      <c r="J263" s="36" t="s">
        <v>429</v>
      </c>
    </row>
    <row r="264" spans="1:10">
      <c r="A264" s="4">
        <v>41734</v>
      </c>
      <c r="C264" s="29">
        <v>2.0277777777777777</v>
      </c>
      <c r="E264" s="26">
        <v>233</v>
      </c>
      <c r="F264" s="29">
        <v>1</v>
      </c>
      <c r="G264" s="27">
        <v>92</v>
      </c>
      <c r="H264" s="29">
        <v>16</v>
      </c>
      <c r="I264" s="28">
        <v>1018.2</v>
      </c>
      <c r="J264" s="36" t="s">
        <v>429</v>
      </c>
    </row>
    <row r="265" spans="1:10">
      <c r="A265" s="4">
        <v>41735</v>
      </c>
      <c r="C265" s="29">
        <v>0.77777777777777768</v>
      </c>
      <c r="E265" s="26">
        <v>257</v>
      </c>
      <c r="F265" s="29">
        <v>0</v>
      </c>
      <c r="G265" s="27">
        <v>79</v>
      </c>
      <c r="H265" s="29">
        <v>16.399999999999999</v>
      </c>
      <c r="I265" s="28">
        <v>1016.8</v>
      </c>
      <c r="J265" s="36" t="s">
        <v>429</v>
      </c>
    </row>
    <row r="266" spans="1:10">
      <c r="A266" s="4">
        <v>41736</v>
      </c>
      <c r="C266" s="29">
        <v>1.1666666666666667</v>
      </c>
      <c r="E266" s="26">
        <v>324</v>
      </c>
      <c r="F266" s="29">
        <v>0</v>
      </c>
      <c r="G266" s="27">
        <v>78</v>
      </c>
      <c r="H266" s="29">
        <v>14.8</v>
      </c>
      <c r="I266" s="28">
        <v>1016.8</v>
      </c>
      <c r="J266" s="36" t="s">
        <v>429</v>
      </c>
    </row>
    <row r="267" spans="1:10">
      <c r="A267" s="4">
        <v>41737</v>
      </c>
      <c r="C267" s="29">
        <v>1.7222222222222223</v>
      </c>
      <c r="E267" s="26">
        <v>345</v>
      </c>
      <c r="F267" s="29">
        <v>0</v>
      </c>
      <c r="G267" s="27">
        <v>78</v>
      </c>
      <c r="H267" s="29">
        <v>17.100000000000001</v>
      </c>
      <c r="I267" s="28">
        <v>1017.5</v>
      </c>
      <c r="J267" s="36" t="s">
        <v>429</v>
      </c>
    </row>
    <row r="268" spans="1:10">
      <c r="A268" s="4">
        <v>41738</v>
      </c>
      <c r="C268" s="29">
        <v>1.8055555555555556</v>
      </c>
      <c r="E268" s="26">
        <v>108</v>
      </c>
      <c r="F268" s="29">
        <v>0</v>
      </c>
      <c r="G268" s="27">
        <v>62</v>
      </c>
      <c r="H268" s="29">
        <v>19.2</v>
      </c>
      <c r="I268" s="28">
        <v>1013.3</v>
      </c>
      <c r="J268" s="36" t="s">
        <v>429</v>
      </c>
    </row>
    <row r="269" spans="1:10">
      <c r="A269" s="4">
        <v>41739</v>
      </c>
      <c r="C269" s="29">
        <v>1.0833333333333333</v>
      </c>
      <c r="E269" s="26">
        <v>268</v>
      </c>
      <c r="F269" s="29">
        <v>0</v>
      </c>
      <c r="G269" s="27">
        <v>70</v>
      </c>
      <c r="H269" s="29">
        <v>16.7</v>
      </c>
      <c r="I269" s="28">
        <v>1012.5</v>
      </c>
      <c r="J269" s="36" t="s">
        <v>429</v>
      </c>
    </row>
    <row r="270" spans="1:10">
      <c r="A270" s="4">
        <v>41740</v>
      </c>
      <c r="C270" s="29">
        <v>1.0555555555555556</v>
      </c>
      <c r="E270" s="26">
        <v>329</v>
      </c>
      <c r="F270" s="29">
        <v>0</v>
      </c>
      <c r="G270" s="27">
        <v>82</v>
      </c>
      <c r="H270" s="29">
        <v>14.1</v>
      </c>
      <c r="I270" s="28">
        <v>1011.8</v>
      </c>
      <c r="J270" s="36" t="s">
        <v>429</v>
      </c>
    </row>
    <row r="271" spans="1:10">
      <c r="A271" s="4">
        <v>41741</v>
      </c>
      <c r="C271" s="29">
        <v>0.88888888888888895</v>
      </c>
      <c r="E271" s="26">
        <v>271</v>
      </c>
      <c r="F271" s="29">
        <v>0</v>
      </c>
      <c r="G271" s="27">
        <v>80</v>
      </c>
      <c r="H271" s="29">
        <v>15.7</v>
      </c>
      <c r="I271" s="28">
        <v>1012.8</v>
      </c>
      <c r="J271" s="36" t="s">
        <v>429</v>
      </c>
    </row>
    <row r="272" spans="1:10">
      <c r="A272" s="4">
        <v>41742</v>
      </c>
      <c r="C272" s="29">
        <v>1.0833333333333333</v>
      </c>
      <c r="E272" s="26">
        <v>329</v>
      </c>
      <c r="F272" s="29">
        <v>0</v>
      </c>
      <c r="G272" s="27">
        <v>76</v>
      </c>
      <c r="H272" s="29">
        <v>17.100000000000001</v>
      </c>
      <c r="I272" s="28">
        <v>1015.6</v>
      </c>
      <c r="J272" s="36" t="s">
        <v>429</v>
      </c>
    </row>
    <row r="273" spans="1:10">
      <c r="A273" s="4">
        <v>41743</v>
      </c>
      <c r="C273" s="29">
        <v>0.75</v>
      </c>
      <c r="E273" s="26">
        <v>81</v>
      </c>
      <c r="F273" s="29">
        <v>0</v>
      </c>
      <c r="G273" s="27">
        <v>76</v>
      </c>
      <c r="H273" s="29">
        <v>16.7</v>
      </c>
      <c r="I273" s="28">
        <v>1011.5</v>
      </c>
      <c r="J273" s="36" t="s">
        <v>429</v>
      </c>
    </row>
    <row r="274" spans="1:10">
      <c r="A274" s="4">
        <v>41744</v>
      </c>
      <c r="C274" s="29">
        <v>1.0833333333333333</v>
      </c>
      <c r="E274" s="26">
        <v>199</v>
      </c>
      <c r="F274" s="29">
        <v>0</v>
      </c>
      <c r="G274" s="27">
        <v>67</v>
      </c>
      <c r="H274" s="29">
        <v>18.600000000000001</v>
      </c>
      <c r="I274" s="28">
        <v>1012</v>
      </c>
      <c r="J274" s="36" t="s">
        <v>429</v>
      </c>
    </row>
    <row r="275" spans="1:10">
      <c r="A275" s="4">
        <v>41745</v>
      </c>
      <c r="C275" s="29">
        <v>0.91666666666666663</v>
      </c>
      <c r="E275" s="26">
        <v>264</v>
      </c>
      <c r="F275" s="29">
        <v>0</v>
      </c>
      <c r="G275" s="27">
        <v>79</v>
      </c>
      <c r="H275" s="29">
        <v>16.100000000000001</v>
      </c>
      <c r="I275" s="28">
        <v>1016.1</v>
      </c>
      <c r="J275" s="36" t="s">
        <v>429</v>
      </c>
    </row>
    <row r="276" spans="1:10">
      <c r="A276" s="4">
        <v>41746</v>
      </c>
      <c r="C276" s="29">
        <v>1.3611111111111112</v>
      </c>
      <c r="E276" s="26">
        <v>315</v>
      </c>
      <c r="F276" s="29">
        <v>0</v>
      </c>
      <c r="G276" s="27">
        <v>82</v>
      </c>
      <c r="H276" s="29">
        <v>17</v>
      </c>
      <c r="I276" s="28">
        <v>1015.6</v>
      </c>
      <c r="J276" s="36" t="s">
        <v>429</v>
      </c>
    </row>
    <row r="277" spans="1:10">
      <c r="A277" s="4">
        <v>41747</v>
      </c>
      <c r="C277" s="29">
        <v>1.4722222222222221</v>
      </c>
      <c r="E277" s="26">
        <v>303</v>
      </c>
      <c r="F277" s="29">
        <v>0</v>
      </c>
      <c r="G277" s="27">
        <v>87</v>
      </c>
      <c r="H277" s="29">
        <v>14.7</v>
      </c>
      <c r="I277" s="28">
        <v>1014</v>
      </c>
      <c r="J277" s="36" t="s">
        <v>429</v>
      </c>
    </row>
    <row r="278" spans="1:10">
      <c r="A278" s="4">
        <v>41748</v>
      </c>
      <c r="C278" s="29">
        <v>1.7777777777777779</v>
      </c>
      <c r="E278" s="26">
        <v>298</v>
      </c>
      <c r="F278" s="29">
        <v>0</v>
      </c>
      <c r="G278" s="27">
        <v>71</v>
      </c>
      <c r="H278" s="29">
        <v>15</v>
      </c>
      <c r="I278" s="28">
        <v>1008</v>
      </c>
      <c r="J278" s="36" t="s">
        <v>429</v>
      </c>
    </row>
    <row r="279" spans="1:10">
      <c r="A279" s="4">
        <v>41749</v>
      </c>
      <c r="C279" s="29">
        <v>1.5</v>
      </c>
      <c r="E279" s="26">
        <v>47</v>
      </c>
      <c r="F279" s="29">
        <v>0</v>
      </c>
      <c r="G279" s="27">
        <v>76</v>
      </c>
      <c r="H279" s="29">
        <v>13.8</v>
      </c>
      <c r="I279" s="28">
        <v>1001.9</v>
      </c>
      <c r="J279" s="36" t="s">
        <v>429</v>
      </c>
    </row>
    <row r="280" spans="1:10">
      <c r="A280" s="4">
        <v>41750</v>
      </c>
      <c r="C280" s="29">
        <v>1.4722222222222221</v>
      </c>
      <c r="E280" s="26">
        <v>292</v>
      </c>
      <c r="F280" s="29">
        <v>0</v>
      </c>
      <c r="G280" s="27">
        <v>71</v>
      </c>
      <c r="H280" s="29">
        <v>14.7</v>
      </c>
      <c r="I280" s="28">
        <v>1003.3</v>
      </c>
      <c r="J280" s="36" t="s">
        <v>429</v>
      </c>
    </row>
    <row r="281" spans="1:10">
      <c r="A281" s="4">
        <v>41751</v>
      </c>
      <c r="C281" s="29">
        <v>2.2222222222222223</v>
      </c>
      <c r="E281" s="26">
        <v>213</v>
      </c>
      <c r="F281" s="29">
        <v>0</v>
      </c>
      <c r="G281" s="27">
        <v>70</v>
      </c>
      <c r="H281" s="29">
        <v>15.1</v>
      </c>
      <c r="I281" s="28">
        <v>1012.2</v>
      </c>
      <c r="J281" s="36" t="s">
        <v>429</v>
      </c>
    </row>
    <row r="282" spans="1:10">
      <c r="A282" s="4">
        <v>41752</v>
      </c>
      <c r="C282" s="29">
        <v>1.6111111111111109</v>
      </c>
      <c r="E282" s="26">
        <v>265</v>
      </c>
      <c r="F282" s="29">
        <v>6</v>
      </c>
      <c r="G282" s="27">
        <v>68</v>
      </c>
      <c r="H282" s="29">
        <v>15.1</v>
      </c>
      <c r="I282" s="28">
        <v>1017.4</v>
      </c>
      <c r="J282" s="36" t="s">
        <v>429</v>
      </c>
    </row>
    <row r="283" spans="1:10">
      <c r="A283" s="4">
        <v>41753</v>
      </c>
      <c r="C283" s="29">
        <v>1.8888888888888888</v>
      </c>
      <c r="E283" s="26">
        <v>258</v>
      </c>
      <c r="F283" s="29">
        <v>0</v>
      </c>
      <c r="G283" s="27">
        <v>71</v>
      </c>
      <c r="H283" s="29">
        <v>12.4</v>
      </c>
      <c r="I283" s="28">
        <v>1017.7</v>
      </c>
      <c r="J283" s="36" t="s">
        <v>429</v>
      </c>
    </row>
    <row r="284" spans="1:10">
      <c r="A284" s="4">
        <v>41754</v>
      </c>
      <c r="C284" s="29">
        <v>1.9722222222222221</v>
      </c>
      <c r="E284" s="26">
        <v>222</v>
      </c>
      <c r="F284" s="29">
        <v>0</v>
      </c>
      <c r="G284" s="27">
        <v>67</v>
      </c>
      <c r="H284" s="29">
        <v>13.3</v>
      </c>
      <c r="I284" s="28">
        <v>1020.9</v>
      </c>
      <c r="J284" s="36" t="s">
        <v>429</v>
      </c>
    </row>
    <row r="285" spans="1:10">
      <c r="A285" s="4">
        <v>41755</v>
      </c>
      <c r="C285" s="29">
        <v>2.5833333333333335</v>
      </c>
      <c r="E285" s="26">
        <v>244</v>
      </c>
      <c r="F285" s="29">
        <v>4</v>
      </c>
      <c r="G285" s="27">
        <v>92</v>
      </c>
      <c r="H285" s="29">
        <v>14.8</v>
      </c>
      <c r="I285" s="28">
        <v>1018.7</v>
      </c>
      <c r="J285" s="36" t="s">
        <v>429</v>
      </c>
    </row>
    <row r="286" spans="1:10">
      <c r="A286" s="4">
        <v>41756</v>
      </c>
      <c r="C286" s="29">
        <v>1.2777777777777777</v>
      </c>
      <c r="E286" s="26">
        <v>318</v>
      </c>
      <c r="F286" s="29">
        <v>0</v>
      </c>
      <c r="G286" s="27">
        <v>75</v>
      </c>
      <c r="H286" s="29">
        <v>13.9</v>
      </c>
      <c r="I286" s="28">
        <v>1019.6</v>
      </c>
      <c r="J286" s="36" t="s">
        <v>429</v>
      </c>
    </row>
    <row r="287" spans="1:10">
      <c r="A287" s="4">
        <v>41757</v>
      </c>
      <c r="C287" s="29">
        <v>1.4166666666666665</v>
      </c>
      <c r="E287" s="26">
        <v>325</v>
      </c>
      <c r="F287" s="29">
        <v>0</v>
      </c>
      <c r="G287" s="27">
        <v>76</v>
      </c>
      <c r="H287" s="29">
        <v>14.2</v>
      </c>
      <c r="I287" s="28">
        <v>1017.6</v>
      </c>
      <c r="J287" s="36" t="s">
        <v>429</v>
      </c>
    </row>
    <row r="288" spans="1:10">
      <c r="A288" s="4">
        <v>41758</v>
      </c>
      <c r="C288" s="29">
        <v>2.5</v>
      </c>
      <c r="E288" s="26">
        <v>337</v>
      </c>
      <c r="F288" s="29">
        <v>0</v>
      </c>
      <c r="G288" s="27">
        <v>69</v>
      </c>
      <c r="H288" s="29">
        <v>16.899999999999999</v>
      </c>
      <c r="I288" s="28">
        <v>1016.1</v>
      </c>
      <c r="J288" s="36" t="s">
        <v>429</v>
      </c>
    </row>
    <row r="289" spans="1:10">
      <c r="A289" s="4">
        <v>41759</v>
      </c>
      <c r="C289" s="29">
        <v>2.1944444444444446</v>
      </c>
      <c r="E289" s="26">
        <v>337</v>
      </c>
      <c r="F289" s="29">
        <v>0</v>
      </c>
      <c r="G289" s="27">
        <v>79</v>
      </c>
      <c r="H289" s="29">
        <v>17.3</v>
      </c>
      <c r="I289" s="28">
        <v>1015.4</v>
      </c>
      <c r="J289" s="36" t="s">
        <v>429</v>
      </c>
    </row>
    <row r="290" spans="1:10">
      <c r="A290" s="4">
        <v>41760</v>
      </c>
      <c r="C290" s="29">
        <v>2.5555555555555554</v>
      </c>
      <c r="E290" s="26">
        <v>332</v>
      </c>
      <c r="F290" s="29">
        <v>0</v>
      </c>
      <c r="G290" s="27">
        <v>71</v>
      </c>
      <c r="H290" s="29">
        <v>16.899999999999999</v>
      </c>
      <c r="I290" s="28">
        <v>1016.4</v>
      </c>
      <c r="J290" s="36" t="s">
        <v>429</v>
      </c>
    </row>
    <row r="291" spans="1:10">
      <c r="A291" s="4">
        <v>41761</v>
      </c>
      <c r="C291" s="29">
        <v>1.5555555555555554</v>
      </c>
      <c r="E291" s="26">
        <v>327</v>
      </c>
      <c r="F291" s="29">
        <v>0</v>
      </c>
      <c r="G291" s="27">
        <v>65</v>
      </c>
      <c r="H291" s="29">
        <v>18.7</v>
      </c>
      <c r="I291" s="28">
        <v>1015.4</v>
      </c>
      <c r="J291" s="36" t="s">
        <v>429</v>
      </c>
    </row>
    <row r="292" spans="1:10">
      <c r="A292" s="4">
        <v>41762</v>
      </c>
      <c r="C292" s="29">
        <v>1.4166666666666665</v>
      </c>
      <c r="E292" s="26">
        <v>20</v>
      </c>
      <c r="F292" s="29">
        <v>0</v>
      </c>
      <c r="G292" s="27">
        <v>53</v>
      </c>
      <c r="H292" s="29">
        <v>19.5</v>
      </c>
      <c r="I292" s="28">
        <v>1013.7</v>
      </c>
      <c r="J292" s="36" t="s">
        <v>429</v>
      </c>
    </row>
    <row r="293" spans="1:10">
      <c r="A293" s="4">
        <v>41763</v>
      </c>
      <c r="C293" s="29">
        <v>1</v>
      </c>
      <c r="E293" s="26">
        <v>176</v>
      </c>
      <c r="F293" s="29">
        <v>0</v>
      </c>
      <c r="G293" s="27">
        <v>49</v>
      </c>
      <c r="H293" s="29">
        <v>19.5</v>
      </c>
      <c r="I293" s="28">
        <v>1011.3</v>
      </c>
      <c r="J293" s="36" t="s">
        <v>429</v>
      </c>
    </row>
    <row r="294" spans="1:10">
      <c r="A294" s="4">
        <v>41764</v>
      </c>
      <c r="C294" s="29">
        <v>1</v>
      </c>
      <c r="E294" s="26">
        <v>312</v>
      </c>
      <c r="F294" s="29">
        <v>0</v>
      </c>
      <c r="G294" s="27">
        <v>65</v>
      </c>
      <c r="H294" s="29">
        <v>17.399999999999999</v>
      </c>
      <c r="I294" s="28">
        <v>1011.4</v>
      </c>
      <c r="J294" s="36" t="s">
        <v>429</v>
      </c>
    </row>
    <row r="295" spans="1:10">
      <c r="A295" s="4">
        <v>41765</v>
      </c>
      <c r="C295" s="29">
        <v>1.6111111111111109</v>
      </c>
      <c r="E295" s="26">
        <v>321</v>
      </c>
      <c r="F295" s="29">
        <v>0</v>
      </c>
      <c r="G295" s="27">
        <v>72</v>
      </c>
      <c r="H295" s="29">
        <v>17.100000000000001</v>
      </c>
      <c r="I295" s="28">
        <v>1014.7</v>
      </c>
      <c r="J295" s="36" t="s">
        <v>429</v>
      </c>
    </row>
    <row r="296" spans="1:10">
      <c r="A296" s="4">
        <v>41766</v>
      </c>
      <c r="C296" s="29">
        <v>2.5277777777777777</v>
      </c>
      <c r="E296" s="26">
        <v>325</v>
      </c>
      <c r="F296" s="29">
        <v>0</v>
      </c>
      <c r="G296" s="27">
        <v>73</v>
      </c>
      <c r="H296" s="29">
        <v>17.399999999999999</v>
      </c>
      <c r="I296" s="28">
        <v>1018</v>
      </c>
      <c r="J296" s="36" t="s">
        <v>429</v>
      </c>
    </row>
    <row r="297" spans="1:10">
      <c r="A297" s="4">
        <v>41767</v>
      </c>
      <c r="C297" s="29">
        <v>3.1944444444444442</v>
      </c>
      <c r="E297" s="26">
        <v>328</v>
      </c>
      <c r="F297" s="29">
        <v>0</v>
      </c>
      <c r="G297" s="27">
        <v>73</v>
      </c>
      <c r="H297" s="29">
        <v>16.8</v>
      </c>
      <c r="I297" s="28">
        <v>1019.5</v>
      </c>
      <c r="J297" s="36" t="s">
        <v>429</v>
      </c>
    </row>
    <row r="298" spans="1:10">
      <c r="A298" s="4">
        <v>41768</v>
      </c>
      <c r="C298" s="29">
        <v>2.833333333333333</v>
      </c>
      <c r="E298" s="26">
        <v>326</v>
      </c>
      <c r="F298" s="29">
        <v>0</v>
      </c>
      <c r="G298" s="27">
        <v>80</v>
      </c>
      <c r="H298" s="29">
        <v>17.399999999999999</v>
      </c>
      <c r="I298" s="28">
        <v>1019.5</v>
      </c>
      <c r="J298" s="36" t="s">
        <v>429</v>
      </c>
    </row>
    <row r="299" spans="1:10">
      <c r="A299" s="4">
        <v>41769</v>
      </c>
      <c r="C299" s="29">
        <v>2.9722222222222219</v>
      </c>
      <c r="E299" s="26">
        <v>332</v>
      </c>
      <c r="F299" s="29">
        <v>0</v>
      </c>
      <c r="G299" s="27">
        <v>81</v>
      </c>
      <c r="H299" s="29">
        <v>17.100000000000001</v>
      </c>
      <c r="I299" s="28">
        <v>1019.8</v>
      </c>
      <c r="J299" s="36" t="s">
        <v>429</v>
      </c>
    </row>
    <row r="300" spans="1:10">
      <c r="A300" s="4">
        <v>41770</v>
      </c>
      <c r="C300" s="29">
        <v>2.6944444444444442</v>
      </c>
      <c r="E300" s="26">
        <v>328</v>
      </c>
      <c r="F300" s="29">
        <v>0</v>
      </c>
      <c r="G300" s="27">
        <v>69</v>
      </c>
      <c r="H300" s="29">
        <v>17.3</v>
      </c>
      <c r="I300" s="28">
        <v>1018.5</v>
      </c>
      <c r="J300" s="36" t="s">
        <v>429</v>
      </c>
    </row>
    <row r="301" spans="1:10">
      <c r="A301" s="4">
        <v>41771</v>
      </c>
      <c r="C301" s="29">
        <v>2.0833333333333335</v>
      </c>
      <c r="E301" s="26">
        <v>325</v>
      </c>
      <c r="F301" s="29">
        <v>0</v>
      </c>
      <c r="G301" s="27">
        <v>66</v>
      </c>
      <c r="H301" s="29">
        <v>15.6</v>
      </c>
      <c r="I301" s="28">
        <v>1015.7</v>
      </c>
      <c r="J301" s="36" t="s">
        <v>429</v>
      </c>
    </row>
    <row r="302" spans="1:10">
      <c r="A302" s="4">
        <v>41772</v>
      </c>
      <c r="C302" s="29">
        <v>1.5555555555555554</v>
      </c>
      <c r="E302" s="26">
        <v>327</v>
      </c>
      <c r="F302" s="29">
        <v>0</v>
      </c>
      <c r="G302" s="27">
        <v>61</v>
      </c>
      <c r="H302" s="29">
        <v>16.8</v>
      </c>
      <c r="I302" s="28">
        <v>1017</v>
      </c>
      <c r="J302" s="36" t="s">
        <v>429</v>
      </c>
    </row>
    <row r="303" spans="1:10">
      <c r="A303" s="4">
        <v>41773</v>
      </c>
      <c r="C303" s="29">
        <v>1.8888888888888888</v>
      </c>
      <c r="E303" s="26">
        <v>94</v>
      </c>
      <c r="F303" s="29">
        <v>0</v>
      </c>
      <c r="G303" s="27">
        <v>46</v>
      </c>
      <c r="H303" s="29">
        <v>20.8</v>
      </c>
      <c r="I303" s="28">
        <v>1016.9</v>
      </c>
      <c r="J303" s="36" t="s">
        <v>429</v>
      </c>
    </row>
    <row r="304" spans="1:10">
      <c r="A304" s="4">
        <v>41774</v>
      </c>
      <c r="C304" s="29">
        <v>1.9722222222222221</v>
      </c>
      <c r="E304" s="26">
        <v>126</v>
      </c>
      <c r="F304" s="29">
        <v>0</v>
      </c>
      <c r="G304" s="27">
        <v>42</v>
      </c>
      <c r="H304" s="29">
        <v>22.1</v>
      </c>
      <c r="I304" s="28">
        <v>1014.7</v>
      </c>
      <c r="J304" s="36" t="s">
        <v>429</v>
      </c>
    </row>
    <row r="305" spans="1:10">
      <c r="A305" s="4">
        <v>41775</v>
      </c>
      <c r="C305" s="29">
        <v>1.1388888888888888</v>
      </c>
      <c r="E305" s="26">
        <v>322</v>
      </c>
      <c r="F305" s="29">
        <v>7.3</v>
      </c>
      <c r="G305" s="27">
        <v>56.999999999999993</v>
      </c>
      <c r="H305" s="29">
        <v>19</v>
      </c>
      <c r="I305" s="28">
        <v>1011.8</v>
      </c>
      <c r="J305" s="36" t="s">
        <v>429</v>
      </c>
    </row>
    <row r="306" spans="1:10">
      <c r="A306" s="4">
        <v>41776</v>
      </c>
      <c r="C306" s="29">
        <v>1.1666666666666667</v>
      </c>
      <c r="E306" s="26">
        <v>349</v>
      </c>
      <c r="F306" s="29">
        <v>0</v>
      </c>
      <c r="G306" s="27">
        <v>49</v>
      </c>
      <c r="H306" s="29">
        <v>19.600000000000001</v>
      </c>
      <c r="I306" s="28">
        <v>1009.8</v>
      </c>
      <c r="J306" s="36" t="s">
        <v>429</v>
      </c>
    </row>
    <row r="307" spans="1:10">
      <c r="A307" s="4">
        <v>41777</v>
      </c>
      <c r="C307" s="29">
        <v>1.1388888888888888</v>
      </c>
      <c r="E307" s="26">
        <v>250</v>
      </c>
      <c r="F307" s="29">
        <v>0</v>
      </c>
      <c r="G307" s="27">
        <v>53</v>
      </c>
      <c r="H307" s="29">
        <v>18.3</v>
      </c>
      <c r="I307" s="28">
        <v>1008</v>
      </c>
      <c r="J307" s="36" t="s">
        <v>429</v>
      </c>
    </row>
    <row r="308" spans="1:10">
      <c r="A308" s="4">
        <v>41778</v>
      </c>
      <c r="C308" s="29">
        <v>1.6388888888888888</v>
      </c>
      <c r="E308" s="26">
        <v>242</v>
      </c>
      <c r="F308" s="29">
        <v>1</v>
      </c>
      <c r="G308" s="27">
        <v>70</v>
      </c>
      <c r="H308" s="29">
        <v>14.5</v>
      </c>
      <c r="I308" s="28">
        <v>1004.8</v>
      </c>
      <c r="J308" s="36" t="s">
        <v>429</v>
      </c>
    </row>
    <row r="309" spans="1:10">
      <c r="A309" s="4">
        <v>41779</v>
      </c>
      <c r="C309" s="29">
        <v>2.4166666666666665</v>
      </c>
      <c r="E309" s="26">
        <v>169</v>
      </c>
      <c r="F309" s="29">
        <v>19.600000000000001</v>
      </c>
      <c r="G309" s="27">
        <v>77</v>
      </c>
      <c r="H309" s="29">
        <v>13</v>
      </c>
      <c r="I309" s="28">
        <v>1003.2</v>
      </c>
      <c r="J309" s="36" t="s">
        <v>429</v>
      </c>
    </row>
    <row r="310" spans="1:10">
      <c r="A310" s="4">
        <v>41780</v>
      </c>
      <c r="C310" s="29">
        <v>2.6666666666666665</v>
      </c>
      <c r="E310" s="26">
        <v>202</v>
      </c>
      <c r="F310" s="29">
        <v>35.9</v>
      </c>
      <c r="G310" s="27">
        <v>88</v>
      </c>
      <c r="H310" s="29">
        <v>11.5</v>
      </c>
      <c r="I310" s="28">
        <v>1002.6</v>
      </c>
      <c r="J310" s="36" t="s">
        <v>429</v>
      </c>
    </row>
    <row r="311" spans="1:10">
      <c r="A311" s="4">
        <v>41781</v>
      </c>
      <c r="C311" s="29">
        <v>2.4722222222222223</v>
      </c>
      <c r="E311" s="26">
        <v>228</v>
      </c>
      <c r="F311" s="29">
        <v>19.5</v>
      </c>
      <c r="G311" s="27">
        <v>82</v>
      </c>
      <c r="H311" s="29">
        <v>14.3</v>
      </c>
      <c r="I311" s="28">
        <v>1011.6</v>
      </c>
      <c r="J311" s="36" t="s">
        <v>429</v>
      </c>
    </row>
    <row r="312" spans="1:10">
      <c r="A312" s="4">
        <v>41782</v>
      </c>
      <c r="C312" s="29">
        <v>1.75</v>
      </c>
      <c r="E312" s="26">
        <v>323</v>
      </c>
      <c r="F312" s="29">
        <v>0</v>
      </c>
      <c r="G312" s="27">
        <v>72</v>
      </c>
      <c r="H312" s="29">
        <v>14.7</v>
      </c>
      <c r="I312" s="28">
        <v>1015.7</v>
      </c>
      <c r="J312" s="36" t="s">
        <v>429</v>
      </c>
    </row>
    <row r="313" spans="1:10">
      <c r="A313" s="4">
        <v>41783</v>
      </c>
      <c r="C313" s="29">
        <v>2.1666666666666665</v>
      </c>
      <c r="E313" s="26">
        <v>333</v>
      </c>
      <c r="F313" s="29">
        <v>0</v>
      </c>
      <c r="G313" s="27">
        <v>61</v>
      </c>
      <c r="H313" s="29">
        <v>13.6</v>
      </c>
      <c r="I313" s="28">
        <v>1015</v>
      </c>
      <c r="J313" s="36" t="s">
        <v>429</v>
      </c>
    </row>
    <row r="314" spans="1:10">
      <c r="A314" s="4">
        <v>41784</v>
      </c>
      <c r="C314" s="29">
        <v>2.1111111111111112</v>
      </c>
      <c r="E314" s="26">
        <v>330</v>
      </c>
      <c r="F314" s="29">
        <v>0</v>
      </c>
      <c r="G314" s="27">
        <v>60</v>
      </c>
      <c r="H314" s="29">
        <v>14</v>
      </c>
      <c r="I314" s="28">
        <v>1016.5</v>
      </c>
      <c r="J314" s="36" t="s">
        <v>429</v>
      </c>
    </row>
    <row r="315" spans="1:10">
      <c r="A315" s="4">
        <v>41785</v>
      </c>
      <c r="C315" s="29">
        <v>2.3888888888888888</v>
      </c>
      <c r="E315" s="26">
        <v>336</v>
      </c>
      <c r="F315" s="29">
        <v>0</v>
      </c>
      <c r="G315" s="27">
        <v>61</v>
      </c>
      <c r="H315" s="29">
        <v>14</v>
      </c>
      <c r="I315" s="28">
        <v>1019.8</v>
      </c>
      <c r="J315" s="36" t="s">
        <v>429</v>
      </c>
    </row>
    <row r="316" spans="1:10">
      <c r="A316" s="4">
        <v>41786</v>
      </c>
      <c r="C316" s="29">
        <v>1.6388888888888888</v>
      </c>
      <c r="E316" s="26">
        <v>256</v>
      </c>
      <c r="F316" s="29">
        <v>0</v>
      </c>
      <c r="G316" s="27">
        <v>72</v>
      </c>
      <c r="H316" s="29">
        <v>14.9</v>
      </c>
      <c r="I316" s="28">
        <v>1017.8</v>
      </c>
      <c r="J316" s="36" t="s">
        <v>429</v>
      </c>
    </row>
    <row r="317" spans="1:10">
      <c r="A317" s="4">
        <v>41787</v>
      </c>
      <c r="C317" s="29">
        <v>1.2777777777777777</v>
      </c>
      <c r="E317" s="26">
        <v>288</v>
      </c>
      <c r="F317" s="29">
        <v>1</v>
      </c>
      <c r="G317" s="27">
        <v>80</v>
      </c>
      <c r="H317" s="29">
        <v>16.2</v>
      </c>
      <c r="I317" s="28">
        <v>1017.2</v>
      </c>
      <c r="J317" s="36" t="s">
        <v>429</v>
      </c>
    </row>
    <row r="318" spans="1:10">
      <c r="A318" s="4">
        <v>41788</v>
      </c>
      <c r="C318" s="29">
        <v>1.1666666666666667</v>
      </c>
      <c r="E318" s="26">
        <v>265</v>
      </c>
      <c r="F318" s="29">
        <v>1</v>
      </c>
      <c r="G318" s="27">
        <v>91</v>
      </c>
      <c r="H318" s="29">
        <v>15.8</v>
      </c>
      <c r="I318" s="28">
        <v>1018.6</v>
      </c>
      <c r="J318" s="36" t="s">
        <v>429</v>
      </c>
    </row>
    <row r="319" spans="1:10">
      <c r="A319" s="4">
        <v>41789</v>
      </c>
      <c r="C319" s="29">
        <v>2.833333333333333</v>
      </c>
      <c r="E319" s="26">
        <v>322</v>
      </c>
      <c r="F319" s="29">
        <v>0</v>
      </c>
      <c r="G319" s="27">
        <v>77</v>
      </c>
      <c r="H319" s="29">
        <v>16.8</v>
      </c>
      <c r="I319" s="28">
        <v>1019.1</v>
      </c>
      <c r="J319" s="36" t="s">
        <v>429</v>
      </c>
    </row>
    <row r="320" spans="1:10">
      <c r="A320" s="4">
        <v>41790</v>
      </c>
      <c r="C320" s="29">
        <v>2.25</v>
      </c>
      <c r="E320" s="26">
        <v>324</v>
      </c>
      <c r="F320" s="29">
        <v>0</v>
      </c>
      <c r="G320" s="27">
        <v>67</v>
      </c>
      <c r="H320" s="29">
        <v>17.7</v>
      </c>
      <c r="I320" s="28">
        <v>1017.2</v>
      </c>
      <c r="J320" s="36" t="s">
        <v>429</v>
      </c>
    </row>
    <row r="321" spans="1:10">
      <c r="A321" s="4">
        <v>41791</v>
      </c>
      <c r="C321" s="29">
        <v>1.5277777777777777</v>
      </c>
      <c r="E321" s="26">
        <v>329</v>
      </c>
      <c r="F321" s="29">
        <v>0</v>
      </c>
      <c r="G321" s="27">
        <v>61</v>
      </c>
      <c r="H321" s="29">
        <v>17.7</v>
      </c>
      <c r="I321" s="28">
        <v>1018.2</v>
      </c>
      <c r="J321" s="36" t="s">
        <v>429</v>
      </c>
    </row>
    <row r="322" spans="1:10">
      <c r="A322" s="4">
        <v>41792</v>
      </c>
      <c r="C322" s="29">
        <v>2.1388888888888888</v>
      </c>
      <c r="E322" s="26">
        <v>321</v>
      </c>
      <c r="F322" s="29">
        <v>0</v>
      </c>
      <c r="G322" s="27">
        <v>78</v>
      </c>
      <c r="H322" s="29">
        <v>17.100000000000001</v>
      </c>
      <c r="I322" s="28">
        <v>1019.3</v>
      </c>
      <c r="J322" s="36" t="s">
        <v>429</v>
      </c>
    </row>
    <row r="323" spans="1:10">
      <c r="A323" s="4">
        <v>41793</v>
      </c>
      <c r="C323" s="29">
        <v>2.5833333333333335</v>
      </c>
      <c r="E323" s="26">
        <v>325</v>
      </c>
      <c r="F323" s="29">
        <v>0</v>
      </c>
      <c r="G323" s="27">
        <v>74</v>
      </c>
      <c r="H323" s="29">
        <v>16.7</v>
      </c>
      <c r="I323" s="28">
        <v>1018</v>
      </c>
      <c r="J323" s="36" t="s">
        <v>429</v>
      </c>
    </row>
    <row r="324" spans="1:10">
      <c r="A324" s="4">
        <v>41794</v>
      </c>
      <c r="C324" s="29">
        <v>2.2222222222222223</v>
      </c>
      <c r="E324" s="26">
        <v>319</v>
      </c>
      <c r="F324" s="29">
        <v>0</v>
      </c>
      <c r="G324" s="27">
        <v>71</v>
      </c>
      <c r="H324" s="29">
        <v>16.5</v>
      </c>
      <c r="I324" s="28">
        <v>1015.3</v>
      </c>
      <c r="J324" s="25">
        <v>1</v>
      </c>
    </row>
    <row r="325" spans="1:10">
      <c r="A325" s="4">
        <v>41795</v>
      </c>
      <c r="C325" s="29">
        <v>1.4722222222222221</v>
      </c>
      <c r="E325" s="26">
        <v>211</v>
      </c>
      <c r="F325" s="29">
        <v>0</v>
      </c>
      <c r="G325" s="27">
        <v>70</v>
      </c>
      <c r="H325" s="29">
        <v>16.899999999999999</v>
      </c>
      <c r="I325" s="28">
        <v>1010</v>
      </c>
      <c r="J325" s="25">
        <v>1</v>
      </c>
    </row>
    <row r="326" spans="1:10">
      <c r="A326" s="4">
        <v>41796</v>
      </c>
      <c r="C326" s="29">
        <v>2.75</v>
      </c>
      <c r="E326" s="26">
        <v>185</v>
      </c>
      <c r="F326" s="29">
        <v>5.3</v>
      </c>
      <c r="G326" s="27">
        <v>84</v>
      </c>
      <c r="H326" s="29">
        <v>16.7</v>
      </c>
      <c r="I326" s="28">
        <v>1006.8</v>
      </c>
      <c r="J326" s="25">
        <v>1</v>
      </c>
    </row>
    <row r="327" spans="1:10">
      <c r="A327" s="4">
        <v>41797</v>
      </c>
      <c r="C327" s="29">
        <v>2.8611111111111112</v>
      </c>
      <c r="E327" s="26">
        <v>198</v>
      </c>
      <c r="F327" s="29">
        <v>0</v>
      </c>
      <c r="G327" s="27">
        <v>68</v>
      </c>
      <c r="H327" s="29">
        <v>17.600000000000001</v>
      </c>
      <c r="I327" s="28">
        <v>1012</v>
      </c>
      <c r="J327" s="25">
        <v>1</v>
      </c>
    </row>
    <row r="328" spans="1:10">
      <c r="A328" s="4">
        <v>41798</v>
      </c>
      <c r="C328" s="29">
        <v>1.6944444444444442</v>
      </c>
      <c r="E328" s="26">
        <v>222</v>
      </c>
      <c r="F328" s="29">
        <v>0</v>
      </c>
      <c r="G328" s="27">
        <v>67</v>
      </c>
      <c r="H328" s="29">
        <v>18.2</v>
      </c>
      <c r="I328" s="28">
        <v>1016.3</v>
      </c>
      <c r="J328" s="25">
        <v>1</v>
      </c>
    </row>
    <row r="329" spans="1:10">
      <c r="A329" s="4">
        <v>41799</v>
      </c>
      <c r="C329" s="29">
        <v>1.2777777777777777</v>
      </c>
      <c r="E329" s="26">
        <v>240</v>
      </c>
      <c r="F329" s="29">
        <v>0</v>
      </c>
      <c r="G329" s="27">
        <v>67</v>
      </c>
      <c r="H329" s="29">
        <v>18.2</v>
      </c>
      <c r="I329" s="28">
        <v>1016.9</v>
      </c>
      <c r="J329" s="25">
        <v>1</v>
      </c>
    </row>
    <row r="330" spans="1:10">
      <c r="A330" s="4">
        <v>41800</v>
      </c>
      <c r="C330" s="29">
        <v>1.6111111111111109</v>
      </c>
      <c r="E330" s="26">
        <v>329</v>
      </c>
      <c r="F330" s="29">
        <v>0</v>
      </c>
      <c r="G330" s="27">
        <v>68</v>
      </c>
      <c r="H330" s="29">
        <v>17.8</v>
      </c>
      <c r="I330" s="28">
        <v>1016.8</v>
      </c>
      <c r="J330" s="25">
        <v>1</v>
      </c>
    </row>
    <row r="331" spans="1:10">
      <c r="A331" s="4">
        <v>41801</v>
      </c>
      <c r="C331" s="29">
        <v>1.2222222222222223</v>
      </c>
      <c r="E331" s="26">
        <v>318</v>
      </c>
      <c r="F331" s="29">
        <v>0</v>
      </c>
      <c r="G331" s="27">
        <v>67</v>
      </c>
      <c r="H331" s="29">
        <v>19.3</v>
      </c>
      <c r="I331" s="28">
        <v>1017.3</v>
      </c>
      <c r="J331" s="25">
        <v>1</v>
      </c>
    </row>
    <row r="332" spans="1:10">
      <c r="A332" s="4">
        <v>41802</v>
      </c>
      <c r="C332" s="29">
        <v>1.1388888888888888</v>
      </c>
      <c r="E332" s="26">
        <v>317</v>
      </c>
      <c r="F332" s="29">
        <v>0</v>
      </c>
      <c r="G332" s="27">
        <v>64</v>
      </c>
      <c r="H332" s="29">
        <v>22</v>
      </c>
      <c r="I332" s="28">
        <v>1017.9</v>
      </c>
      <c r="J332" s="25">
        <v>1</v>
      </c>
    </row>
    <row r="333" spans="1:10">
      <c r="A333" s="4">
        <v>41803</v>
      </c>
      <c r="C333" s="29">
        <v>0.91666666666666663</v>
      </c>
      <c r="E333" s="26">
        <v>320</v>
      </c>
      <c r="F333" s="29">
        <v>0</v>
      </c>
      <c r="G333" s="27">
        <v>74</v>
      </c>
      <c r="H333" s="29">
        <v>21</v>
      </c>
      <c r="I333" s="28">
        <v>1017.7</v>
      </c>
      <c r="J333" s="25">
        <v>1</v>
      </c>
    </row>
    <row r="334" spans="1:10">
      <c r="A334" s="4">
        <v>41804</v>
      </c>
      <c r="C334" s="29">
        <v>1.0277777777777779</v>
      </c>
      <c r="E334" s="26">
        <v>326</v>
      </c>
      <c r="F334" s="29">
        <v>0</v>
      </c>
      <c r="G334" s="27">
        <v>66</v>
      </c>
      <c r="H334" s="29">
        <v>23.2</v>
      </c>
      <c r="I334" s="28">
        <v>1013.5</v>
      </c>
      <c r="J334" s="25">
        <v>1</v>
      </c>
    </row>
    <row r="335" spans="1:10">
      <c r="A335" s="4">
        <v>41805</v>
      </c>
      <c r="C335" s="29">
        <v>1.6944444444444442</v>
      </c>
      <c r="E335" s="26">
        <v>55</v>
      </c>
      <c r="F335" s="29">
        <v>0</v>
      </c>
      <c r="G335" s="27">
        <v>49</v>
      </c>
      <c r="H335" s="29">
        <v>24.8</v>
      </c>
      <c r="I335" s="28">
        <v>1011.5</v>
      </c>
      <c r="J335" s="25">
        <v>1</v>
      </c>
    </row>
    <row r="336" spans="1:10">
      <c r="A336" s="4">
        <v>41806</v>
      </c>
      <c r="C336" s="29">
        <v>1.5833333333333333</v>
      </c>
      <c r="E336" s="26">
        <v>90</v>
      </c>
      <c r="F336" s="29">
        <v>0</v>
      </c>
      <c r="G336" s="27">
        <v>38</v>
      </c>
      <c r="H336" s="29">
        <v>25.2</v>
      </c>
      <c r="I336" s="28">
        <v>1011.1</v>
      </c>
      <c r="J336" s="25">
        <v>1</v>
      </c>
    </row>
    <row r="337" spans="1:10">
      <c r="A337" s="4">
        <v>41807</v>
      </c>
      <c r="C337" s="29">
        <v>1.9722222222222221</v>
      </c>
      <c r="E337" s="26">
        <v>270</v>
      </c>
      <c r="F337" s="29">
        <v>0</v>
      </c>
      <c r="G337" s="27">
        <v>48</v>
      </c>
      <c r="H337" s="29">
        <v>22.6</v>
      </c>
      <c r="I337" s="28">
        <v>1012.4</v>
      </c>
      <c r="J337" s="25">
        <v>1</v>
      </c>
    </row>
    <row r="338" spans="1:10">
      <c r="A338" s="4">
        <v>41808</v>
      </c>
      <c r="C338" s="29">
        <v>1.3333333333333333</v>
      </c>
      <c r="E338" s="26">
        <v>247</v>
      </c>
      <c r="F338" s="29">
        <v>0</v>
      </c>
      <c r="G338" s="27">
        <v>73</v>
      </c>
      <c r="H338" s="29">
        <v>19.2</v>
      </c>
      <c r="I338" s="28">
        <v>1014.7</v>
      </c>
      <c r="J338" s="25">
        <v>1</v>
      </c>
    </row>
    <row r="339" spans="1:10">
      <c r="A339" s="4">
        <v>41809</v>
      </c>
      <c r="C339" s="29">
        <v>1.4722222222222221</v>
      </c>
      <c r="E339" s="26">
        <v>273</v>
      </c>
      <c r="F339" s="29">
        <v>0</v>
      </c>
      <c r="G339" s="27">
        <v>69</v>
      </c>
      <c r="H339" s="29">
        <v>19.399999999999999</v>
      </c>
      <c r="I339" s="28">
        <v>1015</v>
      </c>
      <c r="J339" s="25">
        <v>1</v>
      </c>
    </row>
    <row r="340" spans="1:10">
      <c r="A340" s="4">
        <v>41810</v>
      </c>
      <c r="C340" s="29">
        <v>1.3055555555555556</v>
      </c>
      <c r="E340" s="26">
        <v>239</v>
      </c>
      <c r="F340" s="29">
        <v>0</v>
      </c>
      <c r="G340" s="27">
        <v>65</v>
      </c>
      <c r="H340" s="29">
        <v>19.5</v>
      </c>
      <c r="I340" s="28">
        <v>1013.3</v>
      </c>
      <c r="J340" s="25">
        <v>1</v>
      </c>
    </row>
    <row r="341" spans="1:10">
      <c r="A341" s="4">
        <v>41811</v>
      </c>
      <c r="C341" s="29">
        <v>2.6944444444444442</v>
      </c>
      <c r="E341" s="26">
        <v>209</v>
      </c>
      <c r="F341" s="29">
        <v>1</v>
      </c>
      <c r="G341" s="27">
        <v>70</v>
      </c>
      <c r="H341" s="29">
        <v>19.7</v>
      </c>
      <c r="I341" s="28">
        <v>1013</v>
      </c>
      <c r="J341" s="25">
        <v>1</v>
      </c>
    </row>
    <row r="342" spans="1:10">
      <c r="A342" s="4">
        <v>41812</v>
      </c>
      <c r="C342" s="29">
        <v>0.80555555555555547</v>
      </c>
      <c r="E342" s="26">
        <v>119</v>
      </c>
      <c r="F342" s="29">
        <v>4</v>
      </c>
      <c r="G342" s="27">
        <v>85</v>
      </c>
      <c r="H342" s="29">
        <v>17</v>
      </c>
      <c r="I342" s="28">
        <v>1015.6</v>
      </c>
      <c r="J342" s="25">
        <v>1</v>
      </c>
    </row>
    <row r="343" spans="1:10">
      <c r="A343" s="4">
        <v>41813</v>
      </c>
      <c r="C343" s="29">
        <v>0.66666666666666663</v>
      </c>
      <c r="E343" s="26">
        <v>24</v>
      </c>
      <c r="F343" s="29">
        <v>8.6</v>
      </c>
      <c r="G343" s="27">
        <v>91</v>
      </c>
      <c r="H343" s="29">
        <v>17</v>
      </c>
      <c r="I343" s="28">
        <v>1015.5</v>
      </c>
      <c r="J343" s="25">
        <v>1</v>
      </c>
    </row>
    <row r="344" spans="1:10">
      <c r="A344" s="4">
        <v>41814</v>
      </c>
      <c r="C344" s="29">
        <v>1.3611111111111112</v>
      </c>
      <c r="E344" s="26">
        <v>285</v>
      </c>
      <c r="F344" s="29">
        <v>1</v>
      </c>
      <c r="G344" s="27">
        <v>83</v>
      </c>
      <c r="H344" s="29">
        <v>18.5</v>
      </c>
      <c r="I344" s="28">
        <v>1015.2</v>
      </c>
      <c r="J344" s="25">
        <v>1</v>
      </c>
    </row>
    <row r="345" spans="1:10">
      <c r="A345" s="4">
        <v>41815</v>
      </c>
      <c r="C345" s="29">
        <v>2.25</v>
      </c>
      <c r="E345" s="26">
        <v>295</v>
      </c>
      <c r="F345" s="29">
        <v>0</v>
      </c>
      <c r="G345" s="27">
        <v>79</v>
      </c>
      <c r="H345" s="29">
        <v>18.5</v>
      </c>
      <c r="I345" s="28">
        <v>1016.8</v>
      </c>
      <c r="J345" s="25">
        <v>1</v>
      </c>
    </row>
    <row r="346" spans="1:10">
      <c r="A346" s="4">
        <v>41816</v>
      </c>
      <c r="C346" s="29">
        <v>1.8611111111111112</v>
      </c>
      <c r="E346" s="26">
        <v>312</v>
      </c>
      <c r="F346" s="29">
        <v>0</v>
      </c>
      <c r="G346" s="27">
        <v>70</v>
      </c>
      <c r="H346" s="29">
        <v>19.2</v>
      </c>
      <c r="I346" s="28">
        <v>1016.9</v>
      </c>
      <c r="J346" s="25">
        <v>1</v>
      </c>
    </row>
    <row r="347" spans="1:10">
      <c r="A347" s="4">
        <v>41817</v>
      </c>
      <c r="C347" s="29">
        <v>1.6944444444444442</v>
      </c>
      <c r="E347" s="26">
        <v>302</v>
      </c>
      <c r="F347" s="29">
        <v>0</v>
      </c>
      <c r="G347" s="27">
        <v>67</v>
      </c>
      <c r="H347" s="29">
        <v>19.3</v>
      </c>
      <c r="I347" s="28">
        <v>1017.1</v>
      </c>
      <c r="J347" s="25">
        <v>1</v>
      </c>
    </row>
    <row r="348" spans="1:10">
      <c r="A348" s="4">
        <v>41818</v>
      </c>
      <c r="C348" s="29">
        <v>2.4166666666666665</v>
      </c>
      <c r="E348" s="26">
        <v>282</v>
      </c>
      <c r="F348" s="29">
        <v>0</v>
      </c>
      <c r="G348" s="27">
        <v>76</v>
      </c>
      <c r="H348" s="29">
        <v>18</v>
      </c>
      <c r="I348" s="28">
        <v>1016.4</v>
      </c>
      <c r="J348" s="25">
        <v>1</v>
      </c>
    </row>
    <row r="349" spans="1:10">
      <c r="A349" s="4">
        <v>41819</v>
      </c>
      <c r="C349" s="29">
        <v>2.5277777777777777</v>
      </c>
      <c r="E349" s="26">
        <v>327</v>
      </c>
      <c r="F349" s="29">
        <v>0</v>
      </c>
      <c r="G349" s="27">
        <v>67</v>
      </c>
      <c r="H349" s="29">
        <v>18.3</v>
      </c>
      <c r="I349" s="28">
        <v>1020.4</v>
      </c>
      <c r="J349" s="25">
        <v>1</v>
      </c>
    </row>
    <row r="350" spans="1:10">
      <c r="A350" s="4">
        <v>41820</v>
      </c>
      <c r="C350" s="29">
        <v>1.8611111111111112</v>
      </c>
      <c r="E350" s="26">
        <v>292</v>
      </c>
      <c r="F350" s="29">
        <v>0</v>
      </c>
      <c r="G350" s="27">
        <v>69</v>
      </c>
      <c r="H350" s="29">
        <v>18.2</v>
      </c>
      <c r="I350" s="28">
        <v>1018.4</v>
      </c>
      <c r="J350" s="25">
        <v>1</v>
      </c>
    </row>
    <row r="351" spans="1:10">
      <c r="A351" s="4">
        <v>41821</v>
      </c>
      <c r="C351" s="29">
        <v>2.2222222222222223</v>
      </c>
      <c r="E351" s="26">
        <v>277</v>
      </c>
      <c r="F351" s="29">
        <v>2</v>
      </c>
      <c r="G351" s="27">
        <v>73</v>
      </c>
      <c r="H351" s="29">
        <v>18.600000000000001</v>
      </c>
      <c r="I351" s="28">
        <v>1015.6</v>
      </c>
      <c r="J351" s="25">
        <v>1</v>
      </c>
    </row>
    <row r="352" spans="1:10">
      <c r="A352" s="4">
        <v>41822</v>
      </c>
      <c r="C352" s="29">
        <v>2.3055555555555558</v>
      </c>
      <c r="E352" s="26">
        <v>312</v>
      </c>
      <c r="F352" s="29">
        <v>1</v>
      </c>
      <c r="G352" s="27">
        <v>76</v>
      </c>
      <c r="H352" s="29">
        <v>18.5</v>
      </c>
      <c r="I352" s="28">
        <v>1015.6</v>
      </c>
      <c r="J352" s="25">
        <v>1</v>
      </c>
    </row>
    <row r="353" spans="1:10">
      <c r="A353" s="4">
        <v>41823</v>
      </c>
      <c r="C353" s="29">
        <v>1.8333333333333333</v>
      </c>
      <c r="E353" s="26">
        <v>288</v>
      </c>
      <c r="F353" s="29">
        <v>0</v>
      </c>
      <c r="G353" s="27">
        <v>73</v>
      </c>
      <c r="H353" s="29">
        <v>20.7</v>
      </c>
      <c r="I353" s="28">
        <v>1016</v>
      </c>
      <c r="J353" s="25">
        <v>1</v>
      </c>
    </row>
    <row r="354" spans="1:10">
      <c r="A354" s="4">
        <v>41824</v>
      </c>
      <c r="C354" s="29">
        <v>2.2222222222222223</v>
      </c>
      <c r="E354" s="26">
        <v>317</v>
      </c>
      <c r="F354" s="29">
        <v>0</v>
      </c>
      <c r="G354" s="27">
        <v>82</v>
      </c>
      <c r="H354" s="29">
        <v>18.8</v>
      </c>
      <c r="I354" s="28">
        <v>1017.9</v>
      </c>
      <c r="J354" s="25">
        <v>1</v>
      </c>
    </row>
    <row r="355" spans="1:10">
      <c r="A355" s="4">
        <v>41825</v>
      </c>
      <c r="C355" s="29">
        <v>2.1388888888888888</v>
      </c>
      <c r="E355" s="26">
        <v>288</v>
      </c>
      <c r="F355" s="29">
        <v>0</v>
      </c>
      <c r="G355" s="27">
        <v>81</v>
      </c>
      <c r="H355" s="29">
        <v>19.2</v>
      </c>
      <c r="I355" s="28">
        <v>1016.6</v>
      </c>
      <c r="J355" s="25">
        <v>1</v>
      </c>
    </row>
    <row r="356" spans="1:10">
      <c r="A356" s="4">
        <v>41826</v>
      </c>
      <c r="C356" s="29">
        <v>2.4444444444444446</v>
      </c>
      <c r="E356" s="26">
        <v>277</v>
      </c>
      <c r="F356" s="29">
        <v>2</v>
      </c>
      <c r="G356" s="27">
        <v>81</v>
      </c>
      <c r="H356" s="29">
        <v>19.100000000000001</v>
      </c>
      <c r="I356" s="28">
        <v>1015.2</v>
      </c>
      <c r="J356" s="25">
        <v>1</v>
      </c>
    </row>
    <row r="357" spans="1:10">
      <c r="A357" s="4">
        <v>41827</v>
      </c>
      <c r="C357" s="29">
        <v>2.75</v>
      </c>
      <c r="E357" s="26">
        <v>327</v>
      </c>
      <c r="F357" s="29">
        <v>0</v>
      </c>
      <c r="G357" s="27">
        <v>66</v>
      </c>
      <c r="H357" s="29">
        <v>18.100000000000001</v>
      </c>
      <c r="I357" s="28">
        <v>1019.4</v>
      </c>
      <c r="J357" s="25">
        <v>1</v>
      </c>
    </row>
    <row r="358" spans="1:10">
      <c r="A358" s="4">
        <v>41828</v>
      </c>
      <c r="C358" s="29">
        <v>2.25</v>
      </c>
      <c r="E358" s="26">
        <v>326</v>
      </c>
      <c r="F358" s="29">
        <v>0</v>
      </c>
      <c r="G358" s="27">
        <v>71</v>
      </c>
      <c r="H358" s="29">
        <v>18.5</v>
      </c>
      <c r="I358" s="28">
        <v>1019.4</v>
      </c>
      <c r="J358" s="25">
        <v>1</v>
      </c>
    </row>
    <row r="359" spans="1:10">
      <c r="A359" s="4">
        <v>41829</v>
      </c>
      <c r="C359" s="29">
        <v>1.7222222222222223</v>
      </c>
      <c r="E359" s="26">
        <v>309</v>
      </c>
      <c r="F359" s="29">
        <v>0</v>
      </c>
      <c r="G359" s="27">
        <v>63</v>
      </c>
      <c r="H359" s="29">
        <v>20.8</v>
      </c>
      <c r="I359" s="28">
        <v>1015</v>
      </c>
      <c r="J359" s="25">
        <v>1</v>
      </c>
    </row>
    <row r="360" spans="1:10">
      <c r="A360" s="4">
        <v>41830</v>
      </c>
      <c r="C360" s="29">
        <v>1.6111111111111109</v>
      </c>
      <c r="E360" s="26">
        <v>331</v>
      </c>
      <c r="F360" s="29">
        <v>0</v>
      </c>
      <c r="G360" s="27">
        <v>53</v>
      </c>
      <c r="H360" s="29">
        <v>21.9</v>
      </c>
      <c r="I360" s="28">
        <v>1015.1</v>
      </c>
      <c r="J360" s="25">
        <v>1</v>
      </c>
    </row>
    <row r="361" spans="1:10">
      <c r="A361" s="4">
        <v>41831</v>
      </c>
      <c r="C361" s="29">
        <v>1.5833333333333333</v>
      </c>
      <c r="E361" s="26">
        <v>324</v>
      </c>
      <c r="F361" s="29">
        <v>0</v>
      </c>
      <c r="G361" s="27">
        <v>52</v>
      </c>
      <c r="H361" s="29">
        <v>21.9</v>
      </c>
      <c r="I361" s="28">
        <v>1015.9</v>
      </c>
      <c r="J361" s="25">
        <v>1</v>
      </c>
    </row>
    <row r="362" spans="1:10">
      <c r="A362" s="4">
        <v>41832</v>
      </c>
      <c r="C362" s="29">
        <v>1.5833333333333333</v>
      </c>
      <c r="E362" s="26">
        <v>272</v>
      </c>
      <c r="F362" s="29">
        <v>0</v>
      </c>
      <c r="G362" s="27">
        <v>67</v>
      </c>
      <c r="H362" s="29">
        <v>20</v>
      </c>
      <c r="I362" s="28">
        <v>1015.6</v>
      </c>
      <c r="J362" s="25">
        <v>1</v>
      </c>
    </row>
    <row r="363" spans="1:10">
      <c r="A363" s="4">
        <v>41833</v>
      </c>
      <c r="C363" s="29">
        <v>2.6111111111111112</v>
      </c>
      <c r="E363" s="26">
        <v>300</v>
      </c>
      <c r="F363" s="29">
        <v>0</v>
      </c>
      <c r="G363" s="27">
        <v>76</v>
      </c>
      <c r="H363" s="29">
        <v>19.2</v>
      </c>
      <c r="I363" s="28">
        <v>1017</v>
      </c>
      <c r="J363" s="25">
        <v>1</v>
      </c>
    </row>
    <row r="364" spans="1:10">
      <c r="A364" s="4">
        <v>41834</v>
      </c>
      <c r="C364" s="29">
        <v>2.1388888888888888</v>
      </c>
      <c r="E364" s="26">
        <v>298</v>
      </c>
      <c r="F364" s="29">
        <v>0</v>
      </c>
      <c r="G364" s="27">
        <v>77</v>
      </c>
      <c r="H364" s="29">
        <v>20.399999999999999</v>
      </c>
      <c r="I364" s="28">
        <v>1016.3</v>
      </c>
      <c r="J364" s="25">
        <v>1</v>
      </c>
    </row>
  </sheetData>
  <autoFilter ref="A1:L36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Raw_WS_data</vt:lpstr>
      <vt:lpstr>WS_data</vt:lpstr>
      <vt:lpstr>Charts</vt:lpstr>
      <vt:lpstr>Config</vt:lpstr>
      <vt:lpstr>dataExtraction</vt:lpstr>
      <vt:lpstr>dataConfiguration</vt:lpstr>
      <vt:lpstr>backupTable</vt:lpstr>
      <vt:lpstr>myAngle</vt:lpstr>
      <vt:lpstr>myLogData</vt:lpstr>
      <vt:lpstr>myUserID</vt:lpstr>
      <vt:lpstr>rngHumidity</vt:lpstr>
      <vt:lpstr>rngPressure</vt:lpstr>
      <vt:lpstr>rngRainFall</vt:lpstr>
      <vt:lpstr>rngTemperature</vt:lpstr>
      <vt:lpstr>rngTime</vt:lpstr>
      <vt:lpstr>rngWindAngle</vt:lpstr>
      <vt:lpstr>rngWindDirection</vt:lpstr>
      <vt:lpstr>rngWindSpeed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 JoseManuel (BrgP/QMM6)</dc:creator>
  <cp:lastModifiedBy>José Manuel Pinto Marques da Costa</cp:lastModifiedBy>
  <dcterms:created xsi:type="dcterms:W3CDTF">2014-07-12T14:54:25Z</dcterms:created>
  <dcterms:modified xsi:type="dcterms:W3CDTF">2014-07-15T02:57:25Z</dcterms:modified>
</cp:coreProperties>
</file>